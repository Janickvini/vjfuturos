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viniciusjanick/Desktop/Projetos Antigravity/ICWEB/DBPPDEF/"/>
    </mc:Choice>
  </mc:AlternateContent>
  <xr:revisionPtr revIDLastSave="0" documentId="13_ncr:1_{26EC9A61-D515-0548-B200-82D36070D90D}" xr6:coauthVersionLast="47" xr6:coauthVersionMax="47" xr10:uidLastSave="{00000000-0000-0000-0000-000000000000}"/>
  <bookViews>
    <workbookView xWindow="100" yWindow="720" windowWidth="44620" windowHeight="26700" activeTab="2" xr2:uid="{00000000-000D-0000-FFFF-FFFF00000000}"/>
  </bookViews>
  <sheets>
    <sheet name="Respostas ao formulário 1" sheetId="1" r:id="rId1"/>
    <sheet name="Stakeholders" sheetId="2" r:id="rId2"/>
    <sheet name="Relatórios" sheetId="3" r:id="rId3"/>
    <sheet name="Cálculos" sheetId="4" r:id="rId4"/>
    <sheet name="calculos 2" sheetId="5" r:id="rId5"/>
    <sheet name="Dados para dashboard" sheetId="6" r:id="rId6"/>
    <sheet name="Areas" sheetId="7" r:id="rId7"/>
    <sheet name="ChaveRelatório" sheetId="8" r:id="rId8"/>
    <sheet name="Página9" sheetId="9" r:id="rId9"/>
    <sheet name="Rel_por_LP" sheetId="10" r:id="rId10"/>
  </sheets>
  <definedNames>
    <definedName name="_xlnm._FilterDatabase" localSheetId="6" hidden="1">Areas!$A$1:$E$297</definedName>
    <definedName name="_xlnm._FilterDatabase" localSheetId="4" hidden="1">'calculos 2'!$A$1:$E$220</definedName>
    <definedName name="_xlnm._FilterDatabase" localSheetId="5" hidden="1">'Dados para dashboard'!$A$1:$C$33</definedName>
    <definedName name="_xlnm._FilterDatabase" localSheetId="2" hidden="1">Relatórios!$A$1:$AH$842</definedName>
    <definedName name="_xlnm._FilterDatabase" localSheetId="1" hidden="1">Stakeholders!$A$1:$K$872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1" i="8" l="1"/>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E280" i="7"/>
  <c r="D280" i="7"/>
  <c r="E279" i="7"/>
  <c r="D279" i="7"/>
  <c r="E278" i="7"/>
  <c r="D278" i="7"/>
  <c r="E277" i="7"/>
  <c r="D277" i="7"/>
  <c r="E276" i="7"/>
  <c r="D276" i="7"/>
  <c r="E275" i="7"/>
  <c r="D275" i="7"/>
  <c r="E274" i="7"/>
  <c r="D274" i="7"/>
  <c r="E273" i="7"/>
  <c r="D273" i="7"/>
  <c r="E272" i="7"/>
  <c r="D272" i="7"/>
  <c r="E271" i="7"/>
  <c r="D271" i="7"/>
  <c r="E270" i="7"/>
  <c r="D270" i="7"/>
  <c r="E269" i="7"/>
  <c r="D269" i="7"/>
  <c r="E268" i="7"/>
  <c r="D268" i="7"/>
  <c r="E267" i="7"/>
  <c r="D267" i="7"/>
  <c r="E266" i="7"/>
  <c r="D266" i="7"/>
  <c r="E265" i="7"/>
  <c r="D265" i="7"/>
  <c r="E264" i="7"/>
  <c r="D264" i="7"/>
  <c r="E263" i="7"/>
  <c r="D263" i="7"/>
  <c r="E262" i="7"/>
  <c r="D262" i="7"/>
  <c r="E261" i="7"/>
  <c r="D261" i="7"/>
  <c r="E260" i="7"/>
  <c r="D260" i="7"/>
  <c r="E259" i="7"/>
  <c r="D259" i="7"/>
  <c r="E258" i="7"/>
  <c r="D258" i="7"/>
  <c r="E257" i="7"/>
  <c r="D257" i="7"/>
  <c r="E256" i="7"/>
  <c r="D256" i="7"/>
  <c r="E255" i="7"/>
  <c r="D255" i="7"/>
  <c r="E254" i="7"/>
  <c r="D254" i="7"/>
  <c r="E253" i="7"/>
  <c r="D253" i="7"/>
  <c r="E252" i="7"/>
  <c r="D252" i="7"/>
  <c r="E251" i="7"/>
  <c r="D251" i="7"/>
  <c r="E250" i="7"/>
  <c r="D250" i="7"/>
  <c r="E249" i="7"/>
  <c r="D249" i="7"/>
  <c r="E248" i="7"/>
  <c r="D248" i="7"/>
  <c r="E247" i="7"/>
  <c r="D247" i="7"/>
  <c r="E246" i="7"/>
  <c r="D246" i="7"/>
  <c r="E245" i="7"/>
  <c r="D245" i="7"/>
  <c r="E244" i="7"/>
  <c r="D244" i="7"/>
  <c r="E243" i="7"/>
  <c r="D243" i="7"/>
  <c r="E242" i="7"/>
  <c r="D242" i="7"/>
  <c r="E241" i="7"/>
  <c r="D241" i="7"/>
  <c r="E240" i="7"/>
  <c r="D240" i="7"/>
  <c r="E239" i="7"/>
  <c r="D239" i="7"/>
  <c r="E238" i="7"/>
  <c r="D238" i="7"/>
  <c r="E237" i="7"/>
  <c r="D237" i="7"/>
  <c r="E236" i="7"/>
  <c r="D236" i="7"/>
  <c r="E235" i="7"/>
  <c r="D235" i="7"/>
  <c r="E234" i="7"/>
  <c r="D234" i="7"/>
  <c r="E233" i="7"/>
  <c r="D233" i="7"/>
  <c r="E232" i="7"/>
  <c r="D232" i="7"/>
  <c r="E231" i="7"/>
  <c r="D231" i="7"/>
  <c r="E230" i="7"/>
  <c r="D230" i="7"/>
  <c r="E229" i="7"/>
  <c r="D229" i="7"/>
  <c r="E228" i="7"/>
  <c r="D228" i="7"/>
  <c r="E227" i="7"/>
  <c r="D227" i="7"/>
  <c r="E226" i="7"/>
  <c r="D226" i="7"/>
  <c r="E225" i="7"/>
  <c r="D225" i="7"/>
  <c r="E224" i="7"/>
  <c r="D224" i="7"/>
  <c r="E223" i="7"/>
  <c r="D223" i="7"/>
  <c r="E222" i="7"/>
  <c r="D222" i="7"/>
  <c r="E221" i="7"/>
  <c r="D221" i="7"/>
  <c r="E220" i="7"/>
  <c r="D220" i="7"/>
  <c r="E219" i="7"/>
  <c r="D219" i="7"/>
  <c r="E218" i="7"/>
  <c r="D218" i="7"/>
  <c r="E217" i="7"/>
  <c r="D217" i="7"/>
  <c r="E216" i="7"/>
  <c r="D216" i="7"/>
  <c r="E215" i="7"/>
  <c r="D215" i="7"/>
  <c r="E214" i="7"/>
  <c r="D214" i="7"/>
  <c r="E213" i="7"/>
  <c r="D213" i="7"/>
  <c r="E212" i="7"/>
  <c r="D212" i="7"/>
  <c r="E211" i="7"/>
  <c r="D211" i="7"/>
  <c r="E210" i="7"/>
  <c r="D210" i="7"/>
  <c r="E209" i="7"/>
  <c r="D209" i="7"/>
  <c r="E208" i="7"/>
  <c r="D208" i="7"/>
  <c r="E207" i="7"/>
  <c r="D207" i="7"/>
  <c r="E206" i="7"/>
  <c r="D206" i="7"/>
  <c r="E205" i="7"/>
  <c r="D205" i="7"/>
  <c r="E204" i="7"/>
  <c r="D204" i="7"/>
  <c r="E203" i="7"/>
  <c r="D203" i="7"/>
  <c r="E202" i="7"/>
  <c r="D202" i="7"/>
  <c r="E201" i="7"/>
  <c r="D201" i="7"/>
  <c r="E200" i="7"/>
  <c r="D200" i="7"/>
  <c r="E199" i="7"/>
  <c r="D199" i="7"/>
  <c r="E198" i="7"/>
  <c r="D198" i="7"/>
  <c r="E197" i="7"/>
  <c r="D197" i="7"/>
  <c r="E196" i="7"/>
  <c r="D196" i="7"/>
  <c r="E195" i="7"/>
  <c r="D195" i="7"/>
  <c r="E194" i="7"/>
  <c r="D194" i="7"/>
  <c r="E193" i="7"/>
  <c r="D193" i="7"/>
  <c r="E192" i="7"/>
  <c r="D192" i="7"/>
  <c r="E191" i="7"/>
  <c r="D191" i="7"/>
  <c r="E190" i="7"/>
  <c r="D190" i="7"/>
  <c r="E189" i="7"/>
  <c r="D189" i="7"/>
  <c r="E188" i="7"/>
  <c r="D188" i="7"/>
  <c r="E187" i="7"/>
  <c r="D187" i="7"/>
  <c r="E186" i="7"/>
  <c r="D186" i="7"/>
  <c r="E185" i="7"/>
  <c r="D185" i="7"/>
  <c r="E184" i="7"/>
  <c r="D184" i="7"/>
  <c r="E183" i="7"/>
  <c r="D183" i="7"/>
  <c r="E182" i="7"/>
  <c r="D182" i="7"/>
  <c r="E181" i="7"/>
  <c r="D181" i="7"/>
  <c r="E180" i="7"/>
  <c r="D180" i="7"/>
  <c r="E179" i="7"/>
  <c r="D179" i="7"/>
  <c r="E178" i="7"/>
  <c r="D178" i="7"/>
  <c r="E177" i="7"/>
  <c r="D177" i="7"/>
  <c r="E176" i="7"/>
  <c r="D176" i="7"/>
  <c r="E175" i="7"/>
  <c r="D175" i="7"/>
  <c r="E174" i="7"/>
  <c r="D174" i="7"/>
  <c r="E173" i="7"/>
  <c r="D173" i="7"/>
  <c r="E172" i="7"/>
  <c r="D172" i="7"/>
  <c r="E171" i="7"/>
  <c r="D171" i="7"/>
  <c r="E170" i="7"/>
  <c r="D170" i="7"/>
  <c r="E169" i="7"/>
  <c r="D169" i="7"/>
  <c r="E168" i="7"/>
  <c r="D168" i="7"/>
  <c r="E167" i="7"/>
  <c r="D167" i="7"/>
  <c r="E166" i="7"/>
  <c r="D166" i="7"/>
  <c r="E165" i="7"/>
  <c r="D165" i="7"/>
  <c r="E164" i="7"/>
  <c r="D164" i="7"/>
  <c r="E163" i="7"/>
  <c r="D163" i="7"/>
  <c r="E162" i="7"/>
  <c r="D162" i="7"/>
  <c r="E161" i="7"/>
  <c r="D161" i="7"/>
  <c r="E160" i="7"/>
  <c r="D160" i="7"/>
  <c r="E159" i="7"/>
  <c r="D159" i="7"/>
  <c r="E158" i="7"/>
  <c r="D158" i="7"/>
  <c r="E157" i="7"/>
  <c r="D157" i="7"/>
  <c r="E156" i="7"/>
  <c r="D156" i="7"/>
  <c r="E155" i="7"/>
  <c r="D155" i="7"/>
  <c r="E154" i="7"/>
  <c r="D154" i="7"/>
  <c r="E153" i="7"/>
  <c r="D153" i="7"/>
  <c r="E152" i="7"/>
  <c r="D152" i="7"/>
  <c r="E151" i="7"/>
  <c r="D151" i="7"/>
  <c r="E150" i="7"/>
  <c r="D150" i="7"/>
  <c r="E149" i="7"/>
  <c r="D149" i="7"/>
  <c r="E148" i="7"/>
  <c r="D148" i="7"/>
  <c r="E147" i="7"/>
  <c r="D147" i="7"/>
  <c r="E146" i="7"/>
  <c r="D146" i="7"/>
  <c r="E145" i="7"/>
  <c r="D145" i="7"/>
  <c r="E144" i="7"/>
  <c r="D144" i="7"/>
  <c r="E143" i="7"/>
  <c r="D143" i="7"/>
  <c r="E142" i="7"/>
  <c r="D142" i="7"/>
  <c r="E141" i="7"/>
  <c r="D141" i="7"/>
  <c r="E140" i="7"/>
  <c r="D140" i="7"/>
  <c r="E139" i="7"/>
  <c r="D139" i="7"/>
  <c r="E138" i="7"/>
  <c r="D138" i="7"/>
  <c r="E137" i="7"/>
  <c r="D137" i="7"/>
  <c r="E136" i="7"/>
  <c r="D136" i="7"/>
  <c r="E135" i="7"/>
  <c r="D135" i="7"/>
  <c r="E134" i="7"/>
  <c r="D134" i="7"/>
  <c r="E133" i="7"/>
  <c r="D133" i="7"/>
  <c r="E132" i="7"/>
  <c r="D132" i="7"/>
  <c r="E131" i="7"/>
  <c r="D131" i="7"/>
  <c r="E130" i="7"/>
  <c r="D130" i="7"/>
  <c r="E129" i="7"/>
  <c r="D129" i="7"/>
  <c r="E128" i="7"/>
  <c r="D128" i="7"/>
  <c r="E127" i="7"/>
  <c r="D127" i="7"/>
  <c r="E126" i="7"/>
  <c r="D126" i="7"/>
  <c r="E125" i="7"/>
  <c r="D125" i="7"/>
  <c r="E124" i="7"/>
  <c r="D124" i="7"/>
  <c r="E123" i="7"/>
  <c r="D123" i="7"/>
  <c r="E122" i="7"/>
  <c r="D122" i="7"/>
  <c r="E121" i="7"/>
  <c r="D121" i="7"/>
  <c r="E120" i="7"/>
  <c r="D120" i="7"/>
  <c r="E119" i="7"/>
  <c r="D119" i="7"/>
  <c r="E118" i="7"/>
  <c r="D118" i="7"/>
  <c r="E117" i="7"/>
  <c r="D117" i="7"/>
  <c r="E116" i="7"/>
  <c r="D116" i="7"/>
  <c r="E115" i="7"/>
  <c r="D115" i="7"/>
  <c r="E114" i="7"/>
  <c r="D114" i="7"/>
  <c r="E113" i="7"/>
  <c r="D113" i="7"/>
  <c r="E112" i="7"/>
  <c r="D112" i="7"/>
  <c r="E111" i="7"/>
  <c r="D111" i="7"/>
  <c r="E110" i="7"/>
  <c r="D110" i="7"/>
  <c r="E109" i="7"/>
  <c r="D109" i="7"/>
  <c r="E108" i="7"/>
  <c r="D108" i="7"/>
  <c r="E107" i="7"/>
  <c r="D107" i="7"/>
  <c r="E106" i="7"/>
  <c r="D106" i="7"/>
  <c r="E105" i="7"/>
  <c r="D105" i="7"/>
  <c r="E104" i="7"/>
  <c r="D104" i="7"/>
  <c r="E103" i="7"/>
  <c r="D103" i="7"/>
  <c r="E102" i="7"/>
  <c r="D102" i="7"/>
  <c r="E101" i="7"/>
  <c r="D101" i="7"/>
  <c r="E100" i="7"/>
  <c r="D100" i="7"/>
  <c r="E99" i="7"/>
  <c r="D99" i="7"/>
  <c r="E98" i="7"/>
  <c r="D98" i="7"/>
  <c r="E97" i="7"/>
  <c r="D97" i="7"/>
  <c r="E96" i="7"/>
  <c r="D96" i="7"/>
  <c r="E95" i="7"/>
  <c r="D95" i="7"/>
  <c r="E94" i="7"/>
  <c r="D94" i="7"/>
  <c r="E93" i="7"/>
  <c r="D93" i="7"/>
  <c r="E92" i="7"/>
  <c r="D92" i="7"/>
  <c r="E91" i="7"/>
  <c r="D91" i="7"/>
  <c r="E90" i="7"/>
  <c r="D90" i="7"/>
  <c r="E89" i="7"/>
  <c r="D89" i="7"/>
  <c r="E88" i="7"/>
  <c r="D88" i="7"/>
  <c r="E87" i="7"/>
  <c r="D87" i="7"/>
  <c r="E86" i="7"/>
  <c r="D86" i="7"/>
  <c r="E85" i="7"/>
  <c r="D85" i="7"/>
  <c r="E84" i="7"/>
  <c r="D84" i="7"/>
  <c r="E83" i="7"/>
  <c r="D83" i="7"/>
  <c r="E82" i="7"/>
  <c r="D82" i="7"/>
  <c r="E81" i="7"/>
  <c r="D81" i="7"/>
  <c r="E80" i="7"/>
  <c r="D80" i="7"/>
  <c r="E79" i="7"/>
  <c r="D79" i="7"/>
  <c r="E78" i="7"/>
  <c r="D78" i="7"/>
  <c r="E77" i="7"/>
  <c r="D77" i="7"/>
  <c r="E76" i="7"/>
  <c r="D76" i="7"/>
  <c r="E75" i="7"/>
  <c r="D75" i="7"/>
  <c r="E74" i="7"/>
  <c r="D74" i="7"/>
  <c r="E73" i="7"/>
  <c r="D73" i="7"/>
  <c r="E72" i="7"/>
  <c r="D72" i="7"/>
  <c r="E71" i="7"/>
  <c r="D71" i="7"/>
  <c r="E70" i="7"/>
  <c r="D70" i="7"/>
  <c r="E69" i="7"/>
  <c r="D69" i="7"/>
  <c r="E68" i="7"/>
  <c r="D68" i="7"/>
  <c r="E67" i="7"/>
  <c r="D67" i="7"/>
  <c r="E66" i="7"/>
  <c r="D66" i="7"/>
  <c r="E65" i="7"/>
  <c r="D65" i="7"/>
  <c r="E64" i="7"/>
  <c r="D64" i="7"/>
  <c r="E63" i="7"/>
  <c r="D63" i="7"/>
  <c r="E62" i="7"/>
  <c r="D62" i="7"/>
  <c r="E61" i="7"/>
  <c r="D61" i="7"/>
  <c r="E60" i="7"/>
  <c r="D60" i="7"/>
  <c r="E59" i="7"/>
  <c r="D59" i="7"/>
  <c r="E58" i="7"/>
  <c r="D58" i="7"/>
  <c r="E57" i="7"/>
  <c r="D57" i="7"/>
  <c r="E56" i="7"/>
  <c r="D56" i="7"/>
  <c r="E55" i="7"/>
  <c r="D55" i="7"/>
  <c r="E54" i="7"/>
  <c r="D54" i="7"/>
  <c r="E53" i="7"/>
  <c r="D53" i="7"/>
  <c r="E52" i="7"/>
  <c r="D52" i="7"/>
  <c r="E51" i="7"/>
  <c r="D51" i="7"/>
  <c r="E50" i="7"/>
  <c r="D50" i="7"/>
  <c r="E49" i="7"/>
  <c r="D49" i="7"/>
  <c r="E48" i="7"/>
  <c r="D48" i="7"/>
  <c r="E47" i="7"/>
  <c r="D47" i="7"/>
  <c r="E46" i="7"/>
  <c r="D46" i="7"/>
  <c r="E45" i="7"/>
  <c r="D45" i="7"/>
  <c r="E44" i="7"/>
  <c r="D44" i="7"/>
  <c r="E43" i="7"/>
  <c r="D43" i="7"/>
  <c r="E42" i="7"/>
  <c r="D42" i="7"/>
  <c r="E41" i="7"/>
  <c r="D41" i="7"/>
  <c r="E40" i="7"/>
  <c r="D40" i="7"/>
  <c r="E39" i="7"/>
  <c r="D39" i="7"/>
  <c r="E38" i="7"/>
  <c r="D38" i="7"/>
  <c r="E37" i="7"/>
  <c r="D37" i="7"/>
  <c r="E36" i="7"/>
  <c r="D36" i="7"/>
  <c r="E35" i="7"/>
  <c r="D35" i="7"/>
  <c r="E34" i="7"/>
  <c r="D34" i="7"/>
  <c r="E33" i="7"/>
  <c r="D33" i="7"/>
  <c r="E32" i="7"/>
  <c r="D32" i="7"/>
  <c r="E31" i="7"/>
  <c r="D31" i="7"/>
  <c r="E30" i="7"/>
  <c r="D30" i="7"/>
  <c r="E29" i="7"/>
  <c r="D29" i="7"/>
  <c r="E28" i="7"/>
  <c r="D28" i="7"/>
  <c r="E27" i="7"/>
  <c r="D27" i="7"/>
  <c r="E26" i="7"/>
  <c r="D26" i="7"/>
  <c r="E25" i="7"/>
  <c r="D25" i="7"/>
  <c r="E24" i="7"/>
  <c r="D24" i="7"/>
  <c r="E23" i="7"/>
  <c r="D23" i="7"/>
  <c r="E22" i="7"/>
  <c r="D22" i="7"/>
  <c r="E21" i="7"/>
  <c r="D21" i="7"/>
  <c r="E20" i="7"/>
  <c r="D20" i="7"/>
  <c r="E19" i="7"/>
  <c r="D19" i="7"/>
  <c r="E18" i="7"/>
  <c r="D18" i="7"/>
  <c r="E17" i="7"/>
  <c r="D17" i="7"/>
  <c r="E16" i="7"/>
  <c r="D16" i="7"/>
  <c r="E15" i="7"/>
  <c r="D15" i="7"/>
  <c r="E14" i="7"/>
  <c r="D14" i="7"/>
  <c r="E13" i="7"/>
  <c r="D13" i="7"/>
  <c r="E12" i="7"/>
  <c r="D12" i="7"/>
  <c r="E11" i="7"/>
  <c r="D11" i="7"/>
  <c r="E10" i="7"/>
  <c r="D10" i="7"/>
  <c r="E9" i="7"/>
  <c r="D9" i="7"/>
  <c r="E8" i="7"/>
  <c r="D8" i="7"/>
  <c r="E7" i="7"/>
  <c r="D7" i="7"/>
  <c r="E6" i="7"/>
  <c r="D6" i="7"/>
  <c r="E5" i="7"/>
  <c r="D5" i="7"/>
  <c r="E4" i="7"/>
  <c r="D4" i="7"/>
  <c r="E3" i="7"/>
  <c r="D3" i="7"/>
  <c r="E2" i="7"/>
  <c r="D2" i="7"/>
  <c r="E206" i="5"/>
  <c r="D206" i="5"/>
  <c r="C206" i="5"/>
  <c r="E205" i="5"/>
  <c r="D205" i="5"/>
  <c r="C205" i="5"/>
  <c r="E204" i="5"/>
  <c r="C204" i="5"/>
  <c r="D204" i="5" s="1"/>
  <c r="E203" i="5"/>
  <c r="C203" i="5"/>
  <c r="D203" i="5" s="1"/>
  <c r="E202" i="5"/>
  <c r="C202" i="5"/>
  <c r="D202" i="5" s="1"/>
  <c r="E201" i="5"/>
  <c r="C201" i="5"/>
  <c r="D201" i="5" s="1"/>
  <c r="E200" i="5"/>
  <c r="D200" i="5"/>
  <c r="C200" i="5"/>
  <c r="E199" i="5"/>
  <c r="C199" i="5"/>
  <c r="D199" i="5" s="1"/>
  <c r="E198" i="5"/>
  <c r="D198" i="5"/>
  <c r="C198" i="5"/>
  <c r="E197" i="5"/>
  <c r="C197" i="5"/>
  <c r="D197" i="5" s="1"/>
  <c r="E196" i="5"/>
  <c r="C196" i="5"/>
  <c r="D196" i="5" s="1"/>
  <c r="E195" i="5"/>
  <c r="D195" i="5"/>
  <c r="C195" i="5"/>
  <c r="E194" i="5"/>
  <c r="C194" i="5"/>
  <c r="D194" i="5" s="1"/>
  <c r="E193" i="5"/>
  <c r="C193" i="5"/>
  <c r="D193" i="5" s="1"/>
  <c r="E192" i="5"/>
  <c r="C192" i="5"/>
  <c r="D192" i="5" s="1"/>
  <c r="E191" i="5"/>
  <c r="D191" i="5"/>
  <c r="C191" i="5"/>
  <c r="E190" i="5"/>
  <c r="D190" i="5"/>
  <c r="C190" i="5"/>
  <c r="E189" i="5"/>
  <c r="C189" i="5"/>
  <c r="D189" i="5" s="1"/>
  <c r="E188" i="5"/>
  <c r="C188" i="5"/>
  <c r="D188" i="5" s="1"/>
  <c r="E187" i="5"/>
  <c r="C187" i="5"/>
  <c r="D187" i="5" s="1"/>
  <c r="E186" i="5"/>
  <c r="D186" i="5"/>
  <c r="C186" i="5"/>
  <c r="E185" i="5"/>
  <c r="D185" i="5"/>
  <c r="C185" i="5"/>
  <c r="E184" i="5"/>
  <c r="D184" i="5"/>
  <c r="C184" i="5"/>
  <c r="E181" i="5"/>
  <c r="C181" i="5"/>
  <c r="D181" i="5" s="1"/>
  <c r="E180" i="5"/>
  <c r="D180" i="5"/>
  <c r="C180" i="5"/>
  <c r="E179" i="5"/>
  <c r="C179" i="5"/>
  <c r="D179" i="5" s="1"/>
  <c r="E178" i="5"/>
  <c r="D178" i="5"/>
  <c r="C178" i="5"/>
  <c r="E177" i="5"/>
  <c r="C177" i="5"/>
  <c r="D177" i="5" s="1"/>
  <c r="E176" i="5"/>
  <c r="D176" i="5"/>
  <c r="C176" i="5"/>
  <c r="E175" i="5"/>
  <c r="D175" i="5"/>
  <c r="C175" i="5"/>
  <c r="E174" i="5"/>
  <c r="C174" i="5"/>
  <c r="D174" i="5" s="1"/>
  <c r="E173" i="5"/>
  <c r="C173" i="5"/>
  <c r="D173" i="5" s="1"/>
  <c r="E172" i="5"/>
  <c r="C172" i="5"/>
  <c r="D172" i="5" s="1"/>
  <c r="E171" i="5"/>
  <c r="C171" i="5"/>
  <c r="D171" i="5" s="1"/>
  <c r="E170" i="5"/>
  <c r="D170" i="5"/>
  <c r="C170" i="5"/>
  <c r="E169" i="5"/>
  <c r="C169" i="5"/>
  <c r="D169" i="5" s="1"/>
  <c r="E168" i="5"/>
  <c r="D168" i="5"/>
  <c r="C168" i="5"/>
  <c r="E167" i="5"/>
  <c r="C167" i="5"/>
  <c r="D167" i="5" s="1"/>
  <c r="E166" i="5"/>
  <c r="D166" i="5"/>
  <c r="C166" i="5"/>
  <c r="E165" i="5"/>
  <c r="D165" i="5"/>
  <c r="C165" i="5"/>
  <c r="E164" i="5"/>
  <c r="C164" i="5"/>
  <c r="D164" i="5" s="1"/>
  <c r="E162" i="5"/>
  <c r="C162" i="5"/>
  <c r="D162" i="5" s="1"/>
  <c r="E160" i="5"/>
  <c r="D160" i="5"/>
  <c r="C160" i="5"/>
  <c r="E159" i="5"/>
  <c r="C159" i="5"/>
  <c r="D159" i="5" s="1"/>
  <c r="E157" i="5"/>
  <c r="D157" i="5"/>
  <c r="C157" i="5"/>
  <c r="E156" i="5"/>
  <c r="D156" i="5"/>
  <c r="C156" i="5"/>
  <c r="E155" i="5"/>
  <c r="D155" i="5"/>
  <c r="C155" i="5"/>
  <c r="E154" i="5"/>
  <c r="C154" i="5"/>
  <c r="D154" i="5" s="1"/>
  <c r="E153" i="5"/>
  <c r="C153" i="5"/>
  <c r="D153" i="5" s="1"/>
  <c r="E152" i="5"/>
  <c r="C152" i="5"/>
  <c r="D152" i="5" s="1"/>
  <c r="E150" i="5"/>
  <c r="D150" i="5"/>
  <c r="C150" i="5"/>
  <c r="E149" i="5"/>
  <c r="C149" i="5"/>
  <c r="D149" i="5" s="1"/>
  <c r="E148" i="5"/>
  <c r="D148" i="5"/>
  <c r="C148" i="5"/>
  <c r="E133" i="5"/>
  <c r="C133" i="5"/>
  <c r="D133" i="5" s="1"/>
  <c r="E132" i="5"/>
  <c r="C132" i="5"/>
  <c r="D132" i="5" s="1"/>
  <c r="E131" i="5"/>
  <c r="C131" i="5"/>
  <c r="D131" i="5" s="1"/>
  <c r="E130" i="5"/>
  <c r="D130" i="5"/>
  <c r="C130" i="5"/>
  <c r="E129" i="5"/>
  <c r="C129" i="5"/>
  <c r="D129" i="5" s="1"/>
  <c r="E128" i="5"/>
  <c r="D128" i="5"/>
  <c r="C128" i="5"/>
  <c r="E127" i="5"/>
  <c r="C127" i="5"/>
  <c r="D127" i="5" s="1"/>
  <c r="E126" i="5"/>
  <c r="D126" i="5"/>
  <c r="C126" i="5"/>
  <c r="E125" i="5"/>
  <c r="D125" i="5"/>
  <c r="C125" i="5"/>
  <c r="E124" i="5"/>
  <c r="C124" i="5"/>
  <c r="D124" i="5" s="1"/>
  <c r="E123" i="5"/>
  <c r="C123" i="5"/>
  <c r="D123" i="5" s="1"/>
  <c r="E122" i="5"/>
  <c r="C122" i="5"/>
  <c r="D122" i="5" s="1"/>
  <c r="E121" i="5"/>
  <c r="C121" i="5"/>
  <c r="D121" i="5" s="1"/>
  <c r="E120" i="5"/>
  <c r="D120" i="5"/>
  <c r="C120" i="5"/>
  <c r="E119" i="5"/>
  <c r="D119" i="5"/>
  <c r="C119" i="5"/>
  <c r="E118" i="5"/>
  <c r="D118" i="5"/>
  <c r="C118" i="5"/>
  <c r="E117" i="5"/>
  <c r="C117" i="5"/>
  <c r="D117" i="5" s="1"/>
  <c r="E116" i="5"/>
  <c r="C116" i="5"/>
  <c r="D116" i="5" s="1"/>
  <c r="E115" i="5"/>
  <c r="D115" i="5"/>
  <c r="C115" i="5"/>
  <c r="E114" i="5"/>
  <c r="C114" i="5"/>
  <c r="D114" i="5" s="1"/>
  <c r="E113" i="5"/>
  <c r="C113" i="5"/>
  <c r="D113" i="5" s="1"/>
  <c r="E112" i="5"/>
  <c r="C112" i="5"/>
  <c r="D112" i="5" s="1"/>
  <c r="E111" i="5"/>
  <c r="C111" i="5"/>
  <c r="D111" i="5" s="1"/>
  <c r="E110" i="5"/>
  <c r="D110" i="5"/>
  <c r="C110" i="5"/>
  <c r="E109" i="5"/>
  <c r="D109" i="5"/>
  <c r="C109" i="5"/>
  <c r="E108" i="5"/>
  <c r="C108" i="5"/>
  <c r="D108" i="5" s="1"/>
  <c r="E107" i="5"/>
  <c r="C107" i="5"/>
  <c r="D107" i="5" s="1"/>
  <c r="E106" i="5"/>
  <c r="C106" i="5"/>
  <c r="D106" i="5" s="1"/>
  <c r="E105" i="5"/>
  <c r="D105" i="5"/>
  <c r="C105" i="5"/>
  <c r="E104" i="5"/>
  <c r="D104" i="5"/>
  <c r="C104" i="5"/>
  <c r="E103" i="5"/>
  <c r="C103" i="5"/>
  <c r="D103" i="5" s="1"/>
  <c r="E102" i="5"/>
  <c r="C102" i="5"/>
  <c r="D102" i="5" s="1"/>
  <c r="E101" i="5"/>
  <c r="D101" i="5"/>
  <c r="C101" i="5"/>
  <c r="E100" i="5"/>
  <c r="D100" i="5"/>
  <c r="C100" i="5"/>
  <c r="E99" i="5"/>
  <c r="D99" i="5"/>
  <c r="C99" i="5"/>
  <c r="E98" i="5"/>
  <c r="C98" i="5"/>
  <c r="D98" i="5" s="1"/>
  <c r="E97" i="5"/>
  <c r="C97" i="5"/>
  <c r="D97" i="5" s="1"/>
  <c r="E96" i="5"/>
  <c r="C96" i="5"/>
  <c r="D96" i="5" s="1"/>
  <c r="E95" i="5"/>
  <c r="D95" i="5"/>
  <c r="C95" i="5"/>
  <c r="E94" i="5"/>
  <c r="D94" i="5"/>
  <c r="C94" i="5"/>
  <c r="E93" i="5"/>
  <c r="C93" i="5"/>
  <c r="D93" i="5" s="1"/>
  <c r="E91" i="5"/>
  <c r="D91" i="5"/>
  <c r="C91" i="5"/>
  <c r="E90" i="5"/>
  <c r="D90" i="5"/>
  <c r="C90" i="5"/>
  <c r="E89" i="5"/>
  <c r="D89" i="5"/>
  <c r="C89" i="5"/>
  <c r="E88" i="5"/>
  <c r="C88" i="5"/>
  <c r="D88" i="5" s="1"/>
  <c r="E87" i="5"/>
  <c r="C87" i="5"/>
  <c r="D87" i="5" s="1"/>
  <c r="E86" i="5"/>
  <c r="C86" i="5"/>
  <c r="D86" i="5" s="1"/>
  <c r="E85" i="5"/>
  <c r="D85" i="5"/>
  <c r="C85" i="5"/>
  <c r="E84" i="5"/>
  <c r="D84" i="5"/>
  <c r="C84" i="5"/>
  <c r="E83" i="5"/>
  <c r="C83" i="5"/>
  <c r="D83" i="5" s="1"/>
  <c r="E82" i="5"/>
  <c r="C82" i="5"/>
  <c r="D82" i="5" s="1"/>
  <c r="E81" i="5"/>
  <c r="D81" i="5"/>
  <c r="C81" i="5"/>
  <c r="E76" i="5"/>
  <c r="C76" i="5"/>
  <c r="D76" i="5" s="1"/>
  <c r="E75" i="5"/>
  <c r="D75" i="5"/>
  <c r="C75" i="5"/>
  <c r="E74" i="5"/>
  <c r="D74" i="5"/>
  <c r="C74" i="5"/>
  <c r="E73" i="5"/>
  <c r="C73" i="5"/>
  <c r="D73" i="5" s="1"/>
  <c r="E72" i="5"/>
  <c r="C72" i="5"/>
  <c r="D72" i="5" s="1"/>
  <c r="E71" i="5"/>
  <c r="D71" i="5"/>
  <c r="C71" i="5"/>
  <c r="E70" i="5"/>
  <c r="D70" i="5"/>
  <c r="C70" i="5"/>
  <c r="E69" i="5"/>
  <c r="D69" i="5"/>
  <c r="C69" i="5"/>
  <c r="E68" i="5"/>
  <c r="C68" i="5"/>
  <c r="D68" i="5" s="1"/>
  <c r="E67" i="5"/>
  <c r="C67" i="5"/>
  <c r="D67" i="5" s="1"/>
  <c r="E66" i="5"/>
  <c r="C66" i="5"/>
  <c r="D66" i="5" s="1"/>
  <c r="E65" i="5"/>
  <c r="D65" i="5"/>
  <c r="C65" i="5"/>
  <c r="E64" i="5"/>
  <c r="D64" i="5"/>
  <c r="C64" i="5"/>
  <c r="E63" i="5"/>
  <c r="C63" i="5"/>
  <c r="D63" i="5" s="1"/>
  <c r="E62" i="5"/>
  <c r="C62" i="5"/>
  <c r="D62" i="5" s="1"/>
  <c r="E61" i="5"/>
  <c r="D61" i="5"/>
  <c r="C61" i="5"/>
  <c r="E60" i="5"/>
  <c r="D60" i="5"/>
  <c r="C60" i="5"/>
  <c r="E59" i="5"/>
  <c r="D59" i="5"/>
  <c r="C59" i="5"/>
  <c r="E56" i="5"/>
  <c r="C56" i="5"/>
  <c r="D56" i="5" s="1"/>
  <c r="E55" i="5"/>
  <c r="D55" i="5"/>
  <c r="C55" i="5"/>
  <c r="E53" i="5"/>
  <c r="C53" i="5"/>
  <c r="D53" i="5" s="1"/>
  <c r="E52" i="5"/>
  <c r="C52" i="5"/>
  <c r="D52" i="5" s="1"/>
  <c r="E51" i="5"/>
  <c r="D51" i="5"/>
  <c r="C51" i="5"/>
  <c r="E50" i="5"/>
  <c r="D50" i="5"/>
  <c r="C50" i="5"/>
  <c r="E49" i="5"/>
  <c r="D49" i="5"/>
  <c r="C49" i="5"/>
  <c r="E48" i="5"/>
  <c r="C48" i="5"/>
  <c r="D48" i="5" s="1"/>
  <c r="E47" i="5"/>
  <c r="C47" i="5"/>
  <c r="D47" i="5" s="1"/>
  <c r="E46" i="5"/>
  <c r="C46" i="5"/>
  <c r="D46" i="5" s="1"/>
  <c r="E45" i="5"/>
  <c r="D45" i="5"/>
  <c r="C45" i="5"/>
  <c r="E44" i="5"/>
  <c r="D44" i="5"/>
  <c r="C44" i="5"/>
  <c r="E43" i="5"/>
  <c r="C43" i="5"/>
  <c r="D43" i="5" s="1"/>
  <c r="E42" i="5"/>
  <c r="C42" i="5"/>
  <c r="D42" i="5" s="1"/>
  <c r="E41" i="5"/>
  <c r="D41" i="5"/>
  <c r="C41" i="5"/>
  <c r="E40" i="5"/>
  <c r="D40" i="5"/>
  <c r="C40" i="5"/>
  <c r="E39" i="5"/>
  <c r="D39" i="5"/>
  <c r="C39" i="5"/>
  <c r="E38" i="5"/>
  <c r="C38" i="5"/>
  <c r="D38" i="5" s="1"/>
  <c r="E37" i="5"/>
  <c r="C37" i="5"/>
  <c r="D37" i="5" s="1"/>
  <c r="E36" i="5"/>
  <c r="C36" i="5"/>
  <c r="D36" i="5" s="1"/>
  <c r="E35" i="5"/>
  <c r="D35" i="5"/>
  <c r="C35" i="5"/>
  <c r="E34" i="5"/>
  <c r="D34" i="5"/>
  <c r="C34" i="5"/>
  <c r="E33" i="5"/>
  <c r="C33" i="5"/>
  <c r="D33" i="5" s="1"/>
  <c r="E32" i="5"/>
  <c r="C32" i="5"/>
  <c r="D32" i="5" s="1"/>
  <c r="E31" i="5"/>
  <c r="D31" i="5"/>
  <c r="C31" i="5"/>
  <c r="E30" i="5"/>
  <c r="D30" i="5"/>
  <c r="C30" i="5"/>
  <c r="E29" i="5"/>
  <c r="D29" i="5"/>
  <c r="C29" i="5"/>
  <c r="E28" i="5"/>
  <c r="C28" i="5"/>
  <c r="D28" i="5" s="1"/>
  <c r="E27" i="5"/>
  <c r="C27" i="5"/>
  <c r="D27" i="5" s="1"/>
  <c r="E26" i="5"/>
  <c r="C26" i="5"/>
  <c r="D26" i="5" s="1"/>
  <c r="E25" i="5"/>
  <c r="D25" i="5"/>
  <c r="C25" i="5"/>
  <c r="E24" i="5"/>
  <c r="D24" i="5"/>
  <c r="C24" i="5"/>
  <c r="E23" i="5"/>
  <c r="C23" i="5"/>
  <c r="D23" i="5" s="1"/>
  <c r="E22" i="5"/>
  <c r="C22" i="5"/>
  <c r="D22" i="5" s="1"/>
  <c r="E21" i="5"/>
  <c r="D21" i="5"/>
  <c r="C21" i="5"/>
  <c r="E20" i="5"/>
  <c r="D20" i="5"/>
  <c r="C20" i="5"/>
  <c r="E19" i="5"/>
  <c r="D19" i="5"/>
  <c r="C19" i="5"/>
  <c r="E18" i="5"/>
  <c r="C18" i="5"/>
  <c r="D18" i="5" s="1"/>
  <c r="E17" i="5"/>
  <c r="C17" i="5"/>
  <c r="D17" i="5" s="1"/>
  <c r="E16" i="5"/>
  <c r="C16" i="5"/>
  <c r="D16" i="5" s="1"/>
  <c r="E15" i="5"/>
  <c r="D15" i="5"/>
  <c r="C15" i="5"/>
  <c r="E14" i="5"/>
  <c r="D14" i="5"/>
  <c r="C14" i="5"/>
  <c r="E13" i="5"/>
  <c r="C13" i="5"/>
  <c r="D13" i="5" s="1"/>
  <c r="E12" i="5"/>
  <c r="C12" i="5"/>
  <c r="D12" i="5" s="1"/>
  <c r="E11" i="5"/>
  <c r="D11" i="5"/>
  <c r="C11" i="5"/>
  <c r="E10" i="5"/>
  <c r="D10" i="5"/>
  <c r="C10" i="5"/>
  <c r="E9" i="5"/>
  <c r="D9" i="5"/>
  <c r="C9" i="5"/>
  <c r="E8" i="5"/>
  <c r="C8" i="5"/>
  <c r="D8" i="5" s="1"/>
  <c r="E7" i="5"/>
  <c r="C7" i="5"/>
  <c r="D7" i="5" s="1"/>
  <c r="E6" i="5"/>
  <c r="C6" i="5"/>
  <c r="D6" i="5" s="1"/>
  <c r="E5" i="5"/>
  <c r="D5" i="5"/>
  <c r="C5" i="5"/>
  <c r="E4" i="5"/>
  <c r="D4" i="5"/>
  <c r="C4" i="5"/>
  <c r="E3" i="5"/>
  <c r="C3" i="5"/>
  <c r="D3" i="5" s="1"/>
  <c r="I9" i="4"/>
  <c r="I8" i="4"/>
  <c r="I7" i="4"/>
  <c r="I6" i="4"/>
  <c r="I5" i="4"/>
  <c r="I4" i="4"/>
  <c r="I3" i="4"/>
  <c r="I2" i="4"/>
  <c r="I10" i="4" s="1"/>
  <c r="AF611" i="3"/>
  <c r="AE611" i="3"/>
  <c r="G611" i="3"/>
  <c r="AF610" i="3"/>
  <c r="AE610" i="3"/>
  <c r="G610" i="3"/>
  <c r="AF609" i="3"/>
  <c r="AE609" i="3"/>
  <c r="G609" i="3"/>
  <c r="AF608" i="3"/>
  <c r="AE608" i="3"/>
  <c r="G608" i="3"/>
  <c r="AF607" i="3"/>
  <c r="AE607" i="3"/>
  <c r="G607" i="3"/>
  <c r="AF606" i="3"/>
  <c r="AE606" i="3"/>
  <c r="G606" i="3"/>
  <c r="AF605" i="3"/>
  <c r="AE605" i="3"/>
  <c r="G605" i="3"/>
  <c r="AF604" i="3"/>
  <c r="AE604" i="3"/>
  <c r="G604" i="3"/>
  <c r="AF603" i="3"/>
  <c r="AE603" i="3"/>
  <c r="G603" i="3"/>
  <c r="AF602" i="3"/>
  <c r="AE602" i="3"/>
  <c r="G602" i="3"/>
  <c r="AF601" i="3"/>
  <c r="AE601" i="3"/>
  <c r="G601" i="3"/>
  <c r="AF600" i="3"/>
  <c r="AE600" i="3"/>
  <c r="G600" i="3"/>
  <c r="AE599" i="3"/>
  <c r="G599" i="3"/>
  <c r="AE598" i="3"/>
  <c r="G598" i="3"/>
  <c r="AE597" i="3"/>
  <c r="G597" i="3"/>
  <c r="AE596" i="3"/>
  <c r="G596" i="3"/>
  <c r="AE595" i="3"/>
  <c r="G595" i="3"/>
  <c r="AE594" i="3"/>
  <c r="G594" i="3"/>
  <c r="AE593" i="3"/>
  <c r="G593" i="3"/>
  <c r="AE592" i="3"/>
  <c r="G592" i="3"/>
  <c r="AE591" i="3"/>
  <c r="G591" i="3"/>
  <c r="AE590" i="3"/>
  <c r="G590" i="3"/>
  <c r="AE589" i="3"/>
  <c r="G589" i="3"/>
  <c r="AE588" i="3"/>
  <c r="G588" i="3"/>
  <c r="AE587" i="3"/>
  <c r="G587" i="3"/>
  <c r="AE586" i="3"/>
  <c r="G586" i="3"/>
  <c r="AE585" i="3"/>
  <c r="G585" i="3"/>
  <c r="AE584" i="3"/>
  <c r="G584" i="3"/>
  <c r="AE583" i="3"/>
  <c r="G583" i="3"/>
  <c r="AE582" i="3"/>
  <c r="G582" i="3"/>
  <c r="AE581" i="3"/>
  <c r="G581" i="3"/>
  <c r="AE580" i="3"/>
  <c r="G580" i="3"/>
  <c r="AE579" i="3"/>
  <c r="G579" i="3"/>
  <c r="AE578" i="3"/>
  <c r="G578" i="3"/>
  <c r="AE577" i="3"/>
  <c r="G577" i="3"/>
  <c r="AE576" i="3"/>
  <c r="G576" i="3"/>
  <c r="AE575" i="3"/>
  <c r="G575" i="3"/>
  <c r="AE574" i="3"/>
  <c r="G574" i="3"/>
  <c r="AE573" i="3"/>
  <c r="G573" i="3"/>
  <c r="AE572" i="3"/>
  <c r="G572" i="3"/>
  <c r="AE571" i="3"/>
  <c r="G571" i="3"/>
  <c r="AE570" i="3"/>
  <c r="G570" i="3"/>
  <c r="AE569" i="3"/>
  <c r="G569" i="3"/>
  <c r="AE568" i="3"/>
  <c r="G568" i="3"/>
  <c r="AE567" i="3"/>
  <c r="G567" i="3"/>
  <c r="AE566" i="3"/>
  <c r="G566" i="3"/>
  <c r="AE565" i="3"/>
  <c r="G565" i="3"/>
  <c r="AE564" i="3"/>
  <c r="G564" i="3"/>
  <c r="AE563" i="3"/>
  <c r="G563" i="3"/>
  <c r="AE562" i="3"/>
  <c r="G562" i="3"/>
  <c r="AE561" i="3"/>
  <c r="G561" i="3"/>
  <c r="AE560" i="3"/>
  <c r="G560" i="3"/>
  <c r="AE559" i="3"/>
  <c r="G559" i="3"/>
  <c r="AE558" i="3"/>
  <c r="G558" i="3"/>
  <c r="AE557" i="3"/>
  <c r="G557" i="3"/>
  <c r="AE556" i="3"/>
  <c r="G556" i="3"/>
  <c r="AE555" i="3"/>
  <c r="G555" i="3"/>
  <c r="AE554" i="3"/>
  <c r="G554" i="3"/>
  <c r="AE553" i="3"/>
  <c r="G553" i="3"/>
  <c r="AE552" i="3"/>
  <c r="G552" i="3"/>
  <c r="AE551" i="3"/>
  <c r="G551" i="3"/>
  <c r="AE550" i="3"/>
  <c r="G550" i="3"/>
  <c r="AE549" i="3"/>
  <c r="G549" i="3"/>
  <c r="AE548" i="3"/>
  <c r="G548" i="3"/>
  <c r="AE547" i="3"/>
  <c r="G547" i="3"/>
  <c r="AE546" i="3"/>
  <c r="G546" i="3"/>
  <c r="AE545" i="3"/>
  <c r="G545" i="3"/>
  <c r="AE544" i="3"/>
  <c r="G544" i="3"/>
  <c r="AE543" i="3"/>
  <c r="G543" i="3"/>
  <c r="AE542" i="3"/>
  <c r="G542" i="3"/>
  <c r="AE541" i="3"/>
  <c r="G541" i="3"/>
  <c r="AE540" i="3"/>
  <c r="G540" i="3"/>
  <c r="AE539" i="3"/>
  <c r="G539" i="3"/>
  <c r="AE538" i="3"/>
  <c r="G538" i="3"/>
  <c r="AE537" i="3"/>
  <c r="G537" i="3"/>
  <c r="AE536" i="3"/>
  <c r="G536" i="3"/>
  <c r="AE535" i="3"/>
  <c r="G535" i="3"/>
  <c r="AE534" i="3"/>
  <c r="G534" i="3"/>
  <c r="AE533" i="3"/>
  <c r="G533" i="3"/>
  <c r="AE532" i="3"/>
  <c r="G532" i="3"/>
  <c r="AE531" i="3"/>
  <c r="G531" i="3"/>
  <c r="AE530" i="3"/>
  <c r="G530" i="3"/>
  <c r="AE529" i="3"/>
  <c r="G529" i="3"/>
  <c r="AE528" i="3"/>
  <c r="G528" i="3"/>
  <c r="AE527" i="3"/>
  <c r="G527" i="3"/>
  <c r="AE526" i="3"/>
  <c r="G526" i="3"/>
  <c r="AE525" i="3"/>
  <c r="G525" i="3"/>
  <c r="AE524" i="3"/>
  <c r="G524" i="3"/>
  <c r="AE523" i="3"/>
  <c r="G523" i="3"/>
  <c r="AE522" i="3"/>
  <c r="G522" i="3"/>
  <c r="AE521" i="3"/>
  <c r="G521" i="3"/>
  <c r="AE520" i="3"/>
  <c r="G520" i="3"/>
  <c r="AE519" i="3"/>
  <c r="G519" i="3"/>
  <c r="AE518" i="3"/>
  <c r="G518" i="3"/>
  <c r="AE517" i="3"/>
  <c r="G517" i="3"/>
  <c r="AE516" i="3"/>
  <c r="G516" i="3"/>
  <c r="AE515" i="3"/>
  <c r="G515" i="3"/>
  <c r="AE514" i="3"/>
  <c r="G514" i="3"/>
  <c r="AE513" i="3"/>
  <c r="G513" i="3"/>
  <c r="AE512" i="3"/>
  <c r="G512" i="3"/>
  <c r="AE511" i="3"/>
  <c r="G511" i="3"/>
  <c r="AE510" i="3"/>
  <c r="G510" i="3"/>
  <c r="AE509" i="3"/>
  <c r="G509" i="3"/>
  <c r="AE508" i="3"/>
  <c r="G508" i="3"/>
  <c r="AE507" i="3"/>
  <c r="G507" i="3"/>
  <c r="AE506" i="3"/>
  <c r="G506" i="3"/>
  <c r="AE505" i="3"/>
  <c r="G505" i="3"/>
  <c r="AE504" i="3"/>
  <c r="G504" i="3"/>
  <c r="AE503" i="3"/>
  <c r="G503" i="3"/>
  <c r="AE502" i="3"/>
  <c r="G502" i="3"/>
  <c r="AE501" i="3"/>
  <c r="G501" i="3"/>
  <c r="AE500" i="3"/>
  <c r="G500" i="3"/>
  <c r="AE499" i="3"/>
  <c r="G499" i="3"/>
  <c r="AE498" i="3"/>
  <c r="G498" i="3"/>
  <c r="AE497" i="3"/>
  <c r="G497" i="3"/>
  <c r="AE496" i="3"/>
  <c r="G496" i="3"/>
  <c r="AE495" i="3"/>
  <c r="G495" i="3"/>
  <c r="AE494" i="3"/>
  <c r="G494" i="3"/>
  <c r="AE493" i="3"/>
  <c r="G493" i="3"/>
  <c r="AE492" i="3"/>
  <c r="G492" i="3"/>
  <c r="AE491" i="3"/>
  <c r="G491" i="3"/>
  <c r="AE490" i="3"/>
  <c r="G490" i="3"/>
  <c r="AE489" i="3"/>
  <c r="G489" i="3"/>
  <c r="AE488" i="3"/>
  <c r="G488" i="3"/>
  <c r="AE487" i="3"/>
  <c r="G487" i="3"/>
  <c r="AE486" i="3"/>
  <c r="G486" i="3"/>
  <c r="AE485" i="3"/>
  <c r="G485" i="3"/>
  <c r="AE484" i="3"/>
  <c r="G484" i="3"/>
  <c r="AE483" i="3"/>
  <c r="G483" i="3"/>
  <c r="AE482" i="3"/>
  <c r="G482" i="3"/>
  <c r="AE481" i="3"/>
  <c r="G481" i="3"/>
  <c r="AE480" i="3"/>
  <c r="G480" i="3"/>
  <c r="AE479" i="3"/>
  <c r="G479" i="3"/>
  <c r="AE478" i="3"/>
  <c r="G478" i="3"/>
  <c r="AE477" i="3"/>
  <c r="G477" i="3"/>
  <c r="AE476" i="3"/>
  <c r="G476" i="3"/>
  <c r="AE475" i="3"/>
  <c r="G475" i="3"/>
  <c r="AE474" i="3"/>
  <c r="G474" i="3"/>
  <c r="AE473" i="3"/>
  <c r="G473" i="3"/>
  <c r="AE472" i="3"/>
  <c r="G472" i="3"/>
  <c r="AE471" i="3"/>
  <c r="G471" i="3"/>
  <c r="AE470" i="3"/>
  <c r="G470" i="3"/>
  <c r="AE469" i="3"/>
  <c r="G469" i="3"/>
  <c r="AE468" i="3"/>
  <c r="G468" i="3"/>
  <c r="AE467" i="3"/>
  <c r="G467" i="3"/>
  <c r="AE466" i="3"/>
  <c r="G466" i="3"/>
  <c r="AE465" i="3"/>
  <c r="G465" i="3"/>
  <c r="AE464" i="3"/>
  <c r="G464" i="3"/>
  <c r="AE463" i="3"/>
  <c r="G463" i="3"/>
  <c r="AE462" i="3"/>
  <c r="G462" i="3"/>
  <c r="AE461" i="3"/>
  <c r="G461" i="3"/>
  <c r="AE460" i="3"/>
  <c r="G460" i="3"/>
  <c r="AE459" i="3"/>
  <c r="G459" i="3"/>
  <c r="AE458" i="3"/>
  <c r="G458" i="3"/>
  <c r="AE457" i="3"/>
  <c r="G457" i="3"/>
  <c r="AE456" i="3"/>
  <c r="G456" i="3"/>
  <c r="AE455" i="3"/>
  <c r="G455" i="3"/>
  <c r="AE454" i="3"/>
  <c r="G454" i="3"/>
  <c r="AE453" i="3"/>
  <c r="G453" i="3"/>
  <c r="AE452" i="3"/>
  <c r="G452" i="3"/>
  <c r="AE451" i="3"/>
  <c r="G451" i="3"/>
  <c r="AE450" i="3"/>
  <c r="G450" i="3"/>
  <c r="AE449" i="3"/>
  <c r="G449" i="3"/>
  <c r="AE448" i="3"/>
  <c r="G448" i="3"/>
  <c r="AE447" i="3"/>
  <c r="G447" i="3"/>
  <c r="AE446" i="3"/>
  <c r="G446" i="3"/>
  <c r="AE445" i="3"/>
  <c r="G445" i="3"/>
  <c r="AE444" i="3"/>
  <c r="G444" i="3"/>
  <c r="AE443" i="3"/>
  <c r="G443" i="3"/>
  <c r="AE442" i="3"/>
  <c r="G442" i="3"/>
  <c r="AE441" i="3"/>
  <c r="G441" i="3"/>
  <c r="AE440" i="3"/>
  <c r="G440" i="3"/>
  <c r="AE439" i="3"/>
  <c r="G439" i="3"/>
  <c r="AE438" i="3"/>
  <c r="G438" i="3"/>
  <c r="AE437" i="3"/>
  <c r="G437" i="3"/>
  <c r="AE436" i="3"/>
  <c r="G436" i="3"/>
  <c r="AE435" i="3"/>
  <c r="G435" i="3"/>
  <c r="AE434" i="3"/>
  <c r="G434" i="3"/>
  <c r="AE433" i="3"/>
  <c r="G433" i="3"/>
  <c r="AE432" i="3"/>
  <c r="G432" i="3"/>
  <c r="AE431" i="3"/>
  <c r="G431" i="3"/>
  <c r="AE430" i="3"/>
  <c r="G430" i="3"/>
  <c r="AE429" i="3"/>
  <c r="G429" i="3"/>
  <c r="AE428" i="3"/>
  <c r="G428" i="3"/>
  <c r="AE427" i="3"/>
  <c r="G427" i="3"/>
  <c r="AE426" i="3"/>
  <c r="G426" i="3"/>
  <c r="AE425" i="3"/>
  <c r="G425" i="3"/>
  <c r="AE424" i="3"/>
  <c r="G424" i="3"/>
  <c r="AE423" i="3"/>
  <c r="G423" i="3"/>
  <c r="AE422" i="3"/>
  <c r="G422" i="3"/>
  <c r="AE421" i="3"/>
  <c r="G421" i="3"/>
  <c r="AE420" i="3"/>
  <c r="G420" i="3"/>
  <c r="AE419" i="3"/>
  <c r="G419" i="3"/>
  <c r="AE418" i="3"/>
  <c r="G418" i="3"/>
  <c r="AE417" i="3"/>
  <c r="G417" i="3"/>
  <c r="AE416" i="3"/>
  <c r="G416" i="3"/>
  <c r="AE415" i="3"/>
  <c r="G415" i="3"/>
  <c r="AE414" i="3"/>
  <c r="G414" i="3"/>
  <c r="AE413" i="3"/>
  <c r="G413" i="3"/>
  <c r="AE412" i="3"/>
  <c r="G412" i="3"/>
  <c r="AE411" i="3"/>
  <c r="G411" i="3"/>
  <c r="AE410" i="3"/>
  <c r="G410" i="3"/>
  <c r="AE409" i="3"/>
  <c r="G409" i="3"/>
  <c r="AE408" i="3"/>
  <c r="G408" i="3"/>
  <c r="AE407" i="3"/>
  <c r="G407" i="3"/>
  <c r="AE406" i="3"/>
  <c r="G406" i="3"/>
  <c r="AE405" i="3"/>
  <c r="G405" i="3"/>
  <c r="AE404" i="3"/>
  <c r="G404" i="3"/>
  <c r="AE403" i="3"/>
  <c r="G403" i="3"/>
  <c r="AE402" i="3"/>
  <c r="G402" i="3"/>
  <c r="AE401" i="3"/>
  <c r="G401" i="3"/>
  <c r="AE400" i="3"/>
  <c r="G400" i="3"/>
  <c r="AE399" i="3"/>
  <c r="G399" i="3"/>
  <c r="AE398" i="3"/>
  <c r="G398" i="3"/>
  <c r="AE397" i="3"/>
  <c r="G397" i="3"/>
  <c r="AE396" i="3"/>
  <c r="G396" i="3"/>
  <c r="AE395" i="3"/>
  <c r="G395" i="3"/>
  <c r="AE394" i="3"/>
  <c r="G394" i="3"/>
  <c r="AE393" i="3"/>
  <c r="G393" i="3"/>
  <c r="AE392" i="3"/>
  <c r="G392" i="3"/>
  <c r="AE391" i="3"/>
  <c r="G391" i="3"/>
  <c r="AE390" i="3"/>
  <c r="G390" i="3"/>
  <c r="AE389" i="3"/>
  <c r="G389" i="3"/>
  <c r="AE388" i="3"/>
  <c r="G388" i="3"/>
  <c r="AE387" i="3"/>
  <c r="G387" i="3"/>
  <c r="AE386" i="3"/>
  <c r="G386" i="3"/>
  <c r="AE385" i="3"/>
  <c r="G385" i="3"/>
  <c r="AE384" i="3"/>
  <c r="G384" i="3"/>
  <c r="AE383" i="3"/>
  <c r="G383" i="3"/>
  <c r="AE382" i="3"/>
  <c r="G382" i="3"/>
  <c r="AE381" i="3"/>
  <c r="G381" i="3"/>
  <c r="AE380" i="3"/>
  <c r="G380" i="3"/>
  <c r="AE379" i="3"/>
  <c r="G379" i="3"/>
  <c r="AE378" i="3"/>
  <c r="G378" i="3"/>
  <c r="AE377" i="3"/>
  <c r="G377" i="3"/>
  <c r="AE376" i="3"/>
  <c r="G376" i="3"/>
  <c r="AE375" i="3"/>
  <c r="G375" i="3"/>
  <c r="AE374" i="3"/>
  <c r="G374" i="3"/>
  <c r="AE373" i="3"/>
  <c r="G373" i="3"/>
  <c r="AE372" i="3"/>
  <c r="G372" i="3"/>
  <c r="AE371" i="3"/>
  <c r="G371" i="3"/>
  <c r="AE370" i="3"/>
  <c r="G370" i="3"/>
  <c r="AE369" i="3"/>
  <c r="G369" i="3"/>
  <c r="AE368" i="3"/>
  <c r="G368" i="3"/>
  <c r="AE367" i="3"/>
  <c r="G367" i="3"/>
  <c r="AE366" i="3"/>
  <c r="G366" i="3"/>
  <c r="AE365" i="3"/>
  <c r="G365" i="3"/>
  <c r="AE364" i="3"/>
  <c r="G364" i="3"/>
  <c r="AE363" i="3"/>
  <c r="G363" i="3"/>
  <c r="AE362" i="3"/>
  <c r="G362" i="3"/>
  <c r="AE361" i="3"/>
  <c r="G361" i="3"/>
  <c r="AE360" i="3"/>
  <c r="G360" i="3"/>
  <c r="AE359" i="3"/>
  <c r="G359" i="3"/>
  <c r="AE358" i="3"/>
  <c r="G358" i="3"/>
  <c r="AE357" i="3"/>
  <c r="G357" i="3"/>
  <c r="AE356" i="3"/>
  <c r="G356" i="3"/>
  <c r="AE355" i="3"/>
  <c r="G355" i="3"/>
  <c r="AE354" i="3"/>
  <c r="G354" i="3"/>
  <c r="AE353" i="3"/>
  <c r="G353" i="3"/>
  <c r="AE352" i="3"/>
  <c r="G352" i="3"/>
  <c r="AE351" i="3"/>
  <c r="G351" i="3"/>
  <c r="AE350" i="3"/>
  <c r="G350" i="3"/>
  <c r="AE349" i="3"/>
  <c r="G349" i="3"/>
  <c r="AE348" i="3"/>
  <c r="G348" i="3"/>
  <c r="AE347" i="3"/>
  <c r="G347" i="3"/>
  <c r="AE346" i="3"/>
  <c r="G346" i="3"/>
  <c r="AE345" i="3"/>
  <c r="G345" i="3"/>
  <c r="AE344" i="3"/>
  <c r="G344" i="3"/>
  <c r="AE343" i="3"/>
  <c r="G343" i="3"/>
  <c r="AE342" i="3"/>
  <c r="G342" i="3"/>
  <c r="AE341" i="3"/>
  <c r="G341" i="3"/>
  <c r="AE340" i="3"/>
  <c r="G340" i="3"/>
  <c r="AE339" i="3"/>
  <c r="G339" i="3"/>
  <c r="AE338" i="3"/>
  <c r="G338" i="3"/>
  <c r="AE337" i="3"/>
  <c r="G337" i="3"/>
  <c r="AE336" i="3"/>
  <c r="G336" i="3"/>
  <c r="AE335" i="3"/>
  <c r="G335" i="3"/>
  <c r="AE334" i="3"/>
  <c r="G334" i="3"/>
  <c r="AE333" i="3"/>
  <c r="G333" i="3"/>
  <c r="AE332" i="3"/>
  <c r="G332" i="3"/>
  <c r="AE331" i="3"/>
  <c r="G331" i="3"/>
  <c r="AE330" i="3"/>
  <c r="G330" i="3"/>
  <c r="AE329" i="3"/>
  <c r="G329" i="3"/>
  <c r="AE328" i="3"/>
  <c r="G328" i="3"/>
  <c r="AE327" i="3"/>
  <c r="G327" i="3"/>
  <c r="AE326" i="3"/>
  <c r="G326" i="3"/>
  <c r="AE325" i="3"/>
  <c r="G325" i="3"/>
  <c r="AE324" i="3"/>
  <c r="G324" i="3"/>
  <c r="AE323" i="3"/>
  <c r="G323" i="3"/>
  <c r="AE322" i="3"/>
  <c r="G322" i="3"/>
  <c r="AE321" i="3"/>
  <c r="G321" i="3"/>
  <c r="AE320" i="3"/>
  <c r="G320" i="3"/>
  <c r="AE319" i="3"/>
  <c r="G319" i="3"/>
  <c r="AE318" i="3"/>
  <c r="G318" i="3"/>
  <c r="AE317" i="3"/>
  <c r="G317" i="3"/>
  <c r="AE316" i="3"/>
  <c r="G316" i="3"/>
  <c r="AE315" i="3"/>
  <c r="G315" i="3"/>
  <c r="AE314" i="3"/>
  <c r="G314" i="3"/>
  <c r="AE313" i="3"/>
  <c r="G313" i="3"/>
  <c r="AE312" i="3"/>
  <c r="G312" i="3"/>
  <c r="AE311" i="3"/>
  <c r="G311" i="3"/>
  <c r="AE310" i="3"/>
  <c r="G310" i="3"/>
  <c r="AE309" i="3"/>
  <c r="G309" i="3"/>
  <c r="AE308" i="3"/>
  <c r="G308" i="3"/>
  <c r="AE307" i="3"/>
  <c r="G307" i="3"/>
  <c r="AE306" i="3"/>
  <c r="G306" i="3"/>
  <c r="AE305" i="3"/>
  <c r="G305" i="3"/>
  <c r="AE304" i="3"/>
  <c r="G304" i="3"/>
  <c r="AE303" i="3"/>
  <c r="G303" i="3"/>
  <c r="AE302" i="3"/>
  <c r="G302" i="3"/>
  <c r="AE301" i="3"/>
  <c r="G301" i="3"/>
  <c r="AE300" i="3"/>
  <c r="G300" i="3"/>
  <c r="AE299" i="3"/>
  <c r="G299" i="3"/>
  <c r="AE298" i="3"/>
  <c r="G298" i="3"/>
  <c r="AE297" i="3"/>
  <c r="G297" i="3"/>
  <c r="AE296" i="3"/>
  <c r="G296" i="3"/>
  <c r="AE295" i="3"/>
  <c r="G295" i="3"/>
  <c r="AE294" i="3"/>
  <c r="G294" i="3"/>
  <c r="AE293" i="3"/>
  <c r="G293" i="3"/>
  <c r="AE292" i="3"/>
  <c r="G292" i="3"/>
  <c r="AE291" i="3"/>
  <c r="G291" i="3"/>
  <c r="AE290" i="3"/>
  <c r="G290" i="3"/>
  <c r="AE289" i="3"/>
  <c r="G289" i="3"/>
  <c r="AE288" i="3"/>
  <c r="G288" i="3"/>
  <c r="AE287" i="3"/>
  <c r="G287" i="3"/>
  <c r="AE286" i="3"/>
  <c r="G286" i="3"/>
  <c r="AE285" i="3"/>
  <c r="G285" i="3"/>
  <c r="AE284" i="3"/>
  <c r="G284" i="3"/>
  <c r="AE283" i="3"/>
  <c r="G283" i="3"/>
  <c r="AE282" i="3"/>
  <c r="G282" i="3"/>
  <c r="AE281" i="3"/>
  <c r="G281" i="3"/>
  <c r="AE280" i="3"/>
  <c r="G280" i="3"/>
  <c r="AE279" i="3"/>
  <c r="G279" i="3"/>
  <c r="AE278" i="3"/>
  <c r="G278" i="3"/>
  <c r="AE277" i="3"/>
  <c r="G277" i="3"/>
  <c r="AE276" i="3"/>
  <c r="G276" i="3"/>
  <c r="AE275" i="3"/>
  <c r="G275" i="3"/>
  <c r="AE274" i="3"/>
  <c r="G274" i="3"/>
  <c r="AE273" i="3"/>
  <c r="G273" i="3"/>
  <c r="AE272" i="3"/>
  <c r="G272" i="3"/>
  <c r="AE271" i="3"/>
  <c r="G271" i="3"/>
  <c r="AE270" i="3"/>
  <c r="G270" i="3"/>
  <c r="AE269" i="3"/>
  <c r="G269" i="3"/>
  <c r="AE268" i="3"/>
  <c r="G268" i="3"/>
  <c r="AE267" i="3"/>
  <c r="G267" i="3"/>
  <c r="AE266" i="3"/>
  <c r="G266" i="3"/>
  <c r="AE265" i="3"/>
  <c r="G265" i="3"/>
  <c r="AE264" i="3"/>
  <c r="G264" i="3"/>
  <c r="AE263" i="3"/>
  <c r="G263" i="3"/>
  <c r="AE262" i="3"/>
  <c r="G262" i="3"/>
  <c r="AE261" i="3"/>
  <c r="G261" i="3"/>
  <c r="AE260" i="3"/>
  <c r="G260" i="3"/>
  <c r="AE259" i="3"/>
  <c r="G259" i="3"/>
  <c r="AE258" i="3"/>
  <c r="G258" i="3"/>
  <c r="AE257" i="3"/>
  <c r="G257" i="3"/>
  <c r="AE256" i="3"/>
  <c r="G256" i="3"/>
  <c r="AE255" i="3"/>
  <c r="G255" i="3"/>
  <c r="AE254" i="3"/>
  <c r="G254" i="3"/>
  <c r="AE253" i="3"/>
  <c r="G253" i="3"/>
  <c r="AE252" i="3"/>
  <c r="G252" i="3"/>
  <c r="AE251" i="3"/>
  <c r="G251" i="3"/>
  <c r="AE250" i="3"/>
  <c r="G250" i="3"/>
  <c r="AE249" i="3"/>
  <c r="G249" i="3"/>
  <c r="AE248" i="3"/>
  <c r="G248" i="3"/>
  <c r="AE247" i="3"/>
  <c r="G247" i="3"/>
  <c r="AE246" i="3"/>
  <c r="G246" i="3"/>
  <c r="AE245" i="3"/>
  <c r="G245" i="3"/>
  <c r="AE244" i="3"/>
  <c r="G244" i="3"/>
  <c r="AE243" i="3"/>
  <c r="G243" i="3"/>
  <c r="AE242" i="3"/>
  <c r="G242" i="3"/>
  <c r="AE241" i="3"/>
  <c r="G241" i="3"/>
  <c r="AE240" i="3"/>
  <c r="G240" i="3"/>
  <c r="AE239" i="3"/>
  <c r="G239" i="3"/>
  <c r="AE238" i="3"/>
  <c r="G238" i="3"/>
  <c r="AE237" i="3"/>
  <c r="G237" i="3"/>
  <c r="AE236" i="3"/>
  <c r="G236" i="3"/>
  <c r="AE235" i="3"/>
  <c r="G235" i="3"/>
  <c r="AE234" i="3"/>
  <c r="G234" i="3"/>
  <c r="AE233" i="3"/>
  <c r="G233" i="3"/>
  <c r="AE232" i="3"/>
  <c r="G232" i="3"/>
  <c r="AE231" i="3"/>
  <c r="G231" i="3"/>
  <c r="AE230" i="3"/>
  <c r="G230" i="3"/>
  <c r="AE229" i="3"/>
  <c r="G229" i="3"/>
  <c r="AE228" i="3"/>
  <c r="G228" i="3"/>
  <c r="AE227" i="3"/>
  <c r="G227" i="3"/>
  <c r="AE226" i="3"/>
  <c r="G226" i="3"/>
  <c r="AE225" i="3"/>
  <c r="G225" i="3"/>
  <c r="AE224" i="3"/>
  <c r="G224" i="3"/>
  <c r="AE223" i="3"/>
  <c r="G223" i="3"/>
  <c r="AE222" i="3"/>
  <c r="G222" i="3"/>
  <c r="AE221" i="3"/>
  <c r="G221" i="3"/>
  <c r="AE220" i="3"/>
  <c r="G220" i="3"/>
  <c r="AE219" i="3"/>
  <c r="G219" i="3"/>
  <c r="AE218" i="3"/>
  <c r="G218" i="3"/>
  <c r="AE217" i="3"/>
  <c r="G217" i="3"/>
  <c r="AE216" i="3"/>
  <c r="G216" i="3"/>
  <c r="AE215" i="3"/>
  <c r="G215" i="3"/>
  <c r="AE214" i="3"/>
  <c r="G214" i="3"/>
  <c r="AE213" i="3"/>
  <c r="G213" i="3"/>
  <c r="AE212" i="3"/>
  <c r="G212" i="3"/>
  <c r="AE211" i="3"/>
  <c r="G211" i="3"/>
  <c r="AE210" i="3"/>
  <c r="G210" i="3"/>
  <c r="AE209" i="3"/>
  <c r="G209" i="3"/>
  <c r="AE208" i="3"/>
  <c r="G208" i="3"/>
  <c r="AE207" i="3"/>
  <c r="G207" i="3"/>
  <c r="AE206" i="3"/>
  <c r="G206" i="3"/>
  <c r="AE205" i="3"/>
  <c r="G205" i="3"/>
  <c r="AE204" i="3"/>
  <c r="G204" i="3"/>
  <c r="AE203" i="3"/>
  <c r="G203" i="3"/>
  <c r="AE202" i="3"/>
  <c r="G202" i="3"/>
  <c r="AE201" i="3"/>
  <c r="G201" i="3"/>
  <c r="AE200" i="3"/>
  <c r="G200" i="3"/>
  <c r="AE199" i="3"/>
  <c r="G199" i="3"/>
  <c r="AE198" i="3"/>
  <c r="G198" i="3"/>
  <c r="AE197" i="3"/>
  <c r="G197" i="3"/>
  <c r="AE196" i="3"/>
  <c r="G196" i="3"/>
  <c r="AE195" i="3"/>
  <c r="G195" i="3"/>
  <c r="AE194" i="3"/>
  <c r="G194" i="3"/>
  <c r="AE193" i="3"/>
  <c r="G193" i="3"/>
  <c r="AE192" i="3"/>
  <c r="G192" i="3"/>
  <c r="AE191" i="3"/>
  <c r="G191" i="3"/>
  <c r="AE190" i="3"/>
  <c r="G190" i="3"/>
  <c r="AE189" i="3"/>
  <c r="G189" i="3"/>
  <c r="AE188" i="3"/>
  <c r="G188" i="3"/>
  <c r="AE187" i="3"/>
  <c r="G187" i="3"/>
  <c r="AE186" i="3"/>
  <c r="G186" i="3"/>
  <c r="AE185" i="3"/>
  <c r="G185" i="3"/>
  <c r="AE184" i="3"/>
  <c r="G184" i="3"/>
  <c r="AE183" i="3"/>
  <c r="G183" i="3"/>
  <c r="AE182" i="3"/>
  <c r="G182" i="3"/>
  <c r="AE181" i="3"/>
  <c r="G181" i="3"/>
  <c r="AE180" i="3"/>
  <c r="G180" i="3"/>
  <c r="AE179" i="3"/>
  <c r="G179" i="3"/>
  <c r="AI178" i="3"/>
  <c r="AE178" i="3"/>
  <c r="G178" i="3"/>
  <c r="AI177" i="3"/>
  <c r="AE177" i="3"/>
  <c r="G177" i="3"/>
  <c r="AI176" i="3"/>
  <c r="AE176" i="3"/>
  <c r="G176" i="3"/>
  <c r="AI175" i="3"/>
  <c r="AE175" i="3"/>
  <c r="G175" i="3"/>
  <c r="AI174" i="3"/>
  <c r="AE174" i="3"/>
  <c r="G174" i="3"/>
  <c r="AI173" i="3"/>
  <c r="AE173" i="3"/>
  <c r="G173" i="3"/>
  <c r="AI172" i="3"/>
  <c r="AE172" i="3"/>
  <c r="G172" i="3"/>
  <c r="AI171" i="3"/>
  <c r="AE171" i="3"/>
  <c r="G171" i="3"/>
  <c r="AI170" i="3"/>
  <c r="AE170" i="3"/>
  <c r="G170" i="3"/>
  <c r="AI169" i="3"/>
  <c r="AE169" i="3"/>
  <c r="G169" i="3"/>
  <c r="AI168" i="3"/>
  <c r="AE168" i="3"/>
  <c r="G168" i="3"/>
  <c r="AI167" i="3"/>
  <c r="AE167" i="3"/>
  <c r="G167" i="3"/>
  <c r="AI166" i="3"/>
  <c r="AE166" i="3"/>
  <c r="G166" i="3"/>
  <c r="AI165" i="3"/>
  <c r="AE165" i="3"/>
  <c r="G165" i="3"/>
  <c r="AI164" i="3"/>
  <c r="AE164" i="3"/>
  <c r="G164" i="3"/>
  <c r="AI163" i="3"/>
  <c r="AE163" i="3"/>
  <c r="G163" i="3"/>
  <c r="AI162" i="3"/>
  <c r="AE162" i="3"/>
  <c r="G162" i="3"/>
  <c r="AI161" i="3"/>
  <c r="AE161" i="3"/>
  <c r="G161" i="3"/>
  <c r="AI160" i="3"/>
  <c r="AE160" i="3"/>
  <c r="G160" i="3"/>
  <c r="AI159" i="3"/>
  <c r="AE159" i="3"/>
  <c r="G159" i="3"/>
  <c r="AI158" i="3"/>
  <c r="AE158" i="3"/>
  <c r="G158" i="3"/>
  <c r="AI157" i="3"/>
  <c r="AE157" i="3"/>
  <c r="G157" i="3"/>
  <c r="AI156" i="3"/>
  <c r="AE156" i="3"/>
  <c r="G156" i="3"/>
  <c r="AI155" i="3"/>
  <c r="AE155" i="3"/>
  <c r="G155" i="3"/>
  <c r="AI154" i="3"/>
  <c r="AE154" i="3"/>
  <c r="G154" i="3"/>
  <c r="AI153" i="3"/>
  <c r="AE153" i="3"/>
  <c r="G153" i="3"/>
  <c r="AI152" i="3"/>
  <c r="AE152" i="3"/>
  <c r="G152" i="3"/>
  <c r="AI151" i="3"/>
  <c r="AE151" i="3"/>
  <c r="G151" i="3"/>
  <c r="AI150" i="3"/>
  <c r="AE150" i="3"/>
  <c r="G150" i="3"/>
  <c r="AI149" i="3"/>
  <c r="AE149" i="3"/>
  <c r="G149" i="3"/>
  <c r="AI148" i="3"/>
  <c r="AE148" i="3"/>
  <c r="G148" i="3"/>
  <c r="AI147" i="3"/>
  <c r="AE147" i="3"/>
  <c r="G147" i="3"/>
  <c r="AI146" i="3"/>
  <c r="AE146" i="3"/>
  <c r="G146" i="3"/>
  <c r="AI145" i="3"/>
  <c r="AE145" i="3"/>
  <c r="G145" i="3"/>
  <c r="AI144" i="3"/>
  <c r="AE144" i="3"/>
  <c r="G144" i="3"/>
  <c r="AI143" i="3"/>
  <c r="AE143" i="3"/>
  <c r="G143" i="3"/>
  <c r="AI142" i="3"/>
  <c r="AE142" i="3"/>
  <c r="G142" i="3"/>
  <c r="AI141" i="3"/>
  <c r="AE141" i="3"/>
  <c r="G141" i="3"/>
  <c r="AI140" i="3"/>
  <c r="AE140" i="3"/>
  <c r="G140" i="3"/>
  <c r="AI139" i="3"/>
  <c r="AE139" i="3"/>
  <c r="G139" i="3"/>
  <c r="AI138" i="3"/>
  <c r="AF138" i="3"/>
  <c r="AE138" i="3"/>
  <c r="G138" i="3"/>
  <c r="AI137" i="3"/>
  <c r="AF137" i="3"/>
  <c r="AE137" i="3"/>
  <c r="G137" i="3"/>
  <c r="AI136" i="3"/>
  <c r="AF136" i="3"/>
  <c r="AE136" i="3"/>
  <c r="G136" i="3"/>
  <c r="AI135" i="3"/>
  <c r="AF135" i="3"/>
  <c r="AE135" i="3"/>
  <c r="G135" i="3"/>
  <c r="AI134" i="3"/>
  <c r="AF134" i="3"/>
  <c r="AE134" i="3"/>
  <c r="G134" i="3"/>
  <c r="AI133" i="3"/>
  <c r="AF133" i="3"/>
  <c r="AE133" i="3"/>
  <c r="G133" i="3"/>
  <c r="AI132" i="3"/>
  <c r="AF132" i="3"/>
  <c r="AE132" i="3"/>
  <c r="G132" i="3"/>
  <c r="AI131" i="3"/>
  <c r="AF131" i="3"/>
  <c r="AE131" i="3"/>
  <c r="G131" i="3"/>
  <c r="AI130" i="3"/>
  <c r="AF130" i="3"/>
  <c r="AE130" i="3"/>
  <c r="G130" i="3"/>
  <c r="AI129" i="3"/>
  <c r="AF129" i="3"/>
  <c r="AE129" i="3"/>
  <c r="G129" i="3"/>
  <c r="AI128" i="3"/>
  <c r="AF128" i="3"/>
  <c r="AE128" i="3"/>
  <c r="G128" i="3"/>
  <c r="AI127" i="3"/>
  <c r="AF127" i="3"/>
  <c r="AE127" i="3"/>
  <c r="G127" i="3"/>
  <c r="AI126" i="3"/>
  <c r="AF126" i="3"/>
  <c r="AE126" i="3"/>
  <c r="G126" i="3"/>
  <c r="AI125" i="3"/>
  <c r="AF125" i="3"/>
  <c r="AE125" i="3"/>
  <c r="G125" i="3"/>
  <c r="AI124" i="3"/>
  <c r="AF124" i="3"/>
  <c r="AE124" i="3"/>
  <c r="G124" i="3"/>
  <c r="AI123" i="3"/>
  <c r="AF123" i="3"/>
  <c r="AE123" i="3"/>
  <c r="G123" i="3"/>
  <c r="AI122" i="3"/>
  <c r="AF122" i="3"/>
  <c r="AE122" i="3"/>
  <c r="G122" i="3"/>
  <c r="AI121" i="3"/>
  <c r="AF121" i="3"/>
  <c r="AE121" i="3"/>
  <c r="G121" i="3"/>
  <c r="AI120" i="3"/>
  <c r="AF120" i="3"/>
  <c r="AE120" i="3"/>
  <c r="G120" i="3"/>
  <c r="AI119" i="3"/>
  <c r="AF119" i="3"/>
  <c r="AE119" i="3"/>
  <c r="G119" i="3"/>
  <c r="AI118" i="3"/>
  <c r="AF118" i="3"/>
  <c r="AE118" i="3"/>
  <c r="G118" i="3"/>
  <c r="AI117" i="3"/>
  <c r="AF117" i="3"/>
  <c r="AE117" i="3"/>
  <c r="G117" i="3"/>
  <c r="AI116" i="3"/>
  <c r="AF116" i="3"/>
  <c r="AE116" i="3"/>
  <c r="G116" i="3"/>
  <c r="AI115" i="3"/>
  <c r="AF115" i="3"/>
  <c r="AE115" i="3"/>
  <c r="G115" i="3"/>
  <c r="AI114" i="3"/>
  <c r="AF114" i="3"/>
  <c r="AE114" i="3"/>
  <c r="G114" i="3"/>
  <c r="AI113" i="3"/>
  <c r="AF113" i="3"/>
  <c r="AE113" i="3"/>
  <c r="G113" i="3"/>
  <c r="AI112" i="3"/>
  <c r="AF112" i="3"/>
  <c r="AE112" i="3"/>
  <c r="G112" i="3"/>
  <c r="AI111" i="3"/>
  <c r="AF111" i="3"/>
  <c r="AE111" i="3"/>
  <c r="G111" i="3"/>
  <c r="AI110" i="3"/>
  <c r="AF110" i="3"/>
  <c r="AE110" i="3"/>
  <c r="G110" i="3"/>
  <c r="AI109" i="3"/>
  <c r="AF109" i="3"/>
  <c r="AE109" i="3"/>
  <c r="G109" i="3"/>
  <c r="AI108" i="3"/>
  <c r="AF108" i="3"/>
  <c r="AE108" i="3"/>
  <c r="G108" i="3"/>
  <c r="AI107" i="3"/>
  <c r="AF107" i="3"/>
  <c r="AE107" i="3"/>
  <c r="G107" i="3"/>
  <c r="AI106" i="3"/>
  <c r="AF106" i="3"/>
  <c r="AE106" i="3"/>
  <c r="G106" i="3"/>
  <c r="AI105" i="3"/>
  <c r="AF105" i="3"/>
  <c r="AE105" i="3"/>
  <c r="G105" i="3"/>
  <c r="AI104" i="3"/>
  <c r="AF104" i="3"/>
  <c r="AE104" i="3"/>
  <c r="G104" i="3"/>
  <c r="AI103" i="3"/>
  <c r="AF103" i="3"/>
  <c r="AE103" i="3"/>
  <c r="G103" i="3"/>
  <c r="AI102" i="3"/>
  <c r="AF102" i="3"/>
  <c r="AE102" i="3"/>
  <c r="G102" i="3"/>
  <c r="AI101" i="3"/>
  <c r="AF101" i="3"/>
  <c r="AE101" i="3"/>
  <c r="G101" i="3"/>
  <c r="AI100" i="3"/>
  <c r="AF100" i="3"/>
  <c r="AE100" i="3"/>
  <c r="G100" i="3"/>
  <c r="AI99" i="3"/>
  <c r="AF99" i="3"/>
  <c r="AE99" i="3"/>
  <c r="G99" i="3"/>
  <c r="AI98" i="3"/>
  <c r="AF98" i="3"/>
  <c r="AE98" i="3"/>
  <c r="G98" i="3"/>
  <c r="AI97" i="3"/>
  <c r="AF97" i="3"/>
  <c r="AE97" i="3"/>
  <c r="G97" i="3"/>
  <c r="AI96" i="3"/>
  <c r="AF96" i="3"/>
  <c r="AE96" i="3"/>
  <c r="G96" i="3"/>
  <c r="AI95" i="3"/>
  <c r="AF95" i="3"/>
  <c r="AE95" i="3"/>
  <c r="G95" i="3"/>
  <c r="AI94" i="3"/>
  <c r="AF94" i="3"/>
  <c r="AE94" i="3"/>
  <c r="G94" i="3"/>
  <c r="AI93" i="3"/>
  <c r="AF93" i="3"/>
  <c r="AE93" i="3"/>
  <c r="G93" i="3"/>
  <c r="AI92" i="3"/>
  <c r="AF92" i="3"/>
  <c r="AE92" i="3"/>
  <c r="G92" i="3"/>
  <c r="AI91" i="3"/>
  <c r="AF91" i="3"/>
  <c r="AE91" i="3"/>
  <c r="G91" i="3"/>
  <c r="AI90" i="3"/>
  <c r="AF90" i="3"/>
  <c r="AE90" i="3"/>
  <c r="G90" i="3"/>
  <c r="AI89" i="3"/>
  <c r="AF89" i="3"/>
  <c r="AE89" i="3"/>
  <c r="G89" i="3"/>
  <c r="AI88" i="3"/>
  <c r="AF88" i="3"/>
  <c r="AE88" i="3"/>
  <c r="G88" i="3"/>
  <c r="AI87" i="3"/>
  <c r="AF87" i="3"/>
  <c r="AE87" i="3"/>
  <c r="G87" i="3"/>
  <c r="AI86" i="3"/>
  <c r="AF86" i="3"/>
  <c r="AE86" i="3"/>
  <c r="G86" i="3"/>
  <c r="AI85" i="3"/>
  <c r="AF85" i="3"/>
  <c r="AE85" i="3"/>
  <c r="G85" i="3"/>
  <c r="AI84" i="3"/>
  <c r="AF84" i="3"/>
  <c r="AE84" i="3"/>
  <c r="G84" i="3"/>
  <c r="AI83" i="3"/>
  <c r="AF83" i="3"/>
  <c r="AE83" i="3"/>
  <c r="G83" i="3"/>
  <c r="AI82" i="3"/>
  <c r="AF82" i="3"/>
  <c r="AE82" i="3"/>
  <c r="G82" i="3"/>
  <c r="AI81" i="3"/>
  <c r="AF81" i="3"/>
  <c r="AE81" i="3"/>
  <c r="G81" i="3"/>
  <c r="AI80" i="3"/>
  <c r="AF80" i="3"/>
  <c r="AE80" i="3"/>
  <c r="G80" i="3"/>
  <c r="AI79" i="3"/>
  <c r="AF79" i="3"/>
  <c r="AE79" i="3"/>
  <c r="G79" i="3"/>
  <c r="AI78" i="3"/>
  <c r="AF78" i="3"/>
  <c r="AE78" i="3"/>
  <c r="G78" i="3"/>
  <c r="AI77" i="3"/>
  <c r="AF77" i="3"/>
  <c r="AE77" i="3"/>
  <c r="G77" i="3"/>
  <c r="AI76" i="3"/>
  <c r="AF76" i="3"/>
  <c r="AE76" i="3"/>
  <c r="G76" i="3"/>
  <c r="AI75" i="3"/>
  <c r="AF75" i="3"/>
  <c r="AE75" i="3"/>
  <c r="G75" i="3"/>
  <c r="AI74" i="3"/>
  <c r="AF74" i="3"/>
  <c r="AE74" i="3"/>
  <c r="G74" i="3"/>
  <c r="AI73" i="3"/>
  <c r="AF73" i="3"/>
  <c r="AE73" i="3"/>
  <c r="G73" i="3"/>
  <c r="AI72" i="3"/>
  <c r="AF72" i="3"/>
  <c r="AE72" i="3"/>
  <c r="G72" i="3"/>
  <c r="AI71" i="3"/>
  <c r="AF71" i="3"/>
  <c r="AE71" i="3"/>
  <c r="G71" i="3"/>
  <c r="AI70" i="3"/>
  <c r="AF70" i="3"/>
  <c r="AE70" i="3"/>
  <c r="G70" i="3"/>
  <c r="AI69" i="3"/>
  <c r="AF69" i="3"/>
  <c r="AE69" i="3"/>
  <c r="G69" i="3"/>
  <c r="AI68" i="3"/>
  <c r="AF68" i="3"/>
  <c r="AE68" i="3"/>
  <c r="G68" i="3"/>
  <c r="AI67" i="3"/>
  <c r="AF67" i="3"/>
  <c r="AE67" i="3"/>
  <c r="G67" i="3"/>
  <c r="AI66" i="3"/>
  <c r="AF66" i="3"/>
  <c r="AE66" i="3"/>
  <c r="G66" i="3"/>
  <c r="AI65" i="3"/>
  <c r="AF65" i="3"/>
  <c r="AE65" i="3"/>
  <c r="G65" i="3"/>
  <c r="AI64" i="3"/>
  <c r="AF64" i="3"/>
  <c r="AE64" i="3"/>
  <c r="G64" i="3"/>
  <c r="AI63" i="3"/>
  <c r="AF63" i="3"/>
  <c r="AE63" i="3"/>
  <c r="G63" i="3"/>
  <c r="AI62" i="3"/>
  <c r="AF62" i="3"/>
  <c r="AE62" i="3"/>
  <c r="G62" i="3"/>
  <c r="AI61" i="3"/>
  <c r="AF61" i="3"/>
  <c r="AE61" i="3"/>
  <c r="G61" i="3"/>
  <c r="AI60" i="3"/>
  <c r="AF60" i="3"/>
  <c r="AE60" i="3"/>
  <c r="G60" i="3"/>
  <c r="AI59" i="3"/>
  <c r="AF59" i="3"/>
  <c r="AE59" i="3"/>
  <c r="G59" i="3"/>
  <c r="AI58" i="3"/>
  <c r="AF58" i="3"/>
  <c r="AE58" i="3"/>
  <c r="G58" i="3"/>
  <c r="AI57" i="3"/>
  <c r="AF57" i="3"/>
  <c r="AE57" i="3"/>
  <c r="G57" i="3"/>
  <c r="AI56" i="3"/>
  <c r="AF56" i="3"/>
  <c r="AE56" i="3"/>
  <c r="G56" i="3"/>
  <c r="AI55" i="3"/>
  <c r="AF55" i="3"/>
  <c r="AE55" i="3"/>
  <c r="G55" i="3"/>
  <c r="AI54" i="3"/>
  <c r="AF54" i="3"/>
  <c r="AE54" i="3"/>
  <c r="G54" i="3"/>
  <c r="AI53" i="3"/>
  <c r="AF53" i="3"/>
  <c r="AE53" i="3"/>
  <c r="G53" i="3"/>
  <c r="AI52" i="3"/>
  <c r="AF52" i="3"/>
  <c r="AE52" i="3"/>
  <c r="G52" i="3"/>
  <c r="AI51" i="3"/>
  <c r="AF51" i="3"/>
  <c r="AE51" i="3"/>
  <c r="G51" i="3"/>
  <c r="AI50" i="3"/>
  <c r="AF50" i="3"/>
  <c r="AE50" i="3"/>
  <c r="G50" i="3"/>
  <c r="AI49" i="3"/>
  <c r="AF49" i="3"/>
  <c r="AE49" i="3"/>
  <c r="G49" i="3"/>
  <c r="AI48" i="3"/>
  <c r="AF48" i="3"/>
  <c r="AE48" i="3"/>
  <c r="G48" i="3"/>
  <c r="AI47" i="3"/>
  <c r="AF47" i="3"/>
  <c r="AE47" i="3"/>
  <c r="G47" i="3"/>
  <c r="AI46" i="3"/>
  <c r="AF46" i="3"/>
  <c r="AE46" i="3"/>
  <c r="G46" i="3"/>
  <c r="AI44" i="3"/>
  <c r="AF44" i="3"/>
  <c r="AE44" i="3"/>
  <c r="G44" i="3"/>
  <c r="AI43" i="3"/>
  <c r="AF43" i="3"/>
  <c r="AE43" i="3"/>
  <c r="G43" i="3"/>
  <c r="AI42" i="3"/>
  <c r="AF42" i="3"/>
  <c r="AE42" i="3"/>
  <c r="G42" i="3"/>
  <c r="AI41" i="3"/>
  <c r="AF41" i="3"/>
  <c r="AE41" i="3"/>
  <c r="G41" i="3"/>
  <c r="AI40" i="3"/>
  <c r="AF40" i="3"/>
  <c r="AE40" i="3"/>
  <c r="G40" i="3"/>
  <c r="AI39" i="3"/>
  <c r="AF39" i="3"/>
  <c r="AE39" i="3"/>
  <c r="G39" i="3"/>
  <c r="AI38" i="3"/>
  <c r="AF38" i="3"/>
  <c r="AE38" i="3"/>
  <c r="G38" i="3"/>
  <c r="AI37" i="3"/>
  <c r="AF37" i="3"/>
  <c r="AE37" i="3"/>
  <c r="G37" i="3"/>
  <c r="AI36" i="3"/>
  <c r="AF36" i="3"/>
  <c r="AE36" i="3"/>
  <c r="G36" i="3"/>
  <c r="AI35" i="3"/>
  <c r="AF35" i="3"/>
  <c r="AE35" i="3"/>
  <c r="G35" i="3"/>
  <c r="AI34" i="3"/>
  <c r="AF34" i="3"/>
  <c r="AE34" i="3"/>
  <c r="G34" i="3"/>
  <c r="AI33" i="3"/>
  <c r="AF33" i="3"/>
  <c r="AE33" i="3"/>
  <c r="G33" i="3"/>
  <c r="AI32" i="3"/>
  <c r="AF32" i="3"/>
  <c r="AE32" i="3"/>
  <c r="G32" i="3"/>
  <c r="AI31" i="3"/>
  <c r="AF31" i="3"/>
  <c r="AE31" i="3"/>
  <c r="G31" i="3"/>
  <c r="AI30" i="3"/>
  <c r="AF30" i="3"/>
  <c r="AE30" i="3"/>
  <c r="G30" i="3"/>
  <c r="AI29" i="3"/>
  <c r="AF29" i="3"/>
  <c r="AE29" i="3"/>
  <c r="G29" i="3"/>
  <c r="AI28" i="3"/>
  <c r="AF28" i="3"/>
  <c r="AE28" i="3"/>
  <c r="G28" i="3"/>
  <c r="AI27" i="3"/>
  <c r="AF27" i="3"/>
  <c r="AE27" i="3"/>
  <c r="G27" i="3"/>
  <c r="AI26" i="3"/>
  <c r="AF26" i="3"/>
  <c r="AE26" i="3"/>
  <c r="G26" i="3"/>
  <c r="AI25" i="3"/>
  <c r="AF25" i="3"/>
  <c r="AE25" i="3"/>
  <c r="G25" i="3"/>
  <c r="AI24" i="3"/>
  <c r="AF24" i="3"/>
  <c r="AE24" i="3"/>
  <c r="G24" i="3"/>
  <c r="AI23" i="3"/>
  <c r="AF23" i="3"/>
  <c r="AE23" i="3"/>
  <c r="G23" i="3"/>
  <c r="AI22" i="3"/>
  <c r="AF22" i="3"/>
  <c r="AE22" i="3"/>
  <c r="G22" i="3"/>
  <c r="AI21" i="3"/>
  <c r="AF21" i="3"/>
  <c r="AE21" i="3"/>
  <c r="G21" i="3"/>
  <c r="AI20" i="3"/>
  <c r="AF20" i="3"/>
  <c r="AE20" i="3"/>
  <c r="G20" i="3"/>
  <c r="AI19" i="3"/>
  <c r="AF19" i="3"/>
  <c r="AE19" i="3"/>
  <c r="G19" i="3"/>
  <c r="AI18" i="3"/>
  <c r="AF18" i="3"/>
  <c r="AE18" i="3"/>
  <c r="G18" i="3"/>
  <c r="AI17" i="3"/>
  <c r="AF17" i="3"/>
  <c r="AE17" i="3"/>
  <c r="G17" i="3"/>
  <c r="AI16" i="3"/>
  <c r="AF16" i="3"/>
  <c r="AE16" i="3"/>
  <c r="G16" i="3"/>
  <c r="AI15" i="3"/>
  <c r="AF15" i="3"/>
  <c r="AE15" i="3"/>
  <c r="G15" i="3"/>
  <c r="AI14" i="3"/>
  <c r="AF14" i="3"/>
  <c r="AE14" i="3"/>
  <c r="G14" i="3"/>
  <c r="AI13" i="3"/>
  <c r="AF13" i="3"/>
  <c r="AE13" i="3"/>
  <c r="G13" i="3"/>
  <c r="AI12" i="3"/>
  <c r="AF12" i="3"/>
  <c r="AE12" i="3"/>
  <c r="G12" i="3"/>
  <c r="AI11" i="3"/>
  <c r="AF11" i="3"/>
  <c r="AE11" i="3"/>
  <c r="G11" i="3"/>
  <c r="AI10" i="3"/>
  <c r="AF10" i="3"/>
  <c r="AE10" i="3"/>
  <c r="G10" i="3"/>
  <c r="AI9" i="3"/>
  <c r="AF9" i="3"/>
  <c r="AE9" i="3"/>
  <c r="G9" i="3"/>
  <c r="AI8" i="3"/>
  <c r="AF8" i="3"/>
  <c r="AE8" i="3"/>
  <c r="G8" i="3"/>
  <c r="AI7" i="3"/>
  <c r="AF7" i="3"/>
  <c r="AE7" i="3"/>
  <c r="G7" i="3"/>
  <c r="AI6" i="3"/>
  <c r="AF6" i="3"/>
  <c r="AE6" i="3"/>
  <c r="G6" i="3"/>
  <c r="AI5" i="3"/>
  <c r="AF5" i="3"/>
  <c r="AE5" i="3"/>
  <c r="G5" i="3"/>
  <c r="AI4" i="3"/>
  <c r="AF4" i="3"/>
  <c r="AE4" i="3"/>
  <c r="G4" i="3"/>
  <c r="AI3" i="3"/>
  <c r="AF3" i="3"/>
  <c r="AE3" i="3"/>
  <c r="G3" i="3"/>
  <c r="AI2" i="3"/>
  <c r="AF2" i="3"/>
  <c r="AE2" i="3"/>
  <c r="G2" i="3"/>
  <c r="J118" i="2"/>
  <c r="E214" i="5" s="1"/>
  <c r="F118" i="2"/>
  <c r="C214" i="5" s="1"/>
  <c r="D214" i="5" s="1"/>
  <c r="D118" i="2"/>
  <c r="B118" i="2"/>
  <c r="J117" i="2"/>
  <c r="E213" i="5" s="1"/>
  <c r="F117" i="2"/>
  <c r="C213" i="5" s="1"/>
  <c r="D213" i="5" s="1"/>
  <c r="D117" i="2"/>
  <c r="B117" i="2"/>
  <c r="J116" i="2"/>
  <c r="F116" i="2"/>
  <c r="D116" i="2"/>
  <c r="B116" i="2"/>
  <c r="J115" i="2"/>
  <c r="F115" i="2"/>
  <c r="D115" i="2"/>
  <c r="B115" i="2"/>
  <c r="J114" i="2"/>
  <c r="E212" i="5" s="1"/>
  <c r="F114" i="2"/>
  <c r="C212" i="5" s="1"/>
  <c r="D212" i="5" s="1"/>
  <c r="D114" i="2"/>
  <c r="B114" i="2"/>
  <c r="J113" i="2"/>
  <c r="F113" i="2"/>
  <c r="D113" i="2"/>
  <c r="B113" i="2"/>
  <c r="J112" i="2"/>
  <c r="F112" i="2"/>
  <c r="D112" i="2"/>
  <c r="B112" i="2"/>
  <c r="J111" i="2"/>
  <c r="F111" i="2"/>
  <c r="D111" i="2"/>
  <c r="B111" i="2"/>
  <c r="J110" i="2"/>
  <c r="E211" i="5" s="1"/>
  <c r="F110" i="2"/>
  <c r="C211" i="5" s="1"/>
  <c r="D211" i="5" s="1"/>
  <c r="D110" i="2"/>
  <c r="B110" i="2"/>
  <c r="J109" i="2"/>
  <c r="E54" i="5" s="1"/>
  <c r="F109" i="2"/>
  <c r="C54" i="5" s="1"/>
  <c r="D54" i="5" s="1"/>
  <c r="D109" i="2"/>
  <c r="B109" i="2"/>
  <c r="J108" i="2"/>
  <c r="F108" i="2"/>
  <c r="D108" i="2"/>
  <c r="B108" i="2"/>
  <c r="J107" i="2"/>
  <c r="E210" i="5" s="1"/>
  <c r="F107" i="2"/>
  <c r="C210" i="5" s="1"/>
  <c r="D210" i="5" s="1"/>
  <c r="D107" i="2"/>
  <c r="B107" i="2"/>
  <c r="J106" i="2"/>
  <c r="E209" i="5" s="1"/>
  <c r="F106" i="2"/>
  <c r="C209" i="5" s="1"/>
  <c r="D209" i="5" s="1"/>
  <c r="D106" i="2"/>
  <c r="B106" i="2"/>
  <c r="J105" i="2"/>
  <c r="E208" i="5" s="1"/>
  <c r="F105" i="2"/>
  <c r="C208" i="5" s="1"/>
  <c r="D208" i="5" s="1"/>
  <c r="D105" i="2"/>
  <c r="B105" i="2"/>
  <c r="J104" i="2"/>
  <c r="F104" i="2"/>
  <c r="D104" i="2"/>
  <c r="B104" i="2"/>
  <c r="J103" i="2"/>
  <c r="E183" i="5" s="1"/>
  <c r="F103" i="2"/>
  <c r="C183" i="5" s="1"/>
  <c r="D183" i="5" s="1"/>
  <c r="D103" i="2"/>
  <c r="B103" i="2"/>
  <c r="J102" i="2"/>
  <c r="F102" i="2"/>
  <c r="D102" i="2"/>
  <c r="B102" i="2"/>
  <c r="J101" i="2"/>
  <c r="F101" i="2"/>
  <c r="D101" i="2"/>
  <c r="B101" i="2"/>
  <c r="J100" i="2"/>
  <c r="F100" i="2"/>
  <c r="D100" i="2"/>
  <c r="B100" i="2"/>
  <c r="J99" i="2"/>
  <c r="F99" i="2"/>
  <c r="D99" i="2"/>
  <c r="B99" i="2"/>
  <c r="J98" i="2"/>
  <c r="F98" i="2"/>
  <c r="D98" i="2"/>
  <c r="B98" i="2"/>
  <c r="J97" i="2"/>
  <c r="F97" i="2"/>
  <c r="D97" i="2"/>
  <c r="B97" i="2"/>
  <c r="J96" i="2"/>
  <c r="F96" i="2"/>
  <c r="C182" i="5" s="1"/>
  <c r="D182" i="5" s="1"/>
  <c r="D96" i="2"/>
  <c r="C8" i="4" s="1"/>
  <c r="B96" i="2"/>
  <c r="J95" i="2"/>
  <c r="F95" i="2"/>
  <c r="D95" i="2"/>
  <c r="B95" i="2"/>
  <c r="J94" i="2"/>
  <c r="F94" i="2"/>
  <c r="D94" i="2"/>
  <c r="B94" i="2"/>
  <c r="J93" i="2"/>
  <c r="F93" i="2"/>
  <c r="D93" i="2"/>
  <c r="B93" i="2"/>
  <c r="J92" i="2"/>
  <c r="F92" i="2"/>
  <c r="D92" i="2"/>
  <c r="B92" i="2"/>
  <c r="J91" i="2"/>
  <c r="F91" i="2"/>
  <c r="D91" i="2"/>
  <c r="B91" i="2"/>
  <c r="J90" i="2"/>
  <c r="F90" i="2"/>
  <c r="D90" i="2"/>
  <c r="B90" i="2"/>
  <c r="J89" i="2"/>
  <c r="F89" i="2"/>
  <c r="D89" i="2"/>
  <c r="B89" i="2"/>
  <c r="J88" i="2"/>
  <c r="F88" i="2"/>
  <c r="D88" i="2"/>
  <c r="B88" i="2"/>
  <c r="J87" i="2"/>
  <c r="F87" i="2"/>
  <c r="C142" i="5" s="1"/>
  <c r="D142" i="5" s="1"/>
  <c r="D87" i="2"/>
  <c r="B87" i="2"/>
  <c r="J86" i="2"/>
  <c r="E163" i="5" s="1"/>
  <c r="F86" i="2"/>
  <c r="C163" i="5" s="1"/>
  <c r="D163" i="5" s="1"/>
  <c r="D86" i="2"/>
  <c r="B86" i="2"/>
  <c r="J85" i="2"/>
  <c r="E141" i="5" s="1"/>
  <c r="F85" i="2"/>
  <c r="C141" i="5" s="1"/>
  <c r="D141" i="5" s="1"/>
  <c r="D85" i="2"/>
  <c r="B85" i="2"/>
  <c r="J84" i="2"/>
  <c r="F84" i="2"/>
  <c r="C138" i="5" s="1"/>
  <c r="D138" i="5" s="1"/>
  <c r="D84" i="2"/>
  <c r="B84" i="2"/>
  <c r="J83" i="2"/>
  <c r="E140" i="5" s="1"/>
  <c r="F83" i="2"/>
  <c r="C140" i="5" s="1"/>
  <c r="D140" i="5" s="1"/>
  <c r="D83" i="2"/>
  <c r="B83" i="2"/>
  <c r="J82" i="2"/>
  <c r="E161" i="5" s="1"/>
  <c r="F82" i="2"/>
  <c r="C161" i="5" s="1"/>
  <c r="D161" i="5" s="1"/>
  <c r="D82" i="2"/>
  <c r="B82" i="2"/>
  <c r="J81" i="2"/>
  <c r="F81" i="2"/>
  <c r="D81" i="2"/>
  <c r="B81" i="2"/>
  <c r="J80" i="2"/>
  <c r="F80" i="2"/>
  <c r="D80" i="2"/>
  <c r="B80" i="2"/>
  <c r="J79" i="2"/>
  <c r="F79" i="2"/>
  <c r="C139" i="5" s="1"/>
  <c r="D139" i="5" s="1"/>
  <c r="D79" i="2"/>
  <c r="B79" i="2"/>
  <c r="J78" i="2"/>
  <c r="E158" i="5" s="1"/>
  <c r="F78" i="2"/>
  <c r="C158" i="5" s="1"/>
  <c r="D158" i="5" s="1"/>
  <c r="D78" i="2"/>
  <c r="B78" i="2"/>
  <c r="J77" i="2"/>
  <c r="E151" i="5" s="1"/>
  <c r="F77" i="2"/>
  <c r="C151" i="5" s="1"/>
  <c r="D151" i="5" s="1"/>
  <c r="D77" i="2"/>
  <c r="B77" i="2"/>
  <c r="J76" i="2"/>
  <c r="E147" i="5" s="1"/>
  <c r="F76" i="2"/>
  <c r="C147" i="5" s="1"/>
  <c r="D147" i="5" s="1"/>
  <c r="D76" i="2"/>
  <c r="B76" i="2"/>
  <c r="J75" i="2"/>
  <c r="F75" i="2"/>
  <c r="D75" i="2"/>
  <c r="B75" i="2"/>
  <c r="J74" i="2"/>
  <c r="F74" i="2"/>
  <c r="D74" i="2"/>
  <c r="B74" i="2"/>
  <c r="J73" i="2"/>
  <c r="F73" i="2"/>
  <c r="D73" i="2"/>
  <c r="B73" i="2"/>
  <c r="J72" i="2"/>
  <c r="F72" i="2"/>
  <c r="D72" i="2"/>
  <c r="B72" i="2"/>
  <c r="J71" i="2"/>
  <c r="F71" i="2"/>
  <c r="D71" i="2"/>
  <c r="B71" i="2"/>
  <c r="J70" i="2"/>
  <c r="F70" i="2"/>
  <c r="C137" i="5" s="1"/>
  <c r="D137" i="5" s="1"/>
  <c r="D70" i="2"/>
  <c r="B70" i="2"/>
  <c r="J69" i="2"/>
  <c r="E146" i="5" s="1"/>
  <c r="F69" i="2"/>
  <c r="C146" i="5" s="1"/>
  <c r="D146" i="5" s="1"/>
  <c r="D69" i="2"/>
  <c r="B69" i="2"/>
  <c r="J68" i="2"/>
  <c r="E145" i="5" s="1"/>
  <c r="F68" i="2"/>
  <c r="C145" i="5" s="1"/>
  <c r="D145" i="5" s="1"/>
  <c r="D68" i="2"/>
  <c r="B68" i="2"/>
  <c r="J67" i="2"/>
  <c r="E144" i="5" s="1"/>
  <c r="F67" i="2"/>
  <c r="C144" i="5" s="1"/>
  <c r="D144" i="5" s="1"/>
  <c r="D67" i="2"/>
  <c r="B67" i="2"/>
  <c r="J66" i="2"/>
  <c r="E143" i="5" s="1"/>
  <c r="F66" i="2"/>
  <c r="C143" i="5" s="1"/>
  <c r="D143" i="5" s="1"/>
  <c r="D66" i="2"/>
  <c r="B66" i="2"/>
  <c r="J65" i="2"/>
  <c r="F65" i="2"/>
  <c r="D65" i="2"/>
  <c r="B65" i="2"/>
  <c r="J64" i="2"/>
  <c r="F64" i="2"/>
  <c r="D64" i="2"/>
  <c r="B64" i="2"/>
  <c r="J63" i="2"/>
  <c r="F63" i="2"/>
  <c r="D63" i="2"/>
  <c r="B63" i="2"/>
  <c r="J62" i="2"/>
  <c r="F62" i="2"/>
  <c r="D62" i="2"/>
  <c r="B62" i="2"/>
  <c r="J61" i="2"/>
  <c r="F61" i="2"/>
  <c r="D61" i="2"/>
  <c r="B61" i="2"/>
  <c r="J60" i="2"/>
  <c r="F60" i="2"/>
  <c r="C135" i="5" s="1"/>
  <c r="D135" i="5" s="1"/>
  <c r="D60" i="2"/>
  <c r="B60" i="2"/>
  <c r="J59" i="2"/>
  <c r="F59" i="2"/>
  <c r="D59" i="2"/>
  <c r="B59" i="2"/>
  <c r="J58" i="2"/>
  <c r="H6" i="4" s="1"/>
  <c r="C22" i="6" s="1"/>
  <c r="F58" i="2"/>
  <c r="C92" i="5" s="1"/>
  <c r="D92" i="5" s="1"/>
  <c r="D58" i="2"/>
  <c r="C6" i="4" s="1"/>
  <c r="B58" i="2"/>
  <c r="J57" i="2"/>
  <c r="F57" i="2"/>
  <c r="C80" i="5" s="1"/>
  <c r="D80" i="5" s="1"/>
  <c r="D57" i="2"/>
  <c r="C5" i="4" s="1"/>
  <c r="B57" i="2"/>
  <c r="J56" i="2"/>
  <c r="F56" i="2"/>
  <c r="D56" i="2"/>
  <c r="B56" i="2"/>
  <c r="J55" i="2"/>
  <c r="F55" i="2"/>
  <c r="D55" i="2"/>
  <c r="B55" i="2"/>
  <c r="J54" i="2"/>
  <c r="F54" i="2"/>
  <c r="D54" i="2"/>
  <c r="B54" i="2"/>
  <c r="J53" i="2"/>
  <c r="F53" i="2"/>
  <c r="D53" i="2"/>
  <c r="B53" i="2"/>
  <c r="J52" i="2"/>
  <c r="F52" i="2"/>
  <c r="D52" i="2"/>
  <c r="B52" i="2"/>
  <c r="J51" i="2"/>
  <c r="F51" i="2"/>
  <c r="D51" i="2"/>
  <c r="B51" i="2"/>
  <c r="J50" i="2"/>
  <c r="F50" i="2"/>
  <c r="D50" i="2"/>
  <c r="B50" i="2"/>
  <c r="J49" i="2"/>
  <c r="F49" i="2"/>
  <c r="D49" i="2"/>
  <c r="B49" i="2"/>
  <c r="J48" i="2"/>
  <c r="F48" i="2"/>
  <c r="D48" i="2"/>
  <c r="B48" i="2"/>
  <c r="J47" i="2"/>
  <c r="F47" i="2"/>
  <c r="D47" i="2"/>
  <c r="B47" i="2"/>
  <c r="J46" i="2"/>
  <c r="F46" i="2"/>
  <c r="D46" i="2"/>
  <c r="B46" i="2"/>
  <c r="J45" i="2"/>
  <c r="F45" i="2"/>
  <c r="D45" i="2"/>
  <c r="B45" i="2"/>
  <c r="J44" i="2"/>
  <c r="F44" i="2"/>
  <c r="D44" i="2"/>
  <c r="B44" i="2"/>
  <c r="J43" i="2"/>
  <c r="F43" i="2"/>
  <c r="D43" i="2"/>
  <c r="B43" i="2"/>
  <c r="J42" i="2"/>
  <c r="F42" i="2"/>
  <c r="D42" i="2"/>
  <c r="B42" i="2"/>
  <c r="J41" i="2"/>
  <c r="F41" i="2"/>
  <c r="D41" i="2"/>
  <c r="B41" i="2"/>
  <c r="J40" i="2"/>
  <c r="F40" i="2"/>
  <c r="D40" i="2"/>
  <c r="B40" i="2"/>
  <c r="J39" i="2"/>
  <c r="F39" i="2"/>
  <c r="D39" i="2"/>
  <c r="B39" i="2"/>
  <c r="J38" i="2"/>
  <c r="F38" i="2"/>
  <c r="D38" i="2"/>
  <c r="B38" i="2"/>
  <c r="J37" i="2"/>
  <c r="F37" i="2"/>
  <c r="D37" i="2"/>
  <c r="B37" i="2"/>
  <c r="J36" i="2"/>
  <c r="E79" i="5" s="1"/>
  <c r="F36" i="2"/>
  <c r="C79" i="5" s="1"/>
  <c r="D79" i="5" s="1"/>
  <c r="D36" i="2"/>
  <c r="B36" i="2"/>
  <c r="J35" i="2"/>
  <c r="F35" i="2"/>
  <c r="D35" i="2"/>
  <c r="B35" i="2"/>
  <c r="J34" i="2"/>
  <c r="F34" i="2"/>
  <c r="D34" i="2"/>
  <c r="B34" i="2"/>
  <c r="J33" i="2"/>
  <c r="F33" i="2"/>
  <c r="D33" i="2"/>
  <c r="B33" i="2"/>
  <c r="J32" i="2"/>
  <c r="F32" i="2"/>
  <c r="D32" i="2"/>
  <c r="B32" i="2"/>
  <c r="J31" i="2"/>
  <c r="F31" i="2"/>
  <c r="D31" i="2"/>
  <c r="B31" i="2"/>
  <c r="J30" i="2"/>
  <c r="F30" i="2"/>
  <c r="D30" i="2"/>
  <c r="B30" i="2"/>
  <c r="J29" i="2"/>
  <c r="F29" i="2"/>
  <c r="D29" i="2"/>
  <c r="B29" i="2"/>
  <c r="J28" i="2"/>
  <c r="F28" i="2"/>
  <c r="D28" i="2"/>
  <c r="B28" i="2"/>
  <c r="J27" i="2"/>
  <c r="F27" i="2"/>
  <c r="D27" i="2"/>
  <c r="B27" i="2"/>
  <c r="J26" i="2"/>
  <c r="F26" i="2"/>
  <c r="D26" i="2"/>
  <c r="B26" i="2"/>
  <c r="J25" i="2"/>
  <c r="F25" i="2"/>
  <c r="D25" i="2"/>
  <c r="B25" i="2"/>
  <c r="J24" i="2"/>
  <c r="F24" i="2"/>
  <c r="D24" i="2"/>
  <c r="B24" i="2"/>
  <c r="J23" i="2"/>
  <c r="F23" i="2"/>
  <c r="D23" i="2"/>
  <c r="B23" i="2"/>
  <c r="J22" i="2"/>
  <c r="F22" i="2"/>
  <c r="D22" i="2"/>
  <c r="B22" i="2"/>
  <c r="J21" i="2"/>
  <c r="F21" i="2"/>
  <c r="D21" i="2"/>
  <c r="B21" i="2"/>
  <c r="J20" i="2"/>
  <c r="F20" i="2"/>
  <c r="D20" i="2"/>
  <c r="B20" i="2"/>
  <c r="J19" i="2"/>
  <c r="F19" i="2"/>
  <c r="D19" i="2"/>
  <c r="B19" i="2"/>
  <c r="J18" i="2"/>
  <c r="F18" i="2"/>
  <c r="D18" i="2"/>
  <c r="B18" i="2"/>
  <c r="J17" i="2"/>
  <c r="F17" i="2"/>
  <c r="D17" i="2"/>
  <c r="B17" i="2"/>
  <c r="J16" i="2"/>
  <c r="F16" i="2"/>
  <c r="D16" i="2"/>
  <c r="B16" i="2"/>
  <c r="J15" i="2"/>
  <c r="F15" i="2"/>
  <c r="D15" i="2"/>
  <c r="B15" i="2"/>
  <c r="J14" i="2"/>
  <c r="F14" i="2"/>
  <c r="D14" i="2"/>
  <c r="B14" i="2"/>
  <c r="J13" i="2"/>
  <c r="F13" i="2"/>
  <c r="D13" i="2"/>
  <c r="B13" i="2"/>
  <c r="J12" i="2"/>
  <c r="F12" i="2"/>
  <c r="D12" i="2"/>
  <c r="B12" i="2"/>
  <c r="J11" i="2"/>
  <c r="F11" i="2"/>
  <c r="D11" i="2"/>
  <c r="B11" i="2"/>
  <c r="J10" i="2"/>
  <c r="F10" i="2"/>
  <c r="D10" i="2"/>
  <c r="B10" i="2"/>
  <c r="J9" i="2"/>
  <c r="F9" i="2"/>
  <c r="C78" i="5" s="1"/>
  <c r="D78" i="5" s="1"/>
  <c r="D9" i="2"/>
  <c r="B9" i="2"/>
  <c r="J8" i="2"/>
  <c r="E58" i="5" s="1"/>
  <c r="F8" i="2"/>
  <c r="C58" i="5" s="1"/>
  <c r="D58" i="5" s="1"/>
  <c r="D8" i="2"/>
  <c r="B8" i="2"/>
  <c r="J7" i="2"/>
  <c r="E57" i="5" s="1"/>
  <c r="F7" i="2"/>
  <c r="C57" i="5" s="1"/>
  <c r="D57" i="5" s="1"/>
  <c r="D7" i="2"/>
  <c r="C3" i="4" s="1"/>
  <c r="B7" i="2"/>
  <c r="J6" i="2"/>
  <c r="E207" i="5" s="1"/>
  <c r="F6" i="2"/>
  <c r="C207" i="5" s="1"/>
  <c r="D207" i="5" s="1"/>
  <c r="D6" i="2"/>
  <c r="B6" i="2"/>
  <c r="J5" i="2"/>
  <c r="F5" i="2"/>
  <c r="C136" i="5" s="1"/>
  <c r="D136" i="5" s="1"/>
  <c r="D5" i="2"/>
  <c r="C7" i="4" s="1"/>
  <c r="B5" i="2"/>
  <c r="J4" i="2"/>
  <c r="F4" i="2"/>
  <c r="C134" i="5" s="1"/>
  <c r="D134" i="5" s="1"/>
  <c r="D4" i="2"/>
  <c r="C9" i="4" s="1"/>
  <c r="B4" i="2"/>
  <c r="J3" i="2"/>
  <c r="F3" i="2"/>
  <c r="C77" i="5" s="1"/>
  <c r="D77" i="5" s="1"/>
  <c r="D3" i="2"/>
  <c r="C4" i="4" s="1"/>
  <c r="B3" i="2"/>
  <c r="B1" i="2" s="1"/>
  <c r="J2" i="2"/>
  <c r="E2" i="5" s="1"/>
  <c r="F2" i="2"/>
  <c r="C2" i="5" s="1"/>
  <c r="D2" i="5" s="1"/>
  <c r="D2" i="2"/>
  <c r="C2" i="4" s="1"/>
  <c r="B2" i="2"/>
  <c r="E139" i="5" l="1"/>
  <c r="E138" i="5"/>
  <c r="D2" i="4"/>
  <c r="F2" i="4" s="1"/>
  <c r="C10" i="6" s="1"/>
  <c r="H5" i="4"/>
  <c r="C21" i="6" s="1"/>
  <c r="E77" i="5"/>
  <c r="D4" i="4" s="1"/>
  <c r="F4" i="4" s="1"/>
  <c r="C12" i="6" s="1"/>
  <c r="E134" i="5"/>
  <c r="D9" i="4" s="1"/>
  <c r="C9" i="6" s="1"/>
  <c r="E78" i="5"/>
  <c r="D3" i="4"/>
  <c r="C3" i="6" s="1"/>
  <c r="E142" i="5"/>
  <c r="E136" i="5"/>
  <c r="E135" i="5"/>
  <c r="E137" i="5"/>
  <c r="H8" i="4"/>
  <c r="C24" i="6" s="1"/>
  <c r="C29" i="6"/>
  <c r="E2" i="4"/>
  <c r="C2" i="6"/>
  <c r="C27" i="6"/>
  <c r="C30" i="6"/>
  <c r="C10" i="4"/>
  <c r="C26" i="6"/>
  <c r="C32" i="6"/>
  <c r="C28" i="6"/>
  <c r="C31" i="6"/>
  <c r="C33" i="6"/>
  <c r="H2" i="4"/>
  <c r="H7" i="4"/>
  <c r="C23" i="6" s="1"/>
  <c r="H4" i="4"/>
  <c r="C20" i="6" s="1"/>
  <c r="H9" i="4"/>
  <c r="C25" i="6" s="1"/>
  <c r="E92" i="5"/>
  <c r="D6" i="4" s="1"/>
  <c r="E182" i="5"/>
  <c r="D8" i="4" s="1"/>
  <c r="F8" i="4" s="1"/>
  <c r="C16" i="6" s="1"/>
  <c r="H3" i="4"/>
  <c r="C19" i="6" s="1"/>
  <c r="E80" i="5"/>
  <c r="D5" i="4" s="1"/>
  <c r="D1" i="2"/>
  <c r="F3" i="4" l="1"/>
  <c r="C11" i="6" s="1"/>
  <c r="E3" i="4"/>
  <c r="F9" i="4"/>
  <c r="C17" i="6" s="1"/>
  <c r="D7" i="4"/>
  <c r="D10" i="4" s="1"/>
  <c r="E10" i="4" s="1"/>
  <c r="E9" i="4"/>
  <c r="H10" i="4"/>
  <c r="C18" i="6"/>
  <c r="C4" i="6"/>
  <c r="E4" i="4"/>
  <c r="E5" i="4"/>
  <c r="C5" i="6"/>
  <c r="C8" i="6"/>
  <c r="E8" i="4"/>
  <c r="C6" i="6"/>
  <c r="E6" i="4"/>
  <c r="F6" i="4"/>
  <c r="C14" i="6" s="1"/>
  <c r="F5" i="4"/>
  <c r="C13" i="6" s="1"/>
  <c r="F7" i="4" l="1"/>
  <c r="C15" i="6" s="1"/>
  <c r="E7" i="4"/>
  <c r="C7" i="6"/>
  <c r="F10" i="4"/>
</calcChain>
</file>

<file path=xl/sharedStrings.xml><?xml version="1.0" encoding="utf-8"?>
<sst xmlns="http://schemas.openxmlformats.org/spreadsheetml/2006/main" count="14437" uniqueCount="3841">
  <si>
    <t>Região</t>
  </si>
  <si>
    <t>Instituições</t>
  </si>
  <si>
    <t>Ano</t>
  </si>
  <si>
    <t>Em quantos descobrimos relatórios?</t>
  </si>
  <si>
    <t>relatórios por países cobertos</t>
  </si>
  <si>
    <t>países descobertos</t>
  </si>
  <si>
    <t>Quantos países efetivamente produzem esse tipo de material?</t>
  </si>
  <si>
    <t>Quantos relatórios descobrimos na região?</t>
  </si>
  <si>
    <t>África</t>
  </si>
  <si>
    <t>País Solicitante</t>
  </si>
  <si>
    <t>Carimbo de data/hora</t>
  </si>
  <si>
    <t>País Objeto</t>
  </si>
  <si>
    <t>País / Org. Int.</t>
  </si>
  <si>
    <t>Instituição</t>
  </si>
  <si>
    <t>Check instituição</t>
  </si>
  <si>
    <t>Nome do Estudo</t>
  </si>
  <si>
    <t>Pergunta sem título</t>
  </si>
  <si>
    <t>Link</t>
  </si>
  <si>
    <t>País</t>
  </si>
  <si>
    <t>Trata de def/seg</t>
  </si>
  <si>
    <t>Sementes</t>
  </si>
  <si>
    <t>Político/geopolítico</t>
  </si>
  <si>
    <t>Econômico</t>
  </si>
  <si>
    <t>Social</t>
  </si>
  <si>
    <t>Tecnológico</t>
  </si>
  <si>
    <t># stakeholders</t>
  </si>
  <si>
    <t>Ambiental</t>
  </si>
  <si>
    <t>Órgão Associado</t>
  </si>
  <si>
    <t>Legal</t>
  </si>
  <si>
    <t>Militar</t>
  </si>
  <si>
    <t>Marítimo</t>
  </si>
  <si>
    <t>Observações</t>
  </si>
  <si>
    <t>Terrestre</t>
  </si>
  <si>
    <t>Aeroespacial</t>
  </si>
  <si>
    <t>Relatórios por instituição</t>
  </si>
  <si>
    <t>Chave</t>
  </si>
  <si>
    <t>Macrotema?</t>
  </si>
  <si>
    <t>ID Único Base Projeto OTAN</t>
  </si>
  <si>
    <t>Método</t>
  </si>
  <si>
    <t>Palavra Chave 1</t>
  </si>
  <si>
    <t>Palavra Chave 2</t>
  </si>
  <si>
    <t>Palavra Chave 3</t>
  </si>
  <si>
    <t>Inserido por</t>
  </si>
  <si>
    <t>inserido em</t>
  </si>
  <si>
    <t>Chave Relatório</t>
  </si>
  <si>
    <t>Chave_Instituicao</t>
  </si>
  <si>
    <t>coluna auxiliar - calculo de países cobertos</t>
  </si>
  <si>
    <t>Chave_Pais</t>
  </si>
  <si>
    <t>Relatórios</t>
  </si>
  <si>
    <t>Indicação grupo LCS?</t>
  </si>
  <si>
    <t>d</t>
  </si>
  <si>
    <t>Ciclo de Atualizacao</t>
  </si>
  <si>
    <t>África do Sul</t>
  </si>
  <si>
    <t>América Central</t>
  </si>
  <si>
    <t>Email do Responsável</t>
  </si>
  <si>
    <t>Data de Atualização</t>
  </si>
  <si>
    <t>Organismo Internacional</t>
  </si>
  <si>
    <t>Comissão Europeia</t>
  </si>
  <si>
    <t>Europa</t>
  </si>
  <si>
    <t>Institute for Security Studies (ISS)</t>
  </si>
  <si>
    <t>União Europeia</t>
  </si>
  <si>
    <t>Angola</t>
  </si>
  <si>
    <t>https://issafrica.org/</t>
  </si>
  <si>
    <t>2020 strategic foresight report</t>
  </si>
  <si>
    <t>América do Norte</t>
  </si>
  <si>
    <t>https://ec.europa.eu/info/sites/info/files/strategic_foresight_report_2020_1.pdf</t>
  </si>
  <si>
    <t>Argélia</t>
  </si>
  <si>
    <t>sim</t>
  </si>
  <si>
    <t>Benim</t>
  </si>
  <si>
    <t>América do Sul</t>
  </si>
  <si>
    <t>Botswana</t>
  </si>
  <si>
    <t>Globalização político-jurídica</t>
  </si>
  <si>
    <t>Cooperação transnacional interblocos</t>
  </si>
  <si>
    <t>EUA</t>
  </si>
  <si>
    <t>Resiliência em bloco</t>
  </si>
  <si>
    <t>Monitoramento integrado</t>
  </si>
  <si>
    <t>United States African Command (AFRICOM)</t>
  </si>
  <si>
    <t>Vj</t>
  </si>
  <si>
    <t>https://www.africom.mil/</t>
  </si>
  <si>
    <t>Burkina Faso</t>
  </si>
  <si>
    <t>Ásia</t>
  </si>
  <si>
    <t>Burundi</t>
  </si>
  <si>
    <t>1 - Projeto Prospecta Parte 02 - 2022</t>
  </si>
  <si>
    <t>Cabo Verde</t>
  </si>
  <si>
    <t>Camarões</t>
  </si>
  <si>
    <t>Global</t>
  </si>
  <si>
    <t>Global Risk Intel</t>
  </si>
  <si>
    <t>European Parliament (EUROPARL)</t>
  </si>
  <si>
    <t xml:space="preserve">https://www.europarl.europa.eu/portal/en </t>
  </si>
  <si>
    <t>Forecasting Future Space Risks: Environmental, commercial, and military aspects</t>
  </si>
  <si>
    <t>https://www.globalriskintel.com/reports/forecasting-future-space-risks-environmental-commercial-and-military-aspects</t>
  </si>
  <si>
    <t>Chade</t>
  </si>
  <si>
    <t>Oceania</t>
  </si>
  <si>
    <t>Comores</t>
  </si>
  <si>
    <t>não</t>
  </si>
  <si>
    <t>França</t>
  </si>
  <si>
    <t>Yasmim</t>
  </si>
  <si>
    <t>Costa do Marfim</t>
  </si>
  <si>
    <t>Report Linker</t>
  </si>
  <si>
    <t xml:space="preserve">https://www.reportlinker.com/ </t>
  </si>
  <si>
    <t>Djibouti</t>
  </si>
  <si>
    <t>Egito</t>
  </si>
  <si>
    <t>Total</t>
  </si>
  <si>
    <t>Canadá</t>
  </si>
  <si>
    <t>Região do Ártico</t>
  </si>
  <si>
    <t>Eritreia</t>
  </si>
  <si>
    <t>North American and Arctic Defence and Security Network</t>
  </si>
  <si>
    <t>United Nations Peacekeeping</t>
  </si>
  <si>
    <t xml:space="preserve">https://peacekeeping.un.org/en </t>
  </si>
  <si>
    <t>Understanding The Future Arctic Security Environment; Applying NATO Strategic Foresight Analysis to Canadian Arctic Defense and Security</t>
  </si>
  <si>
    <t>https://www.naadsn.ca/wp-content/uploads/2020/09/20-Sept-15-NAADSN-Canadian-Arctic-Security-Strategic-Foresight-Analysis-2020-DRAFT-FOR-DISCUSSION-2.pdf</t>
  </si>
  <si>
    <t>Etiópia</t>
  </si>
  <si>
    <t>Gabão</t>
  </si>
  <si>
    <t xml:space="preserve">O relatório possui uma parte sobre a metodologia usada, como também da estratégia que a NATO utiliza para fazer análises. </t>
  </si>
  <si>
    <t>Gâmbia</t>
  </si>
  <si>
    <t>Honduras</t>
  </si>
  <si>
    <t>Facultad de Ciencias Espaciales</t>
  </si>
  <si>
    <t xml:space="preserve">https://cienciasespaciales.unah.edu.hn/ </t>
  </si>
  <si>
    <t>Gana</t>
  </si>
  <si>
    <t>Guiné</t>
  </si>
  <si>
    <t>Guiné Bissau</t>
  </si>
  <si>
    <t>Jamaica</t>
  </si>
  <si>
    <t>Oriente Médio</t>
  </si>
  <si>
    <t>Planning Institute of Jamaica</t>
  </si>
  <si>
    <t>Guiné Equatorial</t>
  </si>
  <si>
    <t>RAND Corporation</t>
  </si>
  <si>
    <t xml:space="preserve">https://www.pioj.gov.jm/ </t>
  </si>
  <si>
    <t>Reimagining U.S. Strategy in the Middle East: Sustainable Partnerships, Strategic Investiments</t>
  </si>
  <si>
    <t>Lesoto</t>
  </si>
  <si>
    <t>https://www.rand.org/pubs/research_reports/RRA958-2.html</t>
  </si>
  <si>
    <t xml:space="preserve">Com a implementação da visão Jamaica 2030, desenvolveu-se o plano de metas do desenvolvimento sustentável que utiliza a estratégia de ROAD MAP para apresentar as estratégias. </t>
  </si>
  <si>
    <t>Libéria</t>
  </si>
  <si>
    <t>Defense and Security Foresight Group</t>
  </si>
  <si>
    <t>Política estratégica dos EUA</t>
  </si>
  <si>
    <t>Liderança Internacional</t>
  </si>
  <si>
    <t>Líbia</t>
  </si>
  <si>
    <t xml:space="preserve">Primeiramente, é válido iniciar esta observação notando que o projeto foi financiado através de uma doação da The Broad Reach Foundation. Isto posto, o relatório tem como objetivo avaliar a política externa dos EUA para com a região do Oriente Médio que passou sucessivas administrações na Casa Branca, os resultados produzidos para a região e/ou para os interesses norte americanos não têm tido saldo positivo. 
        Bem como, este salienta que após anos de intervenções na região, a mesma continua mergulhada na instabilidade que afeta os interesses estadunidenses. Além disso, o trabalho se inicia com a seguinte pergunta: “é hora de repensar algumas das premissas fundamentais subjacentes à formulação de políticas dos EUA nesta região?”.
        A partir disso, o relatório tem como base a avaliação das vantagens e dos trade-offs de “uma estratégia regional alternativa na qual os objetivos estratégicos se ligam a uma compreensão mais ampla da estabilidade que prioriza a redução de conflitos, melhor governança, e maior crescimento e desenvolvimento”. Ainda, foi possível a observância de uma certa preocupação com o Irã. Como também, destaca que “devido a pandemia, mudanças climáticas e perturbações nos mercados petrolíferos - combinadas com os múltiplos conflitos e falhas de governança da região - a estratégia dos EUA não podem mais se dar ao luxo de se concentrar no nível do estado e da liderança, negligenciando os males da sociedade e da população da região”. Em resumo, ao finalizar o relatório, os pesquisadores apontam algumas recomendações para um redirecionamento nos objetivos estratégicos dos EUA. 
</t>
  </si>
  <si>
    <t>University of Waterloo</t>
  </si>
  <si>
    <t xml:space="preserve">https://uwaterloo.ca/defence-security-foresight-group/ </t>
  </si>
  <si>
    <t>Questão</t>
  </si>
  <si>
    <t>Madagáscar</t>
  </si>
  <si>
    <t>resposta</t>
  </si>
  <si>
    <t>países cobertos</t>
  </si>
  <si>
    <t>É um grupo de pesquisa vinculado a faculdade que pesquisa sobre o assunto.</t>
  </si>
  <si>
    <t>Malawi</t>
  </si>
  <si>
    <t>Mali</t>
  </si>
  <si>
    <t>Centre for the Study of Security and Development</t>
  </si>
  <si>
    <t>Dalhousie University</t>
  </si>
  <si>
    <t xml:space="preserve">https://www.dal.ca/sites/cssd.html </t>
  </si>
  <si>
    <t>Países não cobertos</t>
  </si>
  <si>
    <t>Discontinuities and Distractions - Rethinking Security for the Year 2040</t>
  </si>
  <si>
    <t>Marrocos</t>
  </si>
  <si>
    <t>https://www.rand.org/pubs/conf_proceedings/CF384.html</t>
  </si>
  <si>
    <t>Maurícia</t>
  </si>
  <si>
    <t>Canadian Network for Defence and Security Analysis</t>
  </si>
  <si>
    <t>Basileia School of International Affairs</t>
  </si>
  <si>
    <t xml:space="preserve">https://www.balsillieschool.ca/research/cndsa/ </t>
  </si>
  <si>
    <t>Mauritânia</t>
  </si>
  <si>
    <t>relatórios por região</t>
  </si>
  <si>
    <t>https://www.balsillieschool.ca/wp-content/uploads/2019/02/CNDSA-Report-2019.pdf</t>
  </si>
  <si>
    <t>Moçambique</t>
  </si>
  <si>
    <t>Namíbia</t>
  </si>
  <si>
    <t>total de países</t>
  </si>
  <si>
    <t>Israel</t>
  </si>
  <si>
    <t>Níger</t>
  </si>
  <si>
    <t>Middle East Institute</t>
  </si>
  <si>
    <t>What will the Middle East Look Like in 2030? An Israeli Perspective</t>
  </si>
  <si>
    <t>https://www.mei.edu/sites/default/files/2021-02/%20What%20will%20the%20Middle%20East%20look%20like%20in%202030%3F%20An%20Israeli%20Perspective.pdf</t>
  </si>
  <si>
    <t>Nigéria</t>
  </si>
  <si>
    <t xml:space="preserve">Trent University </t>
  </si>
  <si>
    <t xml:space="preserve">https://www.naadsn.ca/ </t>
  </si>
  <si>
    <t>Quênia</t>
  </si>
  <si>
    <t>República Centro-Africana</t>
  </si>
  <si>
    <t>República Democrática do Congo</t>
  </si>
  <si>
    <t>República do Congo</t>
  </si>
  <si>
    <t>Ruanda</t>
  </si>
  <si>
    <t>Canadian Army</t>
  </si>
  <si>
    <t>Government of Canada</t>
  </si>
  <si>
    <t xml:space="preserve">http://www.army-armee.forces.gc.ca/en/index.page </t>
  </si>
  <si>
    <t>São Tomé e Príncipe</t>
  </si>
  <si>
    <t>EUA - China</t>
  </si>
  <si>
    <t>Center for Strategic &amp; International Studies (CSIS)</t>
  </si>
  <si>
    <t>Four Scenarios for Geopolitical Order in 2025-2030: What Will Great Power Competition Look Like?</t>
  </si>
  <si>
    <t>https://www.csis.org/analysis/four-scenarios-geopolitical-order-2025-2030-what-will-great-power-competition-look</t>
  </si>
  <si>
    <t>Seicheles</t>
  </si>
  <si>
    <t>Senegal</t>
  </si>
  <si>
    <t>Chave_Texto</t>
  </si>
  <si>
    <t>Geopolítica</t>
  </si>
  <si>
    <t>Chave_Numerica</t>
  </si>
  <si>
    <t>Influência Global</t>
  </si>
  <si>
    <t>Policy Horizons Canada</t>
  </si>
  <si>
    <t>Serra Leoa</t>
  </si>
  <si>
    <t>Africa</t>
  </si>
  <si>
    <t>Relação bilateral</t>
  </si>
  <si>
    <t>Africa do Sul</t>
  </si>
  <si>
    <t xml:space="preserve">https://horizons.gc.ca/en/home/ </t>
  </si>
  <si>
    <t>Somália</t>
  </si>
  <si>
    <t>Suazilândia</t>
  </si>
  <si>
    <t>Sudão</t>
  </si>
  <si>
    <t>Ásia - Pacífico</t>
  </si>
  <si>
    <t>Sudão do Sul</t>
  </si>
  <si>
    <t>International Institute of Forecasters</t>
  </si>
  <si>
    <t>Defense 2045: Assessing the Future Security Environment and Implications for Defense Policymakers</t>
  </si>
  <si>
    <t>https://forecasters.org/</t>
  </si>
  <si>
    <t>https://csis-website-prod.s3.amazonaws.com/s3fs-public/legacy_files/files/publication/151106_Miller_Defense2045_Web.pdf</t>
  </si>
  <si>
    <t>Tanzânia</t>
  </si>
  <si>
    <t>Togo</t>
  </si>
  <si>
    <t>Center for Global Development</t>
  </si>
  <si>
    <t>Tunísia</t>
  </si>
  <si>
    <t>https://www.cgdev.org/</t>
  </si>
  <si>
    <t>Turquia</t>
  </si>
  <si>
    <t>Madagascar</t>
  </si>
  <si>
    <t>Uganda</t>
  </si>
  <si>
    <t>German Marshal Fund</t>
  </si>
  <si>
    <t>Zâmbia</t>
  </si>
  <si>
    <t>https://www.gmfus.org/</t>
  </si>
  <si>
    <t>Proyeccción de operaciones aéreas al año 2030 aeródromo de Tela, Atlántida, Honduras</t>
  </si>
  <si>
    <t>https://www.lamjol.info/index.php/CE/article/view/7170/6735</t>
  </si>
  <si>
    <t>A GMF é uma instituição com parcetias transatlântica. Apesar de a matriz ser em Washington DC, trabalha em conjunto com países Europeus</t>
  </si>
  <si>
    <t>Zimbabwe</t>
  </si>
  <si>
    <t>https://www.csis.org/</t>
  </si>
  <si>
    <t>ir na seção "Programs"</t>
  </si>
  <si>
    <t>Antígua e Barbuda</t>
  </si>
  <si>
    <t>Bahamas</t>
  </si>
  <si>
    <t>Sem país específico</t>
  </si>
  <si>
    <t>https://www.globalriskintel.com/</t>
  </si>
  <si>
    <t>Não se aplica</t>
  </si>
  <si>
    <t>International Renewable Energy Agency</t>
  </si>
  <si>
    <t>Barbados</t>
  </si>
  <si>
    <t>Global Renewables Outlook: Energy Transformation 2050</t>
  </si>
  <si>
    <t>https://www.irena.org/-/media/Files/IRENA/Agency/Publication/2020/Apr/IRENA_Global_Renewables_Outlook_2020.pdf</t>
  </si>
  <si>
    <t>Belize</t>
  </si>
  <si>
    <t>Costa Rica</t>
  </si>
  <si>
    <t>Air Force Warfighting Integration Capability</t>
  </si>
  <si>
    <t>United States Air Force</t>
  </si>
  <si>
    <t>https://www.afwic.af.mil/</t>
  </si>
  <si>
    <t>Cuba</t>
  </si>
  <si>
    <t>Dominica</t>
  </si>
  <si>
    <t>El Salvador</t>
  </si>
  <si>
    <t>Granada</t>
  </si>
  <si>
    <t>Guatemala</t>
  </si>
  <si>
    <t>Haiti</t>
  </si>
  <si>
    <t>Nicarágua</t>
  </si>
  <si>
    <t>https://www.rand.org/</t>
  </si>
  <si>
    <t>Panamá</t>
  </si>
  <si>
    <t>República Dominicana</t>
  </si>
  <si>
    <t>China</t>
  </si>
  <si>
    <t>The brookings Africa Growth Initiative</t>
  </si>
  <si>
    <t>Santa Lúcia</t>
  </si>
  <si>
    <t>São Cristóvão e Névis</t>
  </si>
  <si>
    <t>The US-China Nuclear Relationship: why competition is likely to intensify</t>
  </si>
  <si>
    <t>São Vicente e Granadinas</t>
  </si>
  <si>
    <t>https://www.brookings.edu/wp-content/uploads/2019/09/FP_20190930_china_nuclear_weapons_talmadge-2.pdf</t>
  </si>
  <si>
    <t>Trinidad e Tobago</t>
  </si>
  <si>
    <t>National Intelligence Council</t>
  </si>
  <si>
    <t>OFFICE of the DIRECTOR of NATIONAL INTELLIGENCE</t>
  </si>
  <si>
    <t>https://www.dni.gov/index.php</t>
  </si>
  <si>
    <t>Arsenal nuclear</t>
  </si>
  <si>
    <t>US-China</t>
  </si>
  <si>
    <t>Mutually Assured Destruction (MAD)</t>
  </si>
  <si>
    <t xml:space="preserve">O relatório se inicia realizando um pequeno panorama sobre como as armas nucleares têm se expandindo nas relações periféricas entre EUA-China. Além disso, a preocupação dos EUA é fazer com que a China fique preocupada, caso esta se engaje em um conflito de escalada nuclear, uma vez que na perspectiva estadunidense, os EUA estaria mais propenso a suportar os riscos que seriam ocasionados do que a China. Visto que, esta última teria capacidade menor quando comparada com os EUA que dotaria de vantagens de barganha para com a China, caso uma guerra eclodisse. O documento analisado nos elucida sobre a deterioração da relação entre EUA-China aumentou a preocupação com as possíveis consequências da intensificação militar entre esses dois Estados. Apesar de alguns analistas enfatizarem que o conflito está longe de ser inevitável, outros analistas observam que há uma possibilidade crescente de os conflitos ou até mesmo guerra possam ocorrer nos mares do Leste ou do Sul da China, ou sobre Taiwan. nalisando pela perspectiva Chinesa, o país “está buscando uma capacidade de second-strike capability (capacidade de segundo ataque) mais seguro - uma força que possa garantir um nível inaceitável de retaliação nuclear contra qualquer estado que lance um primeiro ataque contra a China, e assim impedir que tal ataque seja lançado”. (p. 2).
	Todavia, esta movimentação Chinesa que não é considerada como nova, está preocupando Washington à medida que durante a administração Obama, os EUA evitam descrever a relação nuclear como  uma relação de destruição mútua assegurada (MAD - Mutual Assured Destruction). O MAD pressupõe que não há uma prerrogativa que evite que ambos os lados sofram com os danos, não importando quem ataque primeiro.
	Em suma, o documento irá demonstrar como os formuladores de políticas estadunidenses poderiam gerenciar uma relação nuclear mais competitiva. 
</t>
  </si>
  <si>
    <t>National Counterproliferation Center (NCPC)</t>
  </si>
  <si>
    <t>https://www.dni.gov/index.php/ncpc-home</t>
  </si>
  <si>
    <t>Horizon 2025 - End of the Beginning; Development Cooperation in the Pandemic Age</t>
  </si>
  <si>
    <t>https://www.cgdev.org/sites/default/files/horizon-2025-end-beginning-development-cooperation-pandemic-age.pdf</t>
  </si>
  <si>
    <t>National Counterintelligence and Security Center (NCSC)</t>
  </si>
  <si>
    <t>https://www.dni.gov/index.php/ncsc-home</t>
  </si>
  <si>
    <t>México</t>
  </si>
  <si>
    <t>National Counterterrorism Center (NCTC)</t>
  </si>
  <si>
    <t>https://www.dni.gov/index.php/nctc-home</t>
  </si>
  <si>
    <t>Brasil</t>
  </si>
  <si>
    <t>Securing Global Cities - Best practices, innovation, and the path ahead</t>
  </si>
  <si>
    <t>https://www.brookings.edu/research/securing-global-cities-2/</t>
  </si>
  <si>
    <t>Argentina</t>
  </si>
  <si>
    <t>Institute for the Future</t>
  </si>
  <si>
    <t>https://www.iftf.org/home/</t>
  </si>
  <si>
    <t>Bolívia</t>
  </si>
  <si>
    <t>Chile</t>
  </si>
  <si>
    <t>Não encontrei um relatório anual sobre segurança, mas há alguns tópicos sobre estudos do futuro.</t>
  </si>
  <si>
    <t>Colômbia</t>
  </si>
  <si>
    <t>Equador</t>
  </si>
  <si>
    <t>Guiana</t>
  </si>
  <si>
    <t>Paraguai</t>
  </si>
  <si>
    <t>Peru</t>
  </si>
  <si>
    <t>Suriname</t>
  </si>
  <si>
    <t>House Armed Service Committee</t>
  </si>
  <si>
    <t>Uruguai</t>
  </si>
  <si>
    <t>https://armedservices.house.gov/2020/9/future-of-defense-task-force-releases-final-report</t>
  </si>
  <si>
    <t>Venezuela</t>
  </si>
  <si>
    <t>Afeganistão</t>
  </si>
  <si>
    <t>Arábia Saudita</t>
  </si>
  <si>
    <t>Revista del Centro de Estudios Superiores Navales</t>
  </si>
  <si>
    <t>Bahrein</t>
  </si>
  <si>
    <t>https://armedservices.house.gov/_cache/files/2/6/26129500-d208-47ba-a9f7-25a8f82828b0/424EB2008281A3C79BA8C7EA71890AE9.future-of-defense-task-force-report.pdf</t>
  </si>
  <si>
    <t xml:space="preserve">Planteamientos para el desarrollo de la Estrategia Marítima 2020 - 2040 - Revista de Centro de Estudios Superiores Navales, México, 2020, Vol. 41 Núm. 1 Enemar, pág 187 - 229. </t>
  </si>
  <si>
    <t>https://cesnav.uninav.edu.mx/cesnav/revista_pdf/2020/2020-1.pdf</t>
  </si>
  <si>
    <t>Bangladesh</t>
  </si>
  <si>
    <t>Brunei</t>
  </si>
  <si>
    <t>Butão</t>
  </si>
  <si>
    <t>Camboja</t>
  </si>
  <si>
    <t>Catar</t>
  </si>
  <si>
    <t>Cazaquistão</t>
  </si>
  <si>
    <t>Coreia do Norte</t>
  </si>
  <si>
    <t>Coreia do Sul</t>
  </si>
  <si>
    <t>Emirados Árabes Unidos</t>
  </si>
  <si>
    <t>Filipinas</t>
  </si>
  <si>
    <t>All Partner Access Network</t>
  </si>
  <si>
    <t>Singapura</t>
  </si>
  <si>
    <t>Iêmen</t>
  </si>
  <si>
    <t>https://www.apan.org/</t>
  </si>
  <si>
    <t>Índia</t>
  </si>
  <si>
    <t>Indonésia</t>
  </si>
  <si>
    <t>Irão</t>
  </si>
  <si>
    <t>Iraque</t>
  </si>
  <si>
    <t>Japão</t>
  </si>
  <si>
    <t>Jordânia</t>
  </si>
  <si>
    <t>Kuwait</t>
  </si>
  <si>
    <t>Laos</t>
  </si>
  <si>
    <t>Desafíos a las Estrategias de Ciberseguridad en América - Revista de Centro de Estudios Superiores Navales, México, 2019 Vol. 40 Núm. 4. 4oct-Dic, pág. 25 - 53</t>
  </si>
  <si>
    <t>https://cesnav.uninav.edu.mx/cesnav/revista_pdf/2019/2019-4.pdf</t>
  </si>
  <si>
    <t>Líbano</t>
  </si>
  <si>
    <t>https://www.mei.edu/programs/strategic-foresight-initiative</t>
  </si>
  <si>
    <t>Malásia</t>
  </si>
  <si>
    <t>Maldivas</t>
  </si>
  <si>
    <t xml:space="preserve">É um Think Tank focado na região do Oriente Médio, tendo algumas publicações sobre o tema. </t>
  </si>
  <si>
    <t>Mianmar</t>
  </si>
  <si>
    <t>Mongólia</t>
  </si>
  <si>
    <t>Nepal</t>
  </si>
  <si>
    <t>Paquistão</t>
  </si>
  <si>
    <t>Quirguistão</t>
  </si>
  <si>
    <t>Futures and Concepts Center</t>
  </si>
  <si>
    <t>Rússia</t>
  </si>
  <si>
    <t>United States Army</t>
  </si>
  <si>
    <t>https://www.army.mil/FuturesandConceptsCenter</t>
  </si>
  <si>
    <t>Síria</t>
  </si>
  <si>
    <t>Sri Lanka</t>
  </si>
  <si>
    <t>FCC develops concepts, determines requirements, conducts experimentation, and begins integration of the future force to ensure the Army wins in 2035 and beyond. Contact: USARMY.JBLE.AFC-FCC.MBX.FCC-PAO-Media@mail.mil</t>
  </si>
  <si>
    <t>Tailândia</t>
  </si>
  <si>
    <t>Tajiquistão</t>
  </si>
  <si>
    <t>Timor Leste</t>
  </si>
  <si>
    <t>Turquemenistão</t>
  </si>
  <si>
    <t>Federal Emergency Management Agency</t>
  </si>
  <si>
    <t>Uzbequistão</t>
  </si>
  <si>
    <t>Vietnã</t>
  </si>
  <si>
    <t xml:space="preserve">Crisis Reposnse and Disaster Resilience 2030: Forging Strategic Action in an Age of Uncertainty </t>
  </si>
  <si>
    <t>https://fas.org/irp/agency/dhs/fema/crisis.pdf</t>
  </si>
  <si>
    <t>The brookings</t>
  </si>
  <si>
    <t>https://www.brookings.edu/series/foresight-africa/</t>
  </si>
  <si>
    <t>Albânia</t>
  </si>
  <si>
    <t>Alemanha</t>
  </si>
  <si>
    <t>"The Foresight Africa project is a series of reports, commentaries and events that aim to help policymakers and Africa watchers stay ahead of the trends and developments impacting the continent. Since 2011, the Brookings Africa Growth Initiative has used the occasion of the new year to assess Africa’s top priorities for the year."</t>
  </si>
  <si>
    <t>Andorra</t>
  </si>
  <si>
    <t>Armênia</t>
  </si>
  <si>
    <t>Áustria</t>
  </si>
  <si>
    <t>Azerbaijão</t>
  </si>
  <si>
    <t>https://www.brookings.edu</t>
  </si>
  <si>
    <t>Bélgica</t>
  </si>
  <si>
    <t>Bielorrússia</t>
  </si>
  <si>
    <t>Bósnia e Herzegovina</t>
  </si>
  <si>
    <t>Bruxelas</t>
  </si>
  <si>
    <t>Bulgária</t>
  </si>
  <si>
    <t>Foresight on Covid-19 - Possible shifts and implications</t>
  </si>
  <si>
    <t>Chipre</t>
  </si>
  <si>
    <t>https://horizons.gc.ca/en/2021/03/05/foresight-on-covid-19-possible-shifts-and-implications/</t>
  </si>
  <si>
    <t>Croácia</t>
  </si>
  <si>
    <t>Dinamarca</t>
  </si>
  <si>
    <t>Eslováquia</t>
  </si>
  <si>
    <t>Eslovênia</t>
  </si>
  <si>
    <t>Espanha</t>
  </si>
  <si>
    <t>Atlantic Council</t>
  </si>
  <si>
    <t>Estônia</t>
  </si>
  <si>
    <t>https://www.atlanticcouncil.org/</t>
  </si>
  <si>
    <t>Finlândia</t>
  </si>
  <si>
    <t>O Atlantic Council tem programas especializados em estudar regiões específicas do globo. destaque para o programa "Foresight, Strategy, and Risks Initiative" e "Scowcroft Center for Strategy and Security"</t>
  </si>
  <si>
    <t>Geórgia</t>
  </si>
  <si>
    <t>Grécia</t>
  </si>
  <si>
    <t>Hungria</t>
  </si>
  <si>
    <t>Irlanda</t>
  </si>
  <si>
    <t>Islândia</t>
  </si>
  <si>
    <t>Itália</t>
  </si>
  <si>
    <t>Letônia</t>
  </si>
  <si>
    <t>Liechtenstein</t>
  </si>
  <si>
    <t>https://www.fema.gov/pt-br</t>
  </si>
  <si>
    <t>Lituânia</t>
  </si>
  <si>
    <t>Luxemburgo</t>
  </si>
  <si>
    <t>Macedônia do Norte</t>
  </si>
  <si>
    <t>Malta</t>
  </si>
  <si>
    <t>Moldávia</t>
  </si>
  <si>
    <t>Mônaco</t>
  </si>
  <si>
    <t>Alternate Worlds and Implocations, Vol. 3</t>
  </si>
  <si>
    <t>http://publications.gc.ca/collections/collection_2018/mdn-dnd/D2-354-3-2017-eng.pdf</t>
  </si>
  <si>
    <t>Montenegro</t>
  </si>
  <si>
    <t>Center for Strategic and Budgetary Assessments</t>
  </si>
  <si>
    <t>Noruega</t>
  </si>
  <si>
    <t>https://csbaonline.org/</t>
  </si>
  <si>
    <t>Países Baixos</t>
  </si>
  <si>
    <t>Portugal</t>
  </si>
  <si>
    <t>Reino Unido</t>
  </si>
  <si>
    <t>República Tcheca</t>
  </si>
  <si>
    <t>Centro de Estudios Superiores Navales</t>
  </si>
  <si>
    <t>Romênia</t>
  </si>
  <si>
    <t>https://biblat.unam.mx/pt/revista/revista-del-centro-de-estudios-superiores-navales</t>
  </si>
  <si>
    <t>San Marino</t>
  </si>
  <si>
    <t>Sérvia</t>
  </si>
  <si>
    <t>Suécia</t>
  </si>
  <si>
    <t>Suíça</t>
  </si>
  <si>
    <t>Ucrânia</t>
  </si>
  <si>
    <t>What World Post-Covid-19? Three Scenarios</t>
  </si>
  <si>
    <t>https://www.atlanticcouncil.org/content-series/shaping-post-covid-world-together/what-world-post-covid-19-three-scenarios/</t>
  </si>
  <si>
    <t>Mad Scientist Laboratory</t>
  </si>
  <si>
    <t>https://madsciblog.tradoc.army.mil/</t>
  </si>
  <si>
    <t>Polônia</t>
  </si>
  <si>
    <t>Austrália</t>
  </si>
  <si>
    <t>Iniciativa do exército norte-americano - uma comunidade de exploração contínua através de parcerias colaborativas e diálogo com academia, indústria e governo.</t>
  </si>
  <si>
    <t>Balança de poder</t>
  </si>
  <si>
    <t>geopolítica</t>
  </si>
  <si>
    <t>Apesar de dedicar a pergunta do título à COVID-19 (what world post-covid-19?), não se deve deixar enganar: o “mundo pós-covid” é apenas o ponto de partida dos cenários. O relatório até considera a influência da COVID, mas com o mesmo grau de importância que dá a quaisquer outras questões como commodities, desastre humanitário, dentre outros. Na verdade, o ponto fundamental deste estudo é a mudança do equilíbrio geopolítico do mundo (com preocupação especial voltada à China), abordando superficialmente para impactos originados de questões econômicas e sociais.
Há um trecho dedicado à América Latina. A avaliação geral é a de que a região está fragilizada por conta 1) dos impactos da covid e 2) por depender majoritariamente dos ciclos de commodities, mais especificamente o petróleo. Por isso, o relatório diz que , apesar de a região não ser um campo de disputa competitivo entre EUA e China, os EUA devem se preocupar com a tentativa de inserção da China na região através de auxílio para recuperação econômica. 
Os 3 cenários 
1 Acelerando para baixo: “a desglobalização está se acelerando, produzindo um crescimento econômico lento em todos os lugares. Os níveis de pobreza estão aumentando no mundo em desenvolvimento e há potencial para um conflito aberto entre os Estados Unidos e uma aliança China-Rússia.”
2 China primeiro: “Para muitos países fora da Europa, os Estados Unidos aparecem em declínio acentuado. Apesar da responsabilidade da China pelo surto, a pandemia inclinou a balança geopolítica a seu favor.”
3 nova renascença: "Com a redução das tensões interestaduais, o crescimento econômico é retomado e, para a maioria da população mundial, os Objetivos de Desenvolvimento Sustentável de eliminação da pobreza e disseminação da educação estão mais uma vez ao alcance."</t>
  </si>
  <si>
    <t>Estados Federados da Micronésia</t>
  </si>
  <si>
    <t>Fiji</t>
  </si>
  <si>
    <t>PriceWaterHouseCoopers (PwC)</t>
  </si>
  <si>
    <t>Guam</t>
  </si>
  <si>
    <t>https://www.pwc.com/gx/en/ceo-agenda/ceosurvey/2020/trends/defence.html</t>
  </si>
  <si>
    <t>Ilha Norfolk</t>
  </si>
  <si>
    <t>Ilhas Cook</t>
  </si>
  <si>
    <t>Consultoria global com enfoque especializado em defesa.</t>
  </si>
  <si>
    <t>Ilhas Marianas do Norte</t>
  </si>
  <si>
    <t>Ilhas Marshall</t>
  </si>
  <si>
    <t>Ilhas Pitcaim</t>
  </si>
  <si>
    <t>Ilhas Salomão</t>
  </si>
  <si>
    <t>Kiribati</t>
  </si>
  <si>
    <t>Global risks 2035 update: Decline or new renaissance?</t>
  </si>
  <si>
    <t>The Heritage Foundation</t>
  </si>
  <si>
    <t>https://www.atlanticcouncil.org/in-depth-research-reports/report/global-risks-2035-update/</t>
  </si>
  <si>
    <t>Nauru</t>
  </si>
  <si>
    <t>https://www.heritage.org/defense</t>
  </si>
  <si>
    <t>Niue</t>
  </si>
  <si>
    <t>Nova Caledônia</t>
  </si>
  <si>
    <t>OSC que aborda temas de cibersegurança, política espacial, tecnologia, defesa, segurança nacional, terrorismo, imigração, energia, com vistas à proteção dos princípios norte-americanos.</t>
  </si>
  <si>
    <t>Nova Zelândia</t>
  </si>
  <si>
    <t>Palau</t>
  </si>
  <si>
    <t>Papua Nova-Guiné</t>
  </si>
  <si>
    <t>Polinésia Francesa</t>
  </si>
  <si>
    <t>Samoa</t>
  </si>
  <si>
    <t>Samoa Americana</t>
  </si>
  <si>
    <t>Deloitte</t>
  </si>
  <si>
    <t>Defense and National Security</t>
  </si>
  <si>
    <t>Tonga</t>
  </si>
  <si>
    <t>https://www2.deloitte.com/global/en/pages/public-sector/articles/gx-national-security-industry-outlook.html</t>
  </si>
  <si>
    <t>Tuvalu</t>
  </si>
  <si>
    <t>Vanuatu</t>
  </si>
  <si>
    <t>Wallis e Futuna</t>
  </si>
  <si>
    <t>World Economic Forum</t>
  </si>
  <si>
    <t>Grupo de trabalho da consultoria global, neste caso representada por seu head regional especializado em defesa e segurança nacional, Nathan Houser.</t>
  </si>
  <si>
    <t>América Latina/ Caribe</t>
  </si>
  <si>
    <t>América do NorteAlemanha</t>
  </si>
  <si>
    <t>Estados Unidos</t>
  </si>
  <si>
    <t>América do NorteEstados Unidos</t>
  </si>
  <si>
    <t>América do NorteFinlândia</t>
  </si>
  <si>
    <t>Latin America and the Caribbean 2030: futures scenarios</t>
  </si>
  <si>
    <t>América do NorteGlobal</t>
  </si>
  <si>
    <t>América do NorteLetônia</t>
  </si>
  <si>
    <t>https://www.atlanticcouncil.org/in-depth-research-reports/report/latin-america-and-the-caribbean-2030-future-scenarios/</t>
  </si>
  <si>
    <t>Não Identificado</t>
  </si>
  <si>
    <t>América do NorteNão Identificado</t>
  </si>
  <si>
    <t>América do NorteSuécia</t>
  </si>
  <si>
    <t>Vários Países</t>
  </si>
  <si>
    <t>Market Study Report, LLC</t>
  </si>
  <si>
    <t>América do NorteVários Países</t>
  </si>
  <si>
    <t>Defense and Security Market Report 2020</t>
  </si>
  <si>
    <t>ÁsiaVários Países</t>
  </si>
  <si>
    <t>https://www.express-journal.com/request-sample/380846?utm=AG</t>
  </si>
  <si>
    <t>EuropaÍndia</t>
  </si>
  <si>
    <t>EuropaLíbia</t>
  </si>
  <si>
    <t>EuropaNão Identificado</t>
  </si>
  <si>
    <t>EuropaRússia</t>
  </si>
  <si>
    <t>EuropaVários Países</t>
  </si>
  <si>
    <t>MSR, LLC é um hub de inteligência de mercado e serviços.</t>
  </si>
  <si>
    <t>OceaniaVários Países</t>
  </si>
  <si>
    <t>Organismo InternacionalLetônia</t>
  </si>
  <si>
    <t>Organismo InternacionalVários Países</t>
  </si>
  <si>
    <t>Forecast International</t>
  </si>
  <si>
    <t>-</t>
  </si>
  <si>
    <t>https://www.forecastinternational.com/</t>
  </si>
  <si>
    <t>Empresa de pesquisa de mercado e análise com mais de 45 anos para as indústrias aeroespacial, eletrônica, geopolítica, naval, energia e armamento. Projeções para mais de 120 países.</t>
  </si>
  <si>
    <t>Foresight &amp; Analysis: In Canadian Defense and Security Policy</t>
  </si>
  <si>
    <t>NASA - National Aeronautics and Space Administration</t>
  </si>
  <si>
    <t>Armstrong Flight Research Center</t>
  </si>
  <si>
    <t>https://www.nasa.gov/centers/armstrong/tech-dev/index.html</t>
  </si>
  <si>
    <t>segurança/defesa</t>
  </si>
  <si>
    <t>geopilítica</t>
  </si>
  <si>
    <t>O relatóro fala majoritáriamente sobre como o Canadá deve se portar  – sob o aspecto da segurança e defesa – frente ao cenário geopolítcio onde estão inseridos. Relatam alguma preocupação com terrorismos, mas apresentam maiores dados sobre suas questões com a Rússia e a China, além de preocupação com sa segurança cibernética (por isso foi sinalizado com sim o campo tecnológico). O aspecto militar é recorrentemente mecionado, com a sugestão de aquiseção de novos equipamentos, sobretudo para a marinha, o que levou a marcar os campos militar e marítimo nesta planilha. Ainda assim o texto não se aprfunda nestes aspectos.  Apesar do relatório abordar brevemente a possibilidade de problemas futuros, como embates no Mar do Sul da China, disputas pesqueiras e também a respeito dos interesses canadenses no Ártico ( e possíveis dificuldades que possam advir neste campo), não pareceu trazer nenhum aspecto novo que indique qualquer semente de futuro.</t>
  </si>
  <si>
    <t>Departamento governamental da NASA focada em tecnologias sobre voo e assuntos relacionados, assim como algumas perspectivas futuras.</t>
  </si>
  <si>
    <t>Langley Research Center</t>
  </si>
  <si>
    <t>https://www.nasa.gov/langley/overview/2020-annual-report/</t>
  </si>
  <si>
    <t>Departamento governamental da NASA focada em tecnologias dos setores de ciências da terra, aeronáutica e aeroespacial.</t>
  </si>
  <si>
    <t>Developing New Futures Scenarios for the U.S. Coast Guard's Evergreen Strategic Foresight Program</t>
  </si>
  <si>
    <t>https://www.rand.org/pubs/research_reports/RR3147.html</t>
  </si>
  <si>
    <t>CNAS - Center for a New American Security</t>
  </si>
  <si>
    <t>https://www.cnas.org/</t>
  </si>
  <si>
    <t>OSC fundada por democratas, embora autodeclaradamente apartidária, sobre defesa, segurança, tecnologia, dentre outros.</t>
  </si>
  <si>
    <t>Global Security Forum 2020: A New Era for U.S. Alliances</t>
  </si>
  <si>
    <t>https://www.csis.org/analysis/global-security-forum-2020-new-era-us-alliances</t>
  </si>
  <si>
    <t>Defense Innovation Baord</t>
  </si>
  <si>
    <t>https://innovation.defense.gov/</t>
  </si>
  <si>
    <t>Sistema de aliança</t>
  </si>
  <si>
    <t>Influência global</t>
  </si>
  <si>
    <t xml:space="preserve">Indo-Pacífico </t>
  </si>
  <si>
    <t>Departamento governamental norte-americano que produz relatórios e recomendações sobre a temática de defesa.</t>
  </si>
  <si>
    <t xml:space="preserve">O relatório de análise inicia sua análise já evidenciando as preocupações atreladas aos EUA e seus aliados e como estes estão “minados” pela ascensão de outros atores, tal como Rússia e China. A Rússia pela anexação da Crimeia e a China pela expansão coercitiva no Mar do Sul da China. 
Além disso, o relatório foi produzido observando a transição entre a administração Trump para a administração de Biden e tendo isso como ponto de análise, foi pontuado que o sistema de alianças é muito mais importante nos dias de hoje como nunca foi antes. Ainda, eles notaram que dentro do “guarda-chuva” de responsabilidades empreendidas pelos EUA estão: a estabilidade econômica, não proliferação, contenção do terrorismo e a prevenção de conflito violento em larga escala. Com isso, os EUA possuem o desafio, na concepção do autor deste relatório, de gerir a pandemia da COVID-19, enquanto revigora o poder dos valores norte-americanos na competição com o crescimento coercitivo da China.
3 CENÁRIOS SÃO PROJETADOS NESSE RELATÓRIO, SÃO ELES:
1- TAIWAN 2025 → A República Popular da China Bloqueia Taiwan e usa seu poderio militar e econômico para impedir uma resposta global;
2 - CRISE CLIMÁTICA 2030 → O mundo sofre com várias catástrofes relacionadas ao clima que estão em andamento e que provocam insegurança alimentar*, migração em massa e desafios de segurança nas fronteiras; 
* A insegurança alimentar pode ser pensada aqui também, como no grupo de Biodefesa e Benchmarking, como uma ferramenta de conflito, visto que países já o enfrentam.
3 - RÚSSIA 2024 → A interferência russa nas eleições estadunidenses leva a uma escalada do conflito cibernético e espacial com os EUA, que ameaça se alastrar (spill over) para o conflito armado.
Há uma observância de 4 temas transversais associados que podem auxiliar no fortalecimento das alianças, são eles: alianças começando do zero; As ameaças no século 21 são regional e global; as ameaças hoje ocorrem na interseção da preocupação militar, diplomática e econômica; e, por último as alianças dependem do compartilhamento do entendimento e sacrifício.
</t>
  </si>
  <si>
    <t>DARPA - Defense Advanced Research Projects Agency</t>
  </si>
  <si>
    <t>DSO - Defense Sciences Office</t>
  </si>
  <si>
    <r>
      <t xml:space="preserve">https://www.darpa.mil/about-us/offices/dso // </t>
    </r>
    <r>
      <rPr>
        <u/>
        <sz val="10"/>
        <color rgb="FF000000"/>
        <rFont val="Arial"/>
      </rPr>
      <t>https://www.darpa.mil/about-us/offices/i2o</t>
    </r>
  </si>
  <si>
    <t>Future od Defense Task Force - Report 2020</t>
  </si>
  <si>
    <t>Estudos fronteiriços em matemática, computação e design; limites de sensores e sensitividade; sistemas sociais complexos; antecipação de surpresas. Resumos de projetos que podem servir de tópicos base de pesquisa. // Estudos visando assegurar vantagem para os EUA e aliados utilizando tecnologia da informação por intermédio do avanço dos fundamentos técnicos, dentre outros. Resumos de projetos que podem servir de tópicos base de pesquisa.</t>
  </si>
  <si>
    <t>NTI - Nuclear Threat Initiative</t>
  </si>
  <si>
    <t>https://www.nti.org/</t>
  </si>
  <si>
    <t>Think Tank com produção intelectual visando impedir ataques com WMDs - nucleares, biológicas, radiológicas, químicas e cibernéticas. (um artigo: https://www.jstor.org/publisher/nti?refreqid=excelsior%3A6eceda2d52d14a2c4624e86dd162be6e)</t>
  </si>
  <si>
    <t>Defense Counterintelligence and Security Agency</t>
  </si>
  <si>
    <t>America's Arctic Moment: Great Power Competition in the Arctic to 2050</t>
  </si>
  <si>
    <t>https://www.csis.org/analysis/americas-arctic-moment-great-power-competition-arctic-2050</t>
  </si>
  <si>
    <t>https://www.dcsa.mil/about/err/</t>
  </si>
  <si>
    <t>National Intelligence University</t>
  </si>
  <si>
    <t>https://ni-u.edu/wp/ni-press-publications/</t>
  </si>
  <si>
    <t>Rand Corporation</t>
  </si>
  <si>
    <t>The Future of Warfare in 2030 -  Project Overview and Conclusions</t>
  </si>
  <si>
    <t>https://www.rand.org/pubs/research_reports/RR2849z1.html</t>
  </si>
  <si>
    <t>Defense Business Board</t>
  </si>
  <si>
    <t>https://dbb.defense.gov/Reports/</t>
  </si>
  <si>
    <t>Excelência de negócios em defesa da nação norte-americana.</t>
  </si>
  <si>
    <t>Guerra Futura</t>
  </si>
  <si>
    <t>Terrorismo</t>
  </si>
  <si>
    <t xml:space="preserve">As escolhas desses termos chaves se deu pela abordagem do relatório sobre as preocupações estadunidesentes para como será as guerra futuras e seus principais atores e localidade. Para mais, é notável que o terrorismo é um dos fatores que mais preocupam os norte americanos e estes observam o Oriente Médio como Lócus de grupos não estatais para proliferação desses grupos. 
</t>
  </si>
  <si>
    <t>Center for International Governance Innovation</t>
  </si>
  <si>
    <t>https://www.cigionline.org/about/funding</t>
  </si>
  <si>
    <t>Measuring Power, Power Cycles, and the Risk of Great-Power War in the 21st Century</t>
  </si>
  <si>
    <t>https://www.rand.org/pubs/research_reports/RR2989.html</t>
  </si>
  <si>
    <t>Centre for Defence and Security Studies</t>
  </si>
  <si>
    <t>nao</t>
  </si>
  <si>
    <t>University of Manitoba</t>
  </si>
  <si>
    <t>https://umanitoba.ca/centres/cdss/papers/CDSS-Related%20articles.html</t>
  </si>
  <si>
    <t>Power Cycle Theory</t>
  </si>
  <si>
    <t xml:space="preserve">Estes termos foram pontuados como chaves devido a preocupação dentro de um cenário com horizonte para 2040, temas como o terrorismo, a balança de poder e a mundança climática são fatores fortes que podem impactar na reestruturação do Sistema Internacional, segundo o relatório analisado, cabendo ressaltar que há outros fatores que são pontuados na análise. Por fim, a Power Cycle Theory foi considerada termo chave devido esta ter sido a metodologia principal de análise para mensuração da balança de poder.
</t>
  </si>
  <si>
    <t>National Defense University</t>
  </si>
  <si>
    <t>https://www.ndu.edu/</t>
  </si>
  <si>
    <t>Global Futures Reports: Alternative Futures of Geopolitical Competition in a Post-Covid-19 World</t>
  </si>
  <si>
    <t>https://apps.dtic.mil/sti/citations/AD1108029</t>
  </si>
  <si>
    <t>Air Command and Staff College</t>
  </si>
  <si>
    <t>Air University</t>
  </si>
  <si>
    <t>https://www.airuniversity.af.edu/ACSC/</t>
  </si>
  <si>
    <t>competição geopolítica</t>
  </si>
  <si>
    <t>geopolítica espacial</t>
  </si>
  <si>
    <t>cadeia de suprimentos</t>
  </si>
  <si>
    <t>sistemas autônomos</t>
  </si>
  <si>
    <t>O relatório compila uma série de análises feitas por diversos especialistas, que abordam temas que vão desde métodos para estudos de futuros até tendências, especialmente com relação à competição geopolítica do mundo pós covid COVID-19. Por ser um documento elaborado pela força aérea dos EUA, a análise tem foco nos assuntos mais afetos às questões aero espaciais. 
Com relação a métodos, o relatório apresenta o “four futures method”, também chamado de “manoa school method”, que é semelhante ao que conhecemos como “eixos ortogonais”, mas obrigatoriamente considera um cenário de colapso, um de crescimento, um de transformação e um disciplinado.
Com relação às tendências, elas focam no aspecto geopolítico, mas também perpassam temas que envolvem cybertecnologia e competição espacial, cadeia de suprimentos e campanhas políticas nocivas.
Os 4 cenários vislumbrados no relatório são:
Transformação: FROM BIO-HEGEMONY TO BIO-SUPREMACY
Colapso: THE NEW WARRING STATES PERIOD
Disciplina: AUTHORITARIAN REGIONALISM
Crescimento: ENDEMIC DISRUPTION</t>
  </si>
  <si>
    <t>Africa Center for Strategic Studies</t>
  </si>
  <si>
    <t>https://africacenter.org/</t>
  </si>
  <si>
    <t>National intelligence council</t>
  </si>
  <si>
    <t>Global Trends 2040 - A More Contested World</t>
  </si>
  <si>
    <t>https://www.dni.gov/files/images/globalTrends/GT2040/GlobalTrends_2040_for_web1.pdf</t>
  </si>
  <si>
    <t>Forum de pesquisa, programas acadêmicos e intercâmbio de ideias visando aperfeiçoar a segurança dos cidadãos através do fortalecimento da efetividade e responsabilidade de instituições africanas.</t>
  </si>
  <si>
    <t>Instituto de Pesquisa Econômica Aplicada</t>
  </si>
  <si>
    <t>https://www.ipea.gov.br/portal/</t>
  </si>
  <si>
    <t>Middle East Conflict and COVID-19 - A View from 2025.</t>
  </si>
  <si>
    <t>https://www.mei.edu/publications/middle-east-conflict-and-covid-19-view-2025</t>
  </si>
  <si>
    <t>S. Rajaratnam School of International Studies</t>
  </si>
  <si>
    <t>Nanyand Technological University</t>
  </si>
  <si>
    <t>https://www.rsis.edu.sg/</t>
  </si>
  <si>
    <t>Impactos da covid</t>
  </si>
  <si>
    <t>Crescimento econômico</t>
  </si>
  <si>
    <t>mortalidade</t>
  </si>
  <si>
    <t>O relatório apresenta dois produtos:
1.   
Cenários a respeito dos impactos da COVID-19 África.
2.      
Uma comparação com um cenário pré-covid (uma projeção feita pelo FMI em outubro de 2019)
Esses produtos, por sua vez, possibilitaram a sugestão de políticas públicas para reduzir a fragilidade da África perante a COVID. 
O relatório passa pelo método de maneira superficial e indireta. Em alguns momentos é possível apreender os processos metodológicos utilizados no estudo, que vão sendo descritos de maneira fracionada ao longo do relatório, na medida em que vão sendo utiliuzados. Contudo, o método e as ferramentas utilizados para a construção dos cenários não é descrito e maneira detalhada. 
Como o estudo tem como base a projeção do FMI, que leva em considerações aspectos econômicos, o relatório segue a mesma linha, e foca sua atenção no crescimento econômico. Adicionalmente, o relatório também considera o impacto social por conta da mortalidade causada pelo vírus.</t>
  </si>
  <si>
    <t xml:space="preserve">The S. Rajaratnam School of International Studies (RSIS) is a global think tank and school of graduate education offering Master of Science Programmes in Strategic Studies, International Relations, International Political Economy, and Asian Studies. </t>
  </si>
  <si>
    <t>https://ec.europa.eu/info/index_pt</t>
  </si>
  <si>
    <t>Forecasting change in militaru technology, 2020-2040</t>
  </si>
  <si>
    <t>https://www.brookings.edu/research/forecasting-change-in-military-technology-2020-2040/</t>
  </si>
  <si>
    <t>German Development Institute</t>
  </si>
  <si>
    <t>https://www.die-gdi.de/en/</t>
  </si>
  <si>
    <t>Friedrich Ebert Stiftung</t>
  </si>
  <si>
    <t>Norwegian Ministry of defence</t>
  </si>
  <si>
    <t>https://www.fes.de/</t>
  </si>
  <si>
    <t>The defence of Norway: Capability and readiness</t>
  </si>
  <si>
    <t>https://drive.google.com/file/d/1NNrgO9zaie7enkXDuP15XpbIwCDApvYH/view?usp=drivesdk</t>
  </si>
  <si>
    <t xml:space="preserve">A FES é uma instituição com braçoes em diversos países. </t>
  </si>
  <si>
    <t>defesa</t>
  </si>
  <si>
    <t>--&gt;Sementes: Ainda que o texto possa trazer um ou outro indício de mudança no cenário geopolítico não apresenta nenhum elemento que possa indicar o acontecimento de tais eventos. Há, contudo, uma cenarização a partir das mudanças esperadas. Este cenário, ainda contempla tanto elementos de alcance global quanto regionais;                                                                                                                                                                               --&gt; Política/geopolítica: Apesar de falar bastante sobre a situação geopolítica onde a Noruega está inserida, o texto não foca neste aspecto, sendo ele tão somente uma contextualização para o restante do texto;                                                                                      --&gt; Econômico/Social: Apesar do documento expressar diversas vezes a necessidade das FA trabalharem em conjunto com a população civil e da importância desta para a estratégia de defesa e prontidão do país, não há nada que trate especificamente do fator social;                                                                                                      --&gt; Tecnológico: o documento traz referências à necessidade do crescente desenvolvimento tecnológico para a segurança do país e também à necessidade da cooperação civil-militar para que se logre tal objetivo. Entretanto, não aprofunda no assunto;
—&gt;Militar/Marítimo/Terrestre/Aeroespacial: o texto aborda assuntos militares, porém relacionados às FA norueguesas. Trata muito brevemente dos seus braços (marinha, exército, aeronáutica e forças especiais), onde apresenta objetivamente os objetivos de continuidade, modernização e substituição de alguns de seus meios além da incorporação de novos. Não trata de assuntos correlatos a nenhum dos poderes militares (Marítimo/Terrestre/Aeroespacial). Há entretanto um único apontamento ao poder marítimo, especificamente sobre a importância das linhas de comunicação marítimas no Atlântico no caso de crise ou conflito.</t>
  </si>
  <si>
    <t>Laura</t>
  </si>
  <si>
    <t>Munich Security Conference</t>
  </si>
  <si>
    <t>https://securityconference.org/en/news/</t>
  </si>
  <si>
    <t>Países Indo-Pacific</t>
  </si>
  <si>
    <t>Serviço de Informação de Segurança</t>
  </si>
  <si>
    <t>Relatório Anual de Segurança Interna</t>
  </si>
  <si>
    <t>https://drive.google.com/file/d/1Nbvycddazj4n2iSMZi1yfPzGcGvQfHgI/view?usp=drivesdk</t>
  </si>
  <si>
    <t>Federam Ministry of Education and Research</t>
  </si>
  <si>
    <t>Governo Federal</t>
  </si>
  <si>
    <t>https://www.bmbf.de/en/bmbf-foresight-1419.html</t>
  </si>
  <si>
    <t>Objeto</t>
  </si>
  <si>
    <t>Chave_Relatorio</t>
  </si>
  <si>
    <t>Buscar por "BMBF Foresight". Não envolve específicamente Segurança e Defesa</t>
  </si>
  <si>
    <t>Government of UK</t>
  </si>
  <si>
    <t>EUA/Outras regiões</t>
  </si>
  <si>
    <t>National Security Strategy and Strategic Defence and Security Review 2015</t>
  </si>
  <si>
    <t xml:space="preserve">https://drive.google.com/file/d/1NslfWBcFpm-5Modcur0Abed3t2ZRkVij/view?usp=drivesdk </t>
  </si>
  <si>
    <t>Foresight Intelligence</t>
  </si>
  <si>
    <t>https://www.foresightintelligence.de/index.html</t>
  </si>
  <si>
    <t>Empresa prvvada de consultoria</t>
  </si>
  <si>
    <t>NORUEGA</t>
  </si>
  <si>
    <t>PORTUGAL</t>
  </si>
  <si>
    <t>REINO UNIDO</t>
  </si>
  <si>
    <t>REPÚBLICA TCHECA</t>
  </si>
  <si>
    <t>ROMÊNIA</t>
  </si>
  <si>
    <t>Partnership For Peace Consortium</t>
  </si>
  <si>
    <t>SUÉCIA</t>
  </si>
  <si>
    <t>SUÍÇA</t>
  </si>
  <si>
    <t>http://www.pfp-consortium.org/articles/cybersecurity-switzerland-challenges-and-way-forward-swiss-armed-forces</t>
  </si>
  <si>
    <t xml:space="preserve">MONTENEGRO </t>
  </si>
  <si>
    <t>Senegal, Mali, Mauritania, Algeria, Niger, Camarões, República Centro Africana, Sudão do Sul, Etiopia, Eritreia, Benin, Burkina Faso, Cape Verde, Ivory Coast, Gambia, Ghana, Guinea, Guinea-Bissau, Liberia, Nigeria, Saint Helena, Ascension and Tristan da Cunha, Sierra Leone, Togo, Burundi, Djibouti, Kenya, Rwanda, Somalia, Sudan, Tanzania, Uganda</t>
  </si>
  <si>
    <t>Nigeria</t>
  </si>
  <si>
    <t>É uma organização de cooperação em segurança e defesa.</t>
  </si>
  <si>
    <t>Ministry of Defence of the Czech Republic</t>
  </si>
  <si>
    <t>Tunisia</t>
  </si>
  <si>
    <t>South Africa</t>
  </si>
  <si>
    <t>The Defence Strategy Of The Czech Republic</t>
  </si>
  <si>
    <t xml:space="preserve">https://drive.google.com/file/d/1NgvWDFjTH0oLB-GEgdeJQb5kqXv05uzw/view?usp=drivesdk </t>
  </si>
  <si>
    <t>Burundi, Djibouti, Eritrea, Ethiopia, Kenya, Rwanda, Somalia, South Sudan, Sudan, Tanzania and Uganda</t>
  </si>
  <si>
    <t>Democratic Republic of Congo</t>
  </si>
  <si>
    <t>Central African Republic</t>
  </si>
  <si>
    <t>ETH Zurich Center for Security Studies</t>
  </si>
  <si>
    <t>Central African Republic e Democratic Republic of Congo</t>
  </si>
  <si>
    <t>Burundi, the Central African Republic, Darfur, the Comoros, Somalia, and the Lake Chad Basin</t>
  </si>
  <si>
    <t>https://css.ethz.ch/en/</t>
  </si>
  <si>
    <t>Burkina Faso, Chad, Mali, Mauritania and Niger</t>
  </si>
  <si>
    <t>República democratica do Congo</t>
  </si>
  <si>
    <t>Solvay Brussels School of Economics and Management - Center Emile Bernheim</t>
  </si>
  <si>
    <t>Université Libre de Bruxelles</t>
  </si>
  <si>
    <t>https://sbsem.ulb.be/research/research-centres/ceb</t>
  </si>
  <si>
    <t>Austria</t>
  </si>
  <si>
    <t>(Não membro da ONU)</t>
  </si>
  <si>
    <t>Romania's  National Cybersecurity and Defense Posture</t>
  </si>
  <si>
    <t>https://css.ethz.ch/content/dam/ethz/special-interest/gess/cis/center-for-securities-studies/pdfs/Cyber-Reports-2020-10-Romania.pdf</t>
  </si>
  <si>
    <t>China; Rússia</t>
  </si>
  <si>
    <t>Ártico</t>
  </si>
  <si>
    <t>Center for Military Studies</t>
  </si>
  <si>
    <t>University of Copenhagen</t>
  </si>
  <si>
    <t>https://cms.polsci.ku.dk/english/</t>
  </si>
  <si>
    <t>Mundo</t>
  </si>
  <si>
    <t>Government offices of sweden</t>
  </si>
  <si>
    <t>International Centre for Defence and Security</t>
  </si>
  <si>
    <t>Security in a new era</t>
  </si>
  <si>
    <t>https://icds.ee/en/</t>
  </si>
  <si>
    <t>https://drive.google.com/file/d/1NvceA155DVBBp6MD5VOCH2bbX6sy_oLu/view?usp=drivesdk</t>
  </si>
  <si>
    <t>Finland Futures Research Centre</t>
  </si>
  <si>
    <t>University of Turku</t>
  </si>
  <si>
    <t>https://www.utu.fi/en/university/turku-school-of-economics/finland-futures-research-centre</t>
  </si>
  <si>
    <t>OCDE</t>
  </si>
  <si>
    <t>United Nations Office on Drugs and Crime</t>
  </si>
  <si>
    <t>Comittee for the Future</t>
  </si>
  <si>
    <t>Parliament of Finland</t>
  </si>
  <si>
    <t xml:space="preserve">The Swiss Security Policy Report: Key Points and Debates </t>
  </si>
  <si>
    <t>https://www.eduskunta.fi/EN/valiokunnat/tulevaisuusvaliokunta/Pages/default.aspx</t>
  </si>
  <si>
    <t>https://drive.google.com/file/d/1OR1b8-pI0nx6H1kfNIxhfSWtcIcUyiez/view?usp=drivesdk</t>
  </si>
  <si>
    <t>The International Renewable Energy Agency (IRENA)</t>
  </si>
  <si>
    <t>The International Military Council on Climate and Security</t>
  </si>
  <si>
    <t>African Union Commission</t>
  </si>
  <si>
    <t>Finish Institute of International Affairs</t>
  </si>
  <si>
    <t>https://www.fiia.fi/en/</t>
  </si>
  <si>
    <t>Fondation pour la Recherche Stratégique</t>
  </si>
  <si>
    <t>https://www.frstrategie.org/en</t>
  </si>
  <si>
    <t>Institut Français des Relations Internationales</t>
  </si>
  <si>
    <t>https://www.ifri.org/en</t>
  </si>
  <si>
    <t>Qtd de países na região</t>
  </si>
  <si>
    <t>Agency for Public Management and eGovernment</t>
  </si>
  <si>
    <t>Qtd de países cobertos</t>
  </si>
  <si>
    <t>Qtd de países não cobertos</t>
  </si>
  <si>
    <t>Qtd de instituições na região</t>
  </si>
  <si>
    <t>Qtd de relatórios</t>
  </si>
  <si>
    <t xml:space="preserve">Montenegro: Building integrity in the defence sector </t>
  </si>
  <si>
    <t>https://drive.google.com/file/d/1OZb4Oz_X7-CQ0hsum13M-zwaFG9RotAO/view?usp=drivesdk</t>
  </si>
  <si>
    <t>Institut de Relations Internationales et Stratégiques</t>
  </si>
  <si>
    <t>https://www.iris-france.org/</t>
  </si>
  <si>
    <t>Hellenic Foundation for European and Foreign Policy</t>
  </si>
  <si>
    <t>https://www.eliamep.gr/en/</t>
  </si>
  <si>
    <t>Africa’s combined exclusive maritime zone concept</t>
  </si>
  <si>
    <t>https://issafrica.org/research/africa-report/africas-combined-exclusive-maritime-zone-concept</t>
  </si>
  <si>
    <t>Istituto Affari Internazionali</t>
  </si>
  <si>
    <t>Ordem</t>
  </si>
  <si>
    <t>https://www.iai.it/it</t>
  </si>
  <si>
    <t>Ref para Calculo 1</t>
  </si>
  <si>
    <t>1- Ameaças Eletromagnéticas</t>
  </si>
  <si>
    <t>Giulia</t>
  </si>
  <si>
    <t>2 de maio</t>
  </si>
  <si>
    <t>North Atlantic Treaty Organization</t>
  </si>
  <si>
    <t>p033</t>
  </si>
  <si>
    <t>Organização das Nações Unidas (ONU)</t>
  </si>
  <si>
    <t>https://www.nato.int/cps/en/natohq/news_180758.htm?selectedLocale=en</t>
  </si>
  <si>
    <t>p035</t>
  </si>
  <si>
    <t>p038</t>
  </si>
  <si>
    <t>p039</t>
  </si>
  <si>
    <t>p064</t>
  </si>
  <si>
    <t>Peace and Security Council Report No 132</t>
  </si>
  <si>
    <t>https://issafrica.org/research/peace-and-security-council-report/peace-and-security-council-report-no-132</t>
  </si>
  <si>
    <t>Coopera em questões relacionadas à defesa e à segurança para resolver problemas, construir confiança e, a longo prazo, evitar conflitos.</t>
  </si>
  <si>
    <t>p134</t>
  </si>
  <si>
    <t>p343</t>
  </si>
  <si>
    <t>p388</t>
  </si>
  <si>
    <t>p389</t>
  </si>
  <si>
    <t>2 - Biodefesa e Segurança Alimentar</t>
  </si>
  <si>
    <t>https://cids.no/difi/</t>
  </si>
  <si>
    <t>A secure and stable Africa is an enduring American interest</t>
  </si>
  <si>
    <t>https://www.africom.mil/about-the-command/2020-posture-statement-to-congress</t>
  </si>
  <si>
    <t>https://www.regjeringen.no/en/dep/fd/id380/</t>
  </si>
  <si>
    <t>p158</t>
  </si>
  <si>
    <t>European Army Interoperability Centre</t>
  </si>
  <si>
    <t>Institute for Security Studies</t>
  </si>
  <si>
    <t>https://finabel.org/</t>
  </si>
  <si>
    <t>3 - Escassez de Recursos</t>
  </si>
  <si>
    <t>EU-African security cooperation in the Sahel region, West Africa and the Horn of Africa</t>
  </si>
  <si>
    <t>https://www.europarl.europa.eu/doceo/document/A-9-2020-0129_EN.html</t>
  </si>
  <si>
    <t>Não produz relatórios, mas produz análises e formato de estudos que são publicadas em formato online</t>
  </si>
  <si>
    <t>HELDERV2</t>
  </si>
  <si>
    <t>The Netherlands Institute of International Relations Clingendael</t>
  </si>
  <si>
    <t>https://www.clingendael.org/</t>
  </si>
  <si>
    <t>p004</t>
  </si>
  <si>
    <t>p006</t>
  </si>
  <si>
    <t>p007</t>
  </si>
  <si>
    <t>p014</t>
  </si>
  <si>
    <t>p118</t>
  </si>
  <si>
    <t>p119</t>
  </si>
  <si>
    <t>p129</t>
  </si>
  <si>
    <t>p133</t>
  </si>
  <si>
    <t>p218</t>
  </si>
  <si>
    <t>4 - Energia Nuclear e Futuro</t>
  </si>
  <si>
    <t>African agency in the new Cold War: Traditional power competition in the post-COVID-19 African landscape</t>
  </si>
  <si>
    <t>https://www.atlanticcouncil.org/in-depth-research-reports/report/african-agency-in-the-new-cold-war-traditional-power-competition-in-the-post-covid-19-african-landscape/</t>
  </si>
  <si>
    <t>https://www.sis.pt/</t>
  </si>
  <si>
    <t>p005</t>
  </si>
  <si>
    <t>https://www.gov.uk/</t>
  </si>
  <si>
    <t>p013</t>
  </si>
  <si>
    <t>p015</t>
  </si>
  <si>
    <t>p023</t>
  </si>
  <si>
    <t>p029</t>
  </si>
  <si>
    <t>Why Africa matters to US national security</t>
  </si>
  <si>
    <t>https://www.atlanticcouncil.org/in-depth-research-reports/report/why-africa-matters-to-us-national-security/</t>
  </si>
  <si>
    <t>p032</t>
  </si>
  <si>
    <t>p079</t>
  </si>
  <si>
    <t>p092</t>
  </si>
  <si>
    <t>p121</t>
  </si>
  <si>
    <t>p137</t>
  </si>
  <si>
    <t>p142</t>
  </si>
  <si>
    <t>p147</t>
  </si>
  <si>
    <t>p155</t>
  </si>
  <si>
    <t>p194</t>
  </si>
  <si>
    <t>https://www.army.cz/en/</t>
  </si>
  <si>
    <t>p202</t>
  </si>
  <si>
    <t>p203</t>
  </si>
  <si>
    <t>p204</t>
  </si>
  <si>
    <t>p212</t>
  </si>
  <si>
    <t>p213</t>
  </si>
  <si>
    <t>p215</t>
  </si>
  <si>
    <t>p221</t>
  </si>
  <si>
    <t>p225</t>
  </si>
  <si>
    <t>p235</t>
  </si>
  <si>
    <t>p237</t>
  </si>
  <si>
    <t>p254</t>
  </si>
  <si>
    <t>p256</t>
  </si>
  <si>
    <t>p260</t>
  </si>
  <si>
    <t>p263</t>
  </si>
  <si>
    <t>p265</t>
  </si>
  <si>
    <t>p268</t>
  </si>
  <si>
    <t>p272</t>
  </si>
  <si>
    <t>Countering Violent Extremism in Nigeria</t>
  </si>
  <si>
    <t>https://www.rand.org/pubs/research_reports/RR4257.html</t>
  </si>
  <si>
    <t>International Security Sector Advisory Team</t>
  </si>
  <si>
    <t>p280</t>
  </si>
  <si>
    <t>p281</t>
  </si>
  <si>
    <t>p287</t>
  </si>
  <si>
    <t>https://issat.dcaf.ch/Learn/SSR-in-Practice/Countries-Regions/Serbia?view=resources</t>
  </si>
  <si>
    <t>p289</t>
  </si>
  <si>
    <t>p290</t>
  </si>
  <si>
    <t>p291</t>
  </si>
  <si>
    <t>p300</t>
  </si>
  <si>
    <t>p333</t>
  </si>
  <si>
    <t>p335</t>
  </si>
  <si>
    <t>p336</t>
  </si>
  <si>
    <t>Contribui para melhorar a segurança e a justiça como um meio de ajudar a prevenir conflitos violentos, construir uma paz sustentável e estabelecer um ambiente propício para alcançar os Objetivos de Desenvolvimento Sustentável (ODS).</t>
  </si>
  <si>
    <t>p337</t>
  </si>
  <si>
    <t>p338</t>
  </si>
  <si>
    <t>p344</t>
  </si>
  <si>
    <t>p345</t>
  </si>
  <si>
    <t>p346</t>
  </si>
  <si>
    <t>p350</t>
  </si>
  <si>
    <t>p355</t>
  </si>
  <si>
    <t>p368</t>
  </si>
  <si>
    <t>p420</t>
  </si>
  <si>
    <t xml:space="preserve">Swedish Defence Research Agency </t>
  </si>
  <si>
    <t>https://www.foi.se/en/foi.html</t>
  </si>
  <si>
    <t>Peace and Security Council Report No 131</t>
  </si>
  <si>
    <t>https://issafrica.org/research/peace-and-security-council-report/peace-and-security-council-report-no-131</t>
  </si>
  <si>
    <t>https://www.government.se/</t>
  </si>
  <si>
    <t>5 - Guerra do Futuro</t>
  </si>
  <si>
    <t>Impact of COVID-19 in Africa: a scenario analysis to 2030</t>
  </si>
  <si>
    <t>https://issafrica.org/research/africa-report/impact-of-covid-19-in-africa-a-scenario-analysis-to-2030</t>
  </si>
  <si>
    <t>Stockholm International Peace Research Institute</t>
  </si>
  <si>
    <t>https://www.sipri.org/</t>
  </si>
  <si>
    <t>6 - Meio Ambiente Marítimo</t>
  </si>
  <si>
    <t>É um instituto internacional independente dedicado à pesquisa sobre conflitos, armamentos, controle de armas e desarmamento.</t>
  </si>
  <si>
    <t>European Foresight Plataform</t>
  </si>
  <si>
    <t>http://www.foresight-platform.eu/</t>
  </si>
  <si>
    <t>p241</t>
  </si>
  <si>
    <t>p242</t>
  </si>
  <si>
    <t>p243</t>
  </si>
  <si>
    <t>Descontinuada e substituída pela "European Foresight Monitoring Network"</t>
  </si>
  <si>
    <t>p244</t>
  </si>
  <si>
    <t>p245</t>
  </si>
  <si>
    <t>p274</t>
  </si>
  <si>
    <t>p293</t>
  </si>
  <si>
    <t>p341</t>
  </si>
  <si>
    <t>p342</t>
  </si>
  <si>
    <t>Beyond 2020: exploring the potential for a stronger UN-AU peacebuilding partnership</t>
  </si>
  <si>
    <t>https://issafrica.org/research/africa-report/beyond-2020-exploring-the-potential-for-a-stronger-un-au-peacebuilding-partnership</t>
  </si>
  <si>
    <t>p354</t>
  </si>
  <si>
    <t>European Foresight Monitoring Network</t>
  </si>
  <si>
    <t>https://op.europa.eu/en/publication-detail/-/publication/91db75a7-dbdb-49e9-a5ee-2c75c0fd83ac</t>
  </si>
  <si>
    <t>European Union Institute for Security Studies</t>
  </si>
  <si>
    <t>https://www.iss.europa.eu/topics/strategic-foresight</t>
  </si>
  <si>
    <t>The rebirth: Tunisia’s potential development pathways to 2040</t>
  </si>
  <si>
    <t>https://issafrica.org/research/north-africa-report/the-rebirth-tunisias-potential-development-pathways-to-2040</t>
  </si>
  <si>
    <t>Foresight Europe Network</t>
  </si>
  <si>
    <t>http://www.feneu.org/</t>
  </si>
  <si>
    <t>European Regional Foresight College</t>
  </si>
  <si>
    <t>https://foresight-college.eu/</t>
  </si>
  <si>
    <t>Looking back, looking forward: South Africa in the UN Security Council</t>
  </si>
  <si>
    <t>https://issafrica.org/research/africa-report/looking-back-looking-forward-south-africa-in-the-un-security-council</t>
  </si>
  <si>
    <t>RUSI - Royal United Services Institute for Defence and Security Studies</t>
  </si>
  <si>
    <t>https://www.rusi.org/</t>
  </si>
  <si>
    <t>Think tank</t>
  </si>
  <si>
    <t>Army Knowledge Centre (The cove)</t>
  </si>
  <si>
    <t>https://cove.army.gov.au/bio/army-knowledge-centre</t>
  </si>
  <si>
    <t>Foresight Africa: Top priorities for the continent 2020-2030</t>
  </si>
  <si>
    <t>https://www.brookings.edu/wp-content/uploads/2020/01/ForesightAfrica2020_20200110.pdf</t>
  </si>
  <si>
    <t>Institute for Regional Security</t>
  </si>
  <si>
    <t>https://regionalsecurity.org.au/</t>
  </si>
  <si>
    <t>We promote the peace, stability and prosperity of the peoples of the Indo-Pacific region through policy research, policy advice and advocacy, international dialogues, and the professional development of policy-makers</t>
  </si>
  <si>
    <t>Lowy Institute for International Policy</t>
  </si>
  <si>
    <t>https://www.lowyinstitute.org/</t>
  </si>
  <si>
    <t>The Lowy Institute is an Australian think tank with a global outlook. Our research interests are as broad as Australia’s interests, and we host distinguished speakers from around the globe on foreign policy, defence, politics, aid and development, journalism, sport, science and the arts.</t>
  </si>
  <si>
    <t>Air Defense Systems Market - Growth, Trends, and Forecasts (2020 - 2025)</t>
  </si>
  <si>
    <t>https://www.reportlinker.com/p05893157/Air-Defense-Systems-Market-Growth-Trends-and-Forecasts.html</t>
  </si>
  <si>
    <t>Australian Strategic Policy Institute</t>
  </si>
  <si>
    <t>https://www.aspi.org.au/</t>
  </si>
  <si>
    <t>Só coloquei esse que é pago mas são relatórios bem especificos e usados pelas empresas para tomada de decisão. Talvez seja interessante saber que existe esse site.</t>
  </si>
  <si>
    <t xml:space="preserve">ASPI is an independent, non-partisan think tank that produces expert and timely advice for Australian and global leaders. ASPI generates new ideas for policy makers, allowing them to make better-informed decisions. </t>
  </si>
  <si>
    <t>Sea power Centre</t>
  </si>
  <si>
    <t>Royal Australian Navy</t>
  </si>
  <si>
    <t>https://www.navy.gov.au/</t>
  </si>
  <si>
    <t>ONU</t>
  </si>
  <si>
    <t>The Sea Power Centre - Australia (SPC–A) was established in the early 1990s to act as an autonomous research centre in order to foster and encourage development of maritime strategic thought by providing intellectual rigour to the public debate on maritime strategy and other maritime issues</t>
  </si>
  <si>
    <t>The Future of Peace Operations: A Scenario Analysis, 2020-2030</t>
  </si>
  <si>
    <t>https://peacekeeping.un.org/sites/default/files/fopo_scenarios_paul_williams_final.pdf</t>
  </si>
  <si>
    <t>Defence Science and Technology Group</t>
  </si>
  <si>
    <t>Defense Department of Australia</t>
  </si>
  <si>
    <t>https://www.dst.defence.gov.au/</t>
  </si>
  <si>
    <t xml:space="preserve">8 - Tendências e Impactos Marítimo-Naval </t>
  </si>
  <si>
    <t>Global mas com grande ênfase na Africa</t>
  </si>
  <si>
    <t>Governo Australiano</t>
  </si>
  <si>
    <t>https://defence.gov.au/</t>
  </si>
  <si>
    <r>
      <rPr>
        <sz val="10"/>
        <rFont val="Arial"/>
      </rPr>
      <t xml:space="preserve">Relatório anual sobre as atividades de defesa produzido pela secretaria de defesa da Austrália. Atenção para a página </t>
    </r>
    <r>
      <rPr>
        <u/>
        <sz val="10"/>
        <rFont val="Arial"/>
      </rPr>
      <t>https://defence.gov.au/annualreports/</t>
    </r>
  </si>
  <si>
    <t>THE FUTURE OF UN PEACE OPERATIONS IN A CHANGING CONFLICT ENVIRONMENT</t>
  </si>
  <si>
    <t>https://peacekeeping.un.org/sites/default/files/future_of_peacekeeping_operations_in_a_changing_conflict_environment.pdf</t>
  </si>
  <si>
    <t>New Zeland Ministry of Defense</t>
  </si>
  <si>
    <t>Governo New Zeland</t>
  </si>
  <si>
    <t>https://www.defence.govt.nz/</t>
  </si>
  <si>
    <t>Link para diversos relatórios sobre as ações do Governo da Nova Zelândia sobre as atividades de Defesa, incluindo estudos de cenários</t>
  </si>
  <si>
    <t>Defense Department of USA</t>
  </si>
  <si>
    <t>Governo EUA</t>
  </si>
  <si>
    <t>https://www.defense.gov/</t>
  </si>
  <si>
    <t>Estimating future conflict risks and conflict prevention implications by 2030</t>
  </si>
  <si>
    <t>https://peacekeeping.un.org/sites/default/files/estimating_future_conflict_risks_and_conflict_prevention_implications_by_2030.pdf</t>
  </si>
  <si>
    <t>World Economic Forum LLC</t>
  </si>
  <si>
    <t>https://www.weforum.org/about/world-economic-forum-llc</t>
  </si>
  <si>
    <t>Subsidiária Norte-Americana do WEF, organização internacional para cooperação público-privada, baseada em Genebra e sob supervisão do Governo Federal da Suíça. Produzem relatórios variados a nível regional e global.</t>
  </si>
  <si>
    <t>https://www.irena.org/</t>
  </si>
  <si>
    <t>https://www.oecd-ilibrary.org/</t>
  </si>
  <si>
    <t>The Future of UN Peacekeeping and Parallel Operations</t>
  </si>
  <si>
    <t>https://peacekeeping.un.org/sites/default/files/the_future_of_peacekeeping_and_parallel_operations.pdf</t>
  </si>
  <si>
    <t>Frederick S. Pardee center for international futures</t>
  </si>
  <si>
    <t>University of Denver</t>
  </si>
  <si>
    <t>https://pardee.du.edu/</t>
  </si>
  <si>
    <t>Nile Basin Discourse</t>
  </si>
  <si>
    <t>https://www.nilebasindiscourse.org/</t>
  </si>
  <si>
    <t>The Future of UN Peacekeeping: Reflections on Strengthening the Role of Peacekeeping in Sustaining Peace from a Security Sector Reform Perspective1</t>
  </si>
  <si>
    <t>formado por vários países da região</t>
  </si>
  <si>
    <t>https://peacekeeping.un.org/sites/default/files/dcaf_future_of_un_peacekeeping_from_ssr_perspective.pdf</t>
  </si>
  <si>
    <t>https://www.unodc.org/</t>
  </si>
  <si>
    <t>Observatoire defense et climat</t>
  </si>
  <si>
    <t>The French Institute for International and Strategic Affairs</t>
  </si>
  <si>
    <t>https://www.iris-france.org/observatoires/observatoire-defense-et-climat/</t>
  </si>
  <si>
    <t>The Foreign Military Presence in the Horn of Africa Region</t>
  </si>
  <si>
    <t>https://www.sipri.org/publications/2019/sipri-background-papers/foreign-military-presence-horn-africa-region</t>
  </si>
  <si>
    <t>Glogal Centre for Public Service Excellence</t>
  </si>
  <si>
    <t>9 - TIC – Inteligência Artificial - Futuro Defesa</t>
  </si>
  <si>
    <t>UNDP</t>
  </si>
  <si>
    <t>Perth USAsia Centre</t>
  </si>
  <si>
    <t>https://perthusasia.edu.au/</t>
  </si>
  <si>
    <t>The New External Security Politics of the Horn of Africa Region</t>
  </si>
  <si>
    <t>https://www.sipri.org/publications/2019/sipri-insights-peace-and-security/new-external-security-politics-horn-africa-region</t>
  </si>
  <si>
    <t>Instituto Igarapé</t>
  </si>
  <si>
    <t>https://igarape.org.br</t>
  </si>
  <si>
    <t>Economic Research Service</t>
  </si>
  <si>
    <t>USDA</t>
  </si>
  <si>
    <t>https://www.ers.usda.gov</t>
  </si>
  <si>
    <t>Securing Legitimate Stability in the DRC: External Assumptions and Local Perspectives</t>
  </si>
  <si>
    <t>https://www.sipri.org/publications/2019/other-publications/securing-legitimate-stability-drc-external-assumptions-and-local-perspectives</t>
  </si>
  <si>
    <t>https://imccs.org</t>
  </si>
  <si>
    <t>https://au.int/en/commission</t>
  </si>
  <si>
    <t>Ministry of Defence</t>
  </si>
  <si>
    <t>Securing Legitimate Stability in CAR: External Assumptions and Local Perspectives</t>
  </si>
  <si>
    <t>https://www.sipri.org/publications/2019/other-publications/securing-legitimate-stability-car-external-assumptions-and-local-perspectives</t>
  </si>
  <si>
    <t>https://www.gov.uk/government/organisations/ministry-of-defence</t>
  </si>
  <si>
    <t>Alessio Patalano</t>
  </si>
  <si>
    <t>https://rusi.org/</t>
  </si>
  <si>
    <t>OTAN</t>
  </si>
  <si>
    <t>https://www.nato.int/</t>
  </si>
  <si>
    <t>Towards Legitimate Stability in CAR and the DRC: External Assumptions and Local Perspectives</t>
  </si>
  <si>
    <t>https://www.sipri.org/publications/2019/other-publications/towards-legitimate-stability-car-and-drc-external-assumptions-and-local-perspectives</t>
  </si>
  <si>
    <t>Ministry of Defence Republic of Latvia</t>
  </si>
  <si>
    <t>https://www.mod.gov.lv/</t>
  </si>
  <si>
    <t>Ministério da Defesa da Dinamarca</t>
  </si>
  <si>
    <t>https://www.forsvaret.dk/</t>
  </si>
  <si>
    <t>Ministério da Defesa da Letônia</t>
  </si>
  <si>
    <t>https://www.mfa.gov.lv/</t>
  </si>
  <si>
    <t>LSM+</t>
  </si>
  <si>
    <t>https://rus.lsm.lv/</t>
  </si>
  <si>
    <t>Africa's Role in Nation-Building</t>
  </si>
  <si>
    <t>https://www.rand.org/pubs/research_reports/RR2978.html</t>
  </si>
  <si>
    <t>U.S. Naval Forces Europe and Africa / U.S. Sixth Fleet</t>
  </si>
  <si>
    <t>https://www.c6f.navy.mil/</t>
  </si>
  <si>
    <t>Ministério da Defesa</t>
  </si>
  <si>
    <t>Norwegian Defence Research Establishment (FFI)</t>
  </si>
  <si>
    <t>https://www.ffi.no/en</t>
  </si>
  <si>
    <t>Prospects for the G5 Sahel countries to 2040</t>
  </si>
  <si>
    <t>Central and Eastern European Online</t>
  </si>
  <si>
    <t>https://issafrica.org/research/west-africa-report/prospects-for-the-g5-sahel-countries-to-2040</t>
  </si>
  <si>
    <t>https://www.ceeol.com/</t>
  </si>
  <si>
    <t>Foresigth</t>
  </si>
  <si>
    <t>https://foresight.org/</t>
  </si>
  <si>
    <t>RAND Corporation Europa</t>
  </si>
  <si>
    <r>
      <rPr>
        <u/>
        <sz val="10"/>
        <color rgb="FF1155CC"/>
        <rFont val="Arial, sans-serif"/>
      </rPr>
      <t>https://www.rand.org/randeurope.html</t>
    </r>
  </si>
  <si>
    <t>National Defense University Press</t>
  </si>
  <si>
    <t>https://ndupress.ndu.edu/</t>
  </si>
  <si>
    <t xml:space="preserve">Why Africa’s development models must change: understanding five dynamic trends </t>
  </si>
  <si>
    <t>https://issafrica.org/research/africa-report/why-africas-development-models-must-change-understanding-five-dynamic-trends</t>
  </si>
  <si>
    <t>European MSP Plataform</t>
  </si>
  <si>
    <t>https://maritime-spatial-planning.ec.europa.eu/</t>
  </si>
  <si>
    <t>Desenvolvimento</t>
  </si>
  <si>
    <t>17 de maio</t>
  </si>
  <si>
    <t>U.S. Naval War College</t>
  </si>
  <si>
    <t>https://usnwc.edu/</t>
  </si>
  <si>
    <t>https://www.government.se</t>
  </si>
  <si>
    <t>Faculdade de Ciências Políticas da Universidade de Zagreb</t>
  </si>
  <si>
    <t>https://www.unizg.hr/homepage/</t>
  </si>
  <si>
    <t>EU Institute for Security Studies (EUISS) and the Portuguese Presidency of the Council of the European Union</t>
  </si>
  <si>
    <t>https://www.defesa.gov.pt/pt</t>
  </si>
  <si>
    <t>NEW UNIVERISTY, FACULTY OF GOVERNMENT AND EUROPEAN STUDIES</t>
  </si>
  <si>
    <t>https://eufuture.nova-uni.si/</t>
  </si>
  <si>
    <t>Woodrow Wilson International Center for Scholars</t>
  </si>
  <si>
    <t>https://www.wilsoncenter.org/</t>
  </si>
  <si>
    <t>NAADSN</t>
  </si>
  <si>
    <t xml:space="preserve">11 - TIC – Segurança Cibernética - Futuro Defesa </t>
  </si>
  <si>
    <t>https://www.naadsn.ca/</t>
  </si>
  <si>
    <t>Centro de Investigação do Instituto de Estudos Políticos</t>
  </si>
  <si>
    <t>https://iep.lisboa.ucp.pt/pt-pt/homepage</t>
  </si>
  <si>
    <t>Instituto Portugues de Relações Internacionais</t>
  </si>
  <si>
    <t xml:space="preserve">12 - Desastres Futuro &amp; Defesa </t>
  </si>
  <si>
    <t>https://ipri.unl.pt/index.php/pt/</t>
  </si>
  <si>
    <t>Romenian Ministry of National Defence</t>
  </si>
  <si>
    <t>https://english.mapn.ro/</t>
  </si>
  <si>
    <t>War on the Rocks</t>
  </si>
  <si>
    <t>https://warontherocks.com/</t>
  </si>
  <si>
    <t>The Finnish Institute of International Affairs</t>
  </si>
  <si>
    <t>https://www.fiia.fi/</t>
  </si>
  <si>
    <t>Departamento de Estado dos Estados Unidos</t>
  </si>
  <si>
    <t>https://www.state.gov/</t>
  </si>
  <si>
    <t>p009</t>
  </si>
  <si>
    <t>p012</t>
  </si>
  <si>
    <t>p132</t>
  </si>
  <si>
    <t>p208</t>
  </si>
  <si>
    <t>p226</t>
  </si>
  <si>
    <t>p297</t>
  </si>
  <si>
    <t>The Prague Security Studies Institute</t>
  </si>
  <si>
    <t>https://www.pssi.cz/</t>
  </si>
  <si>
    <t>p359</t>
  </si>
  <si>
    <t>p364</t>
  </si>
  <si>
    <t>p415</t>
  </si>
  <si>
    <t>Washington Quarterly</t>
  </si>
  <si>
    <t>https://twq.elliott.gwu.edu/</t>
  </si>
  <si>
    <t>13- Guerra Cognitiva</t>
  </si>
  <si>
    <t>Exército Esloveno</t>
  </si>
  <si>
    <t>https://www.slovenskavojska.si/</t>
  </si>
  <si>
    <t>Maritime cyber security: getting Africa ready</t>
  </si>
  <si>
    <t>https://issafrica.org/research/africa-report/maritime-cyber-security-getting-africa-ready</t>
  </si>
  <si>
    <t>THE ROYAL SWEDISH SOCIET Y OF NAVAL SCIENCES</t>
  </si>
  <si>
    <t>https://www.kva.se/en/</t>
  </si>
  <si>
    <t>Center for Maritime Strategy</t>
  </si>
  <si>
    <t>https://centerformaritimestrategy.org/</t>
  </si>
  <si>
    <t>Cybersegurança</t>
  </si>
  <si>
    <t>https://www.mod.gov.lv/lv</t>
  </si>
  <si>
    <t>Romania Energy Center</t>
  </si>
  <si>
    <t>https://roec.biz/</t>
  </si>
  <si>
    <t xml:space="preserve">Specific sectoral improvements could help the DRC realise its potential as a driver of economic growth in Africa.  </t>
  </si>
  <si>
    <t>https://issafrica.org/research/central-africa-report/waking-the-sleeping-giant-development-pathways-for-the-democratic-republic-of-the-congo-to-2050</t>
  </si>
  <si>
    <t>ITALIAN DEFENCE GENERAL STAFF</t>
  </si>
  <si>
    <t>https://www.difesa.it/</t>
  </si>
  <si>
    <t>Djøf Publishing e Centre for Military Studies</t>
  </si>
  <si>
    <t>https://cms.polsci.ku.dk/</t>
  </si>
  <si>
    <t>Não houve. Financiadores do estudo - Conselho de Bolsas de Estudo da China e Conselho Europeu de Pesquisa</t>
  </si>
  <si>
    <t>https://www.chinesescholarshipcouncil.com/</t>
  </si>
  <si>
    <t>p115</t>
  </si>
  <si>
    <t>National Natural Science Foundation of China (NSFC)</t>
  </si>
  <si>
    <t>p220</t>
  </si>
  <si>
    <t>https://www.nsfc.gov.cn/</t>
  </si>
  <si>
    <t>Sea Power Centre</t>
  </si>
  <si>
    <t>INDONESIA-AUSTRALIA MARITIME SECURITY:
 CHALLENGES AND COOPERATION</t>
  </si>
  <si>
    <t>https://www.navy.gov.au/sites/default/files/documents/spc/Indonesia_Australia_Challenges_.pdf</t>
  </si>
  <si>
    <t>14- Método e Arranjos Metodologicos</t>
  </si>
  <si>
    <t>Micro-ondas e Radar do Centro Aeroespacial Alemão (DLR) em Wessling, Alemanha</t>
  </si>
  <si>
    <t>https://www.dlr.de/en</t>
  </si>
  <si>
    <t>Helder</t>
  </si>
  <si>
    <t>Universidade Estadual de Sebastopol</t>
  </si>
  <si>
    <t>http://www.sevgtu.stel.sebastopol.ua</t>
  </si>
  <si>
    <t>Japan Society for the Promotion of Science (JSPS).</t>
  </si>
  <si>
    <t>https://www.jsps.go.jp/english/</t>
  </si>
  <si>
    <t>DEPARTMENT-OF-DEFENSE-INDO-PACIFIC-STRATEGY-REPORT-2019</t>
  </si>
  <si>
    <t>https://media.defense.gov/2019/Jul/01/2002152311/-1/-1/1/DEPARTMENT-OF-DEFENSE-INDO-PACIFIC-STRATEGY-REPORT-2019.PDF</t>
  </si>
  <si>
    <t>Russian Academy of Sciences</t>
  </si>
  <si>
    <t>https://new.ras.ru/en/</t>
  </si>
  <si>
    <t>Relatório produzido pela secretaria de defesa dos EUA com informações sobre países vizinhos pelo Pacífico</t>
  </si>
  <si>
    <t>Foreign Policy Institute/Henry A. Kissinger Center for Global Affairs, Johns Hopkins University SAIS 2021.</t>
  </si>
  <si>
    <t>https://sais.jhu.edu/</t>
  </si>
  <si>
    <t>College of Systems Engineering, National University of Defense Technology</t>
  </si>
  <si>
    <t>https://english.nudt.edu.cn/</t>
  </si>
  <si>
    <t>DEFENSE ANUAL REPORT 19-20</t>
  </si>
  <si>
    <t>https://defence.gov.au/annualreports/</t>
  </si>
  <si>
    <t>p001</t>
  </si>
  <si>
    <t>Zhejiang University na China</t>
  </si>
  <si>
    <t>Relatório anual sobre as atividades de defesa produzido pela secretaria de defesa da Austrália</t>
  </si>
  <si>
    <t>p002</t>
  </si>
  <si>
    <t>https://www.zju.edu.cn/english/</t>
  </si>
  <si>
    <t>p003</t>
  </si>
  <si>
    <t>p008</t>
  </si>
  <si>
    <t>National Engineering Research Center for Water Transport Safety, Wuhan University of Technology, Wuhan, China</t>
  </si>
  <si>
    <t>p010</t>
  </si>
  <si>
    <t>http://english.whut.edu.cn</t>
  </si>
  <si>
    <t>p011</t>
  </si>
  <si>
    <t>p016</t>
  </si>
  <si>
    <t>An Australian vision of the Indo-Pacific – Through a Strategic and  Maritime Lens</t>
  </si>
  <si>
    <t>https://www.navy.gov.au/sites/default/files/documents/Australian_vision_of_Indo-Pacific_Through_Strategic_and_Maritime_Lens_0.pdf</t>
  </si>
  <si>
    <t>federation-russian-academy-of-sciences</t>
  </si>
  <si>
    <t>p017</t>
  </si>
  <si>
    <t>https://pt.council.science/member/russian-federation-russian-academy-of-sciences/</t>
  </si>
  <si>
    <t>p018</t>
  </si>
  <si>
    <t>p019</t>
  </si>
  <si>
    <t>p020</t>
  </si>
  <si>
    <t>p021</t>
  </si>
  <si>
    <t>p022</t>
  </si>
  <si>
    <t>p024</t>
  </si>
  <si>
    <t>p025</t>
  </si>
  <si>
    <t>p026</t>
  </si>
  <si>
    <t>Liverpool Logistics, Offshore and Marine (LOOM) Research Institute</t>
  </si>
  <si>
    <t>Uma visão australiana do Indo-Pacífico - por meio de uma visão estratégica e Lente Marítima</t>
  </si>
  <si>
    <t>p027</t>
  </si>
  <si>
    <t>https://training.logistics.org.uk/</t>
  </si>
  <si>
    <t>p028</t>
  </si>
  <si>
    <t>p030</t>
  </si>
  <si>
    <t>p031</t>
  </si>
  <si>
    <t>p034</t>
  </si>
  <si>
    <t>Lietuvos Respublikos krašto apsaugos ministerija</t>
  </si>
  <si>
    <t>p036</t>
  </si>
  <si>
    <t>https://kam.lt/</t>
  </si>
  <si>
    <t>p037</t>
  </si>
  <si>
    <t>p040</t>
  </si>
  <si>
    <t>p041</t>
  </si>
  <si>
    <t>p042</t>
  </si>
  <si>
    <t>PEACE RESEARCH INSTITUTE FRANKFURT</t>
  </si>
  <si>
    <t>p043</t>
  </si>
  <si>
    <t>Australian Journal of  Defence and Strategic Studies Number 2 Vol2</t>
  </si>
  <si>
    <t>https://www.defence.gov.au/adc/Publications/ajdss/documents/volume2-number2/WEB-AJDSS-complete-interactive.pdf</t>
  </si>
  <si>
    <t>https://www.prif.org/</t>
  </si>
  <si>
    <t>p044</t>
  </si>
  <si>
    <t>p045</t>
  </si>
  <si>
    <t>p046</t>
  </si>
  <si>
    <t>p047</t>
  </si>
  <si>
    <t>p048</t>
  </si>
  <si>
    <t>p049</t>
  </si>
  <si>
    <t>p050</t>
  </si>
  <si>
    <t>Army University Press</t>
  </si>
  <si>
    <t>p051</t>
  </si>
  <si>
    <t>p052</t>
  </si>
  <si>
    <r>
      <rPr>
        <u/>
        <sz val="10"/>
        <color rgb="FF1155CC"/>
        <rFont val="Arial, sans-serif"/>
      </rPr>
      <t>https://www.armyupress.army.mil/</t>
    </r>
  </si>
  <si>
    <t>p053</t>
  </si>
  <si>
    <t>p054</t>
  </si>
  <si>
    <t>p055</t>
  </si>
  <si>
    <t>p056</t>
  </si>
  <si>
    <t>Estudos estratégicos de Defesa da Austrália Number 2 - Vol 2</t>
  </si>
  <si>
    <t>p057</t>
  </si>
  <si>
    <t>p058</t>
  </si>
  <si>
    <t>p059</t>
  </si>
  <si>
    <t>p060</t>
  </si>
  <si>
    <t>p061</t>
  </si>
  <si>
    <t>p062</t>
  </si>
  <si>
    <t>p063</t>
  </si>
  <si>
    <t>p065</t>
  </si>
  <si>
    <t>p066</t>
  </si>
  <si>
    <t>p067</t>
  </si>
  <si>
    <t>p068</t>
  </si>
  <si>
    <t>University of Haifa</t>
  </si>
  <si>
    <t>p069</t>
  </si>
  <si>
    <t>p070</t>
  </si>
  <si>
    <t>https://www.haifa.ac.il/</t>
  </si>
  <si>
    <t>p071</t>
  </si>
  <si>
    <t>p072</t>
  </si>
  <si>
    <t>p073</t>
  </si>
  <si>
    <t>p074</t>
  </si>
  <si>
    <t>p075</t>
  </si>
  <si>
    <t>p076</t>
  </si>
  <si>
    <t>p077</t>
  </si>
  <si>
    <t>p078</t>
  </si>
  <si>
    <t>Australian Journal of Defence and Strategic Studies Number 2 Vol 1</t>
  </si>
  <si>
    <t>https://www.defence.gov.au/adc/Publications/ajdss/documents/volume2-number1/JUN007-20-AJDSS-text_26082020.pdf</t>
  </si>
  <si>
    <t>DEFENCE INTELLIGENCE AND SECURITY SERVICE UNDER THE MINISTRY OF NATIONAL DEFENCE and STATE SECURITY DEPARTMENT OF THE REPUBLIC OF LITHUANIA</t>
  </si>
  <si>
    <t>https://www.vsd.lt/</t>
  </si>
  <si>
    <t>p080</t>
  </si>
  <si>
    <t>p081</t>
  </si>
  <si>
    <t>p082</t>
  </si>
  <si>
    <t>p083</t>
  </si>
  <si>
    <t>p084</t>
  </si>
  <si>
    <t>p085</t>
  </si>
  <si>
    <t>p086</t>
  </si>
  <si>
    <t>Swedish Defense University</t>
  </si>
  <si>
    <t>Estudos estratégicos de Defesa da Austrália Number 2 - Vol 1</t>
  </si>
  <si>
    <t>p087</t>
  </si>
  <si>
    <t>https://www.fhs.se/</t>
  </si>
  <si>
    <t>p088</t>
  </si>
  <si>
    <t>p089</t>
  </si>
  <si>
    <t>p090</t>
  </si>
  <si>
    <t>p091</t>
  </si>
  <si>
    <t>p093</t>
  </si>
  <si>
    <t>p094</t>
  </si>
  <si>
    <t>p095</t>
  </si>
  <si>
    <t>p096</t>
  </si>
  <si>
    <t>Military Academy of Lithuania</t>
  </si>
  <si>
    <t>p097</t>
  </si>
  <si>
    <t>https://kam.lt/en/</t>
  </si>
  <si>
    <t>p098</t>
  </si>
  <si>
    <t>p099</t>
  </si>
  <si>
    <t>p100</t>
  </si>
  <si>
    <t>p101</t>
  </si>
  <si>
    <t>p102</t>
  </si>
  <si>
    <t>p103</t>
  </si>
  <si>
    <t>University of Piraeus, Greece</t>
  </si>
  <si>
    <t>Australian Journal of Defence and Strategic Studies Number 1 Vol 1</t>
  </si>
  <si>
    <t>https://www.defence.gov.au/ADC/Publications/AJDSS/documents/volume1-issue1/Full.pdf</t>
  </si>
  <si>
    <t>p104</t>
  </si>
  <si>
    <t>https://www.unipi.gr/en/home/</t>
  </si>
  <si>
    <t>p105</t>
  </si>
  <si>
    <t>p106</t>
  </si>
  <si>
    <t>p107</t>
  </si>
  <si>
    <t>p108</t>
  </si>
  <si>
    <t>Indonesian Naval Technology College</t>
  </si>
  <si>
    <t>p109</t>
  </si>
  <si>
    <t>https://militaryschooldirectory.com/indonesian-naval-academy/</t>
  </si>
  <si>
    <t>Estudos estratégicos de Defesa da Austrália Number 1 - Vol 1</t>
  </si>
  <si>
    <t>p110</t>
  </si>
  <si>
    <t>p111</t>
  </si>
  <si>
    <t>p112</t>
  </si>
  <si>
    <t>p113</t>
  </si>
  <si>
    <t>p114</t>
  </si>
  <si>
    <t>Centro e Escola de Guerra Especial John F. Kennedy do Exército dos Estados Unidos</t>
  </si>
  <si>
    <t>p116</t>
  </si>
  <si>
    <t>https://www.swcs.mil/Portals</t>
  </si>
  <si>
    <t>p117</t>
  </si>
  <si>
    <t>p120</t>
  </si>
  <si>
    <t>p122</t>
  </si>
  <si>
    <t>ASOCIACIÓN ESPAÑOLA DE PROFESORES DE DERECHO INTERNACIONAL Y RELACIONES INTERNACIONALES</t>
  </si>
  <si>
    <t>p123</t>
  </si>
  <si>
    <t>https://www.reei.org/</t>
  </si>
  <si>
    <t>The future of the security relationship between Singapore and Australia</t>
  </si>
  <si>
    <t>p124</t>
  </si>
  <si>
    <t>https://www.defence.gov.au/ADC/Publications/documents/IndoPac/2017/Tam_feb17.pdf</t>
  </si>
  <si>
    <t>p125</t>
  </si>
  <si>
    <t>p126</t>
  </si>
  <si>
    <t>p127</t>
  </si>
  <si>
    <t>p128</t>
  </si>
  <si>
    <t>Leiden University</t>
  </si>
  <si>
    <t>https://www.universiteitleiden.nl/en</t>
  </si>
  <si>
    <t>p130</t>
  </si>
  <si>
    <t>p131</t>
  </si>
  <si>
    <t>University of Indonesia</t>
  </si>
  <si>
    <t>p135</t>
  </si>
  <si>
    <t>https://international.ui.ac.id/about-ui/</t>
  </si>
  <si>
    <t>p136</t>
  </si>
  <si>
    <t>Estudo sobre a relação entre Singapura e Austrália</t>
  </si>
  <si>
    <t>p138</t>
  </si>
  <si>
    <t>p139</t>
  </si>
  <si>
    <t>p140</t>
  </si>
  <si>
    <t>p141</t>
  </si>
  <si>
    <t>Universidade do Corpo de Fuzileiros Navais, Virgínia/EUA</t>
  </si>
  <si>
    <t>https://www.usmcu.edu/</t>
  </si>
  <si>
    <t>p143</t>
  </si>
  <si>
    <t>p144</t>
  </si>
  <si>
    <t>p145</t>
  </si>
  <si>
    <t>p146</t>
  </si>
  <si>
    <t>Mykolas Romeris University</t>
  </si>
  <si>
    <t>p148</t>
  </si>
  <si>
    <r>
      <rPr>
        <u/>
        <sz val="10"/>
        <color rgb="FF1155CC"/>
        <rFont val="Arial, sans-serif"/>
      </rPr>
      <t>https://www.mruni.eu</t>
    </r>
  </si>
  <si>
    <t>p149</t>
  </si>
  <si>
    <t>p150</t>
  </si>
  <si>
    <t>p151</t>
  </si>
  <si>
    <t>p152</t>
  </si>
  <si>
    <t>p153</t>
  </si>
  <si>
    <t>Defence diplomacy: the right ballast for Australia’s fragile relations with Indonesia</t>
  </si>
  <si>
    <t>Assembleia da União da Europa Ocidental (WEU)</t>
  </si>
  <si>
    <t>https://www.defence.gov.au/ADC/Publications/documents/IndoPac/2017/Wilson_feb17.pdf</t>
  </si>
  <si>
    <t>p154</t>
  </si>
  <si>
    <t>https://aei.pitt.edu/</t>
  </si>
  <si>
    <t>p156</t>
  </si>
  <si>
    <t>p157</t>
  </si>
  <si>
    <t>University of California; Escola de Estudos Internacionais S. Rajaratnam</t>
  </si>
  <si>
    <t>https://dr.ntu.edu.sg/handle/10356/163540</t>
  </si>
  <si>
    <t>Estudo sobre Diplomacia de Defesa</t>
  </si>
  <si>
    <t>p159</t>
  </si>
  <si>
    <t>p160</t>
  </si>
  <si>
    <t>p161</t>
  </si>
  <si>
    <t>p162</t>
  </si>
  <si>
    <t>p163</t>
  </si>
  <si>
    <t>The Government of the grand duchy of luxembourg</t>
  </si>
  <si>
    <t>p164</t>
  </si>
  <si>
    <t>https://gouvernement.lu/</t>
  </si>
  <si>
    <t>p165</t>
  </si>
  <si>
    <t>p166</t>
  </si>
  <si>
    <t>p167</t>
  </si>
  <si>
    <t>p168</t>
  </si>
  <si>
    <t>p169</t>
  </si>
  <si>
    <t>p170</t>
  </si>
  <si>
    <t>p171</t>
  </si>
  <si>
    <t>p172</t>
  </si>
  <si>
    <t>p173</t>
  </si>
  <si>
    <t>Jurnal IUS</t>
  </si>
  <si>
    <t>p174</t>
  </si>
  <si>
    <t>http://jurnalius.ac.id</t>
  </si>
  <si>
    <t>p175</t>
  </si>
  <si>
    <t>p176</t>
  </si>
  <si>
    <t>AUSTRALIA’S JOINT APPROACH PAST, PRESENT AND FUTURE</t>
  </si>
  <si>
    <t>p177</t>
  </si>
  <si>
    <t>https://www.defence.gov.au/ADC/Publications/documents/joint_studies/JSPS_1_Australias_Joint_Approach.PDF</t>
  </si>
  <si>
    <t>p178</t>
  </si>
  <si>
    <t>p179</t>
  </si>
  <si>
    <t>p180</t>
  </si>
  <si>
    <t>p181</t>
  </si>
  <si>
    <t>p182</t>
  </si>
  <si>
    <t>Transparecy International Defence &amp; Security</t>
  </si>
  <si>
    <t>p183</t>
  </si>
  <si>
    <t>https://ti-defence.org/</t>
  </si>
  <si>
    <t>p184</t>
  </si>
  <si>
    <t>p185</t>
  </si>
  <si>
    <t>p186</t>
  </si>
  <si>
    <t>Estudo sobre a abordagem de Defesa da Austrália (presente, passado e futuro)</t>
  </si>
  <si>
    <t>p187</t>
  </si>
  <si>
    <t>p188</t>
  </si>
  <si>
    <t>p189</t>
  </si>
  <si>
    <t>EUROPEAN COMMISSION</t>
  </si>
  <si>
    <t>https://neighbourhood-enlargement.ec.europa.eu/</t>
  </si>
  <si>
    <t>p190</t>
  </si>
  <si>
    <t>p191</t>
  </si>
  <si>
    <t>p192</t>
  </si>
  <si>
    <t>p193</t>
  </si>
  <si>
    <t>p195</t>
  </si>
  <si>
    <t>p196</t>
  </si>
  <si>
    <t>p197</t>
  </si>
  <si>
    <t>p198</t>
  </si>
  <si>
    <t>p199</t>
  </si>
  <si>
    <t>p200</t>
  </si>
  <si>
    <t>School of International Studies, Universiti Utara Malaysia</t>
  </si>
  <si>
    <t>p201</t>
  </si>
  <si>
    <t>http://sois.uum.edu.my/</t>
  </si>
  <si>
    <t>A Method for Ethical AI in Defence</t>
  </si>
  <si>
    <t>https://www.dst.defence.gov.au/sites/default/files/publications/documents/A%20Method%20for%20Ethical%20AI%20in%20Defence.pdf</t>
  </si>
  <si>
    <t>p205</t>
  </si>
  <si>
    <t>p206</t>
  </si>
  <si>
    <t>p207</t>
  </si>
  <si>
    <t>p209</t>
  </si>
  <si>
    <t>MONTENEGRO MINISTRY OF FOREIGN AFFAIRS</t>
  </si>
  <si>
    <t>p210</t>
  </si>
  <si>
    <t>https://www.osce.org/</t>
  </si>
  <si>
    <t>p211</t>
  </si>
  <si>
    <t>p214</t>
  </si>
  <si>
    <t>Estudo sobre Ética no uso de IA</t>
  </si>
  <si>
    <t>p216</t>
  </si>
  <si>
    <t>p217</t>
  </si>
  <si>
    <t>UK TRADE &amp; INVESTIMENT</t>
  </si>
  <si>
    <t>p219</t>
  </si>
  <si>
    <t>https://assets.publishing.service.gov.uk/</t>
  </si>
  <si>
    <t>p222</t>
  </si>
  <si>
    <t>p223</t>
  </si>
  <si>
    <t>p224</t>
  </si>
  <si>
    <t>p227</t>
  </si>
  <si>
    <t>p228</t>
  </si>
  <si>
    <t>Primakov National Research Institute of World Economy and International Relations, Russian Academy of Sciences</t>
  </si>
  <si>
    <t>p229</t>
  </si>
  <si>
    <t>https://www.imemo.ru/en</t>
  </si>
  <si>
    <t>p230</t>
  </si>
  <si>
    <t>p231</t>
  </si>
  <si>
    <t>Recent Advances in Artificial Intelligence and their Impact on Defence</t>
  </si>
  <si>
    <t>https://www.dst.defence.gov.au/sites/default/files/publications/documents/DST-Group-TR-3716_0.pdf</t>
  </si>
  <si>
    <t>p232</t>
  </si>
  <si>
    <t>p233</t>
  </si>
  <si>
    <t>p234</t>
  </si>
  <si>
    <t>p236</t>
  </si>
  <si>
    <t>China-CEE INSTITUTE</t>
  </si>
  <si>
    <t>https://china-cee.eu/</t>
  </si>
  <si>
    <t>p238</t>
  </si>
  <si>
    <t>p239</t>
  </si>
  <si>
    <t>p240</t>
  </si>
  <si>
    <t>Estudo sobre os avanços da IA e suas implicações na defesa</t>
  </si>
  <si>
    <t>University Malaysia Sabah</t>
  </si>
  <si>
    <t>https://www.ums.edu.my/</t>
  </si>
  <si>
    <t>p246</t>
  </si>
  <si>
    <t>p247</t>
  </si>
  <si>
    <t>p248</t>
  </si>
  <si>
    <t>p249</t>
  </si>
  <si>
    <t>p250</t>
  </si>
  <si>
    <t>p251</t>
  </si>
  <si>
    <t>p252</t>
  </si>
  <si>
    <t>p253</t>
  </si>
  <si>
    <t>UiT – The Arctic University of Norway</t>
  </si>
  <si>
    <t>p255</t>
  </si>
  <si>
    <t>https://en.uit.no/</t>
  </si>
  <si>
    <t>p257</t>
  </si>
  <si>
    <t>p258</t>
  </si>
  <si>
    <t>‘Skirmishing Mist’ Dismounted Infantry 2030 Concept</t>
  </si>
  <si>
    <t>p259</t>
  </si>
  <si>
    <t>https://www.dst.defence.gov.au/sites/default/files/publications/documents/DST-Group-GD-1071.pdf</t>
  </si>
  <si>
    <t>p261</t>
  </si>
  <si>
    <t>p262</t>
  </si>
  <si>
    <t>Polish Naval Academy</t>
  </si>
  <si>
    <t>https://www.amw.gdynia.pl/</t>
  </si>
  <si>
    <t>p264</t>
  </si>
  <si>
    <t>p266</t>
  </si>
  <si>
    <t>p267</t>
  </si>
  <si>
    <t>The results of  these studies provide recommendations for Australian Army’s consideration in order to
 inform research priorities, shape the future force, stimulate thought and debate, and  address future warfighting challenges.</t>
  </si>
  <si>
    <t>p269</t>
  </si>
  <si>
    <t>p270</t>
  </si>
  <si>
    <t>p271</t>
  </si>
  <si>
    <t>University of Boras</t>
  </si>
  <si>
    <t>https://www.hb.se/en/</t>
  </si>
  <si>
    <t>p273</t>
  </si>
  <si>
    <t>p275</t>
  </si>
  <si>
    <t>p276</t>
  </si>
  <si>
    <t>p277</t>
  </si>
  <si>
    <t>p278</t>
  </si>
  <si>
    <t>Xiamen University</t>
  </si>
  <si>
    <t>p279</t>
  </si>
  <si>
    <t>https://en.xmu.edu.cn/</t>
  </si>
  <si>
    <t>p282</t>
  </si>
  <si>
    <t>Modelling Human Attributes in Autonomous Systems Operations</t>
  </si>
  <si>
    <t>p283</t>
  </si>
  <si>
    <t>https://www.dst.defence.gov.au/sites/default/files/publications/documents/DST-Group-GD-1056.pdf</t>
  </si>
  <si>
    <t>p284</t>
  </si>
  <si>
    <t>p285</t>
  </si>
  <si>
    <t>p286</t>
  </si>
  <si>
    <t>Société Royale Belge de Géographie, National Committee of Geography of Belgium</t>
  </si>
  <si>
    <t>https://srbg.be/</t>
  </si>
  <si>
    <t>p288</t>
  </si>
  <si>
    <t>p292</t>
  </si>
  <si>
    <t>Unmanned Systems (UMS) have the potential to provide significant benefits when used in military operations that are dangerous, dirty, and/or dull; the principal benefit cited in a variety of literature is of reducing the risk of human casualties.</t>
  </si>
  <si>
    <t>Holanda</t>
  </si>
  <si>
    <t>p294</t>
  </si>
  <si>
    <t>Utrecht University</t>
  </si>
  <si>
    <t>p295</t>
  </si>
  <si>
    <t>https://www.uu.nl/en</t>
  </si>
  <si>
    <t>p296</t>
  </si>
  <si>
    <t>p298</t>
  </si>
  <si>
    <t>p299</t>
  </si>
  <si>
    <t>p301</t>
  </si>
  <si>
    <t>p302</t>
  </si>
  <si>
    <t>University of Amsterdam</t>
  </si>
  <si>
    <t>p303</t>
  </si>
  <si>
    <t>https://www.uva.nl/en</t>
  </si>
  <si>
    <t>p304</t>
  </si>
  <si>
    <t>p305</t>
  </si>
  <si>
    <t>Advanced Materials and Manufacturing – Implications for Defence to 2040</t>
  </si>
  <si>
    <t>https://www.dst.defence.gov.au/sites/default/files/publications/documents/DST-Group-GD-1022_0.pdf</t>
  </si>
  <si>
    <t>p306</t>
  </si>
  <si>
    <t>p307</t>
  </si>
  <si>
    <t>p308</t>
  </si>
  <si>
    <t>p309</t>
  </si>
  <si>
    <t>p310</t>
  </si>
  <si>
    <t>University of Queensland</t>
  </si>
  <si>
    <t>p311</t>
  </si>
  <si>
    <t>https://www.uq.edu.au/</t>
  </si>
  <si>
    <t>p312</t>
  </si>
  <si>
    <t>p313</t>
  </si>
  <si>
    <t>p314</t>
  </si>
  <si>
    <t>p315</t>
  </si>
  <si>
    <t>The Next Generation Technologies Fund announced in the 2016 Defence White Paper focuses
 on game changing capabilities that have a disruptive effect on Defence and national
 security. One program within the Next Generation Technologies Fund is the Emerging
 Disruptive Technology Assessment Symposium (EDTAS) series which is designed to provide
 key insights and information on emerging and potential technologies over the longer
 term. In this context technology foresighting is a critical function required to understand
 the strategic environment we find ourselves in and the opportunities that science and
 technology may pose in minimising or exploiting disruption.</t>
  </si>
  <si>
    <t>p316</t>
  </si>
  <si>
    <t>p317</t>
  </si>
  <si>
    <t>p318</t>
  </si>
  <si>
    <t>p319</t>
  </si>
  <si>
    <t>Shandong University</t>
  </si>
  <si>
    <t>p320</t>
  </si>
  <si>
    <t>https://en.sdu.edu.cn/</t>
  </si>
  <si>
    <t>p321</t>
  </si>
  <si>
    <t>p322</t>
  </si>
  <si>
    <t>p323</t>
  </si>
  <si>
    <t>p324</t>
  </si>
  <si>
    <t>p325</t>
  </si>
  <si>
    <t>p326</t>
  </si>
  <si>
    <t>p327</t>
  </si>
  <si>
    <t>p328</t>
  </si>
  <si>
    <t>https://www.ku.dk/english/</t>
  </si>
  <si>
    <t>p329</t>
  </si>
  <si>
    <t>p330</t>
  </si>
  <si>
    <t>p331</t>
  </si>
  <si>
    <t>Foreign Policy White Paper</t>
  </si>
  <si>
    <t>https://www.dfat.gov.au/publications/minisite/2017-foreign-policy-white-paper/fpwhitepaper/pdf/2017-foreign-policy-white-paper.pdf</t>
  </si>
  <si>
    <t>p332</t>
  </si>
  <si>
    <t>Zhejiang Gongshang University</t>
  </si>
  <si>
    <t>p334</t>
  </si>
  <si>
    <t>http://english.zjgsu.edu.cn/</t>
  </si>
  <si>
    <t>p339</t>
  </si>
  <si>
    <t>The 2017 Foreign Policy White Paper sets out a comprehensive framework to advance
 Australia’s security and prosperity in a contested and competitive world</t>
  </si>
  <si>
    <t>p340</t>
  </si>
  <si>
    <t>Universitas Riau</t>
  </si>
  <si>
    <t>https://unri.ac.id/</t>
  </si>
  <si>
    <t>p347</t>
  </si>
  <si>
    <t>p348</t>
  </si>
  <si>
    <t>p349</t>
  </si>
  <si>
    <t>The Warzone</t>
  </si>
  <si>
    <t>p351</t>
  </si>
  <si>
    <t>https://www.twz.com/</t>
  </si>
  <si>
    <t>p352</t>
  </si>
  <si>
    <t>National Security Science and
 Technology Priorities</t>
  </si>
  <si>
    <t>p353</t>
  </si>
  <si>
    <t>https://www.dst.defence.gov.au/sites/default/files/publications/documents/National%20Security%20Science%20and%20Technology%20Priorities.pdf</t>
  </si>
  <si>
    <t>p356</t>
  </si>
  <si>
    <t>p357</t>
  </si>
  <si>
    <t>p358</t>
  </si>
  <si>
    <t>https://english.defensie.nl/downloads/publications/2024/09/05/defence-white-paper-2024</t>
  </si>
  <si>
    <t>p360</t>
  </si>
  <si>
    <t>p361</t>
  </si>
  <si>
    <t>The scope of science and technology
 is broadening and the speed of change is unprecedented</t>
  </si>
  <si>
    <t>p362</t>
  </si>
  <si>
    <t>p363</t>
  </si>
  <si>
    <t>p365</t>
  </si>
  <si>
    <t>p366</t>
  </si>
  <si>
    <t>U.S. Customs and Border Protection (CBP)</t>
  </si>
  <si>
    <t>p367</t>
  </si>
  <si>
    <t>p369</t>
  </si>
  <si>
    <t>https://www.cbp.gov/</t>
  </si>
  <si>
    <t>p370</t>
  </si>
  <si>
    <t>p371</t>
  </si>
  <si>
    <t>p372</t>
  </si>
  <si>
    <t>p373</t>
  </si>
  <si>
    <t>p374</t>
  </si>
  <si>
    <t>p375</t>
  </si>
  <si>
    <t>Comprehensive Analysis of Strategic Force Generation Challenges in the Australian Army</t>
  </si>
  <si>
    <t>https://www.rand.org/content/dam/rand/pubs/research_reports/RR2300/RR2382/RAND_RR2382.pdf</t>
  </si>
  <si>
    <t>p376</t>
  </si>
  <si>
    <t>p377</t>
  </si>
  <si>
    <t>p378</t>
  </si>
  <si>
    <t>p379</t>
  </si>
  <si>
    <t>p380</t>
  </si>
  <si>
    <t>p381</t>
  </si>
  <si>
    <t>p382</t>
  </si>
  <si>
    <t>p383</t>
  </si>
  <si>
    <t>Australian Army Headquarters has tasked RAND Australia to investigate the strategiclevel challenges associated with Force Generation (FORGEN) in the wake of its adopting
 a cyclical 36-month FORGEN process to support its newly organised and modernised
 formations.</t>
  </si>
  <si>
    <t>p384</t>
  </si>
  <si>
    <t>p385</t>
  </si>
  <si>
    <t>p386</t>
  </si>
  <si>
    <t>p387</t>
  </si>
  <si>
    <t>p390</t>
  </si>
  <si>
    <t>p391</t>
  </si>
  <si>
    <t>p392</t>
  </si>
  <si>
    <t>p393</t>
  </si>
  <si>
    <t>p394</t>
  </si>
  <si>
    <t>p395</t>
  </si>
  <si>
    <t>p396</t>
  </si>
  <si>
    <t>Forward defence in depth for Australia</t>
  </si>
  <si>
    <t>https://www.jstor.org/stable/pdf/resrep23031.pdf?ab_segments=0%252Fbasic_search_gsv2%252Fcontrol&amp;refreqid=excelsior%3A50e5fca860a62cae42f32937827a7e82</t>
  </si>
  <si>
    <t>p397</t>
  </si>
  <si>
    <t>p398</t>
  </si>
  <si>
    <t>p399</t>
  </si>
  <si>
    <t>p400</t>
  </si>
  <si>
    <t>p401</t>
  </si>
  <si>
    <t>p402</t>
  </si>
  <si>
    <t>p403</t>
  </si>
  <si>
    <t>p404</t>
  </si>
  <si>
    <t>p405</t>
  </si>
  <si>
    <t>p406</t>
  </si>
  <si>
    <t>p407</t>
  </si>
  <si>
    <t>With the re-election of the Scott Morrison-led Coalition government in May 2019, the future shape of Australian defence
 policy needs to be examined.</t>
  </si>
  <si>
    <t>p408</t>
  </si>
  <si>
    <t>p409</t>
  </si>
  <si>
    <t>p410</t>
  </si>
  <si>
    <t>p411</t>
  </si>
  <si>
    <t>p412</t>
  </si>
  <si>
    <t>p413</t>
  </si>
  <si>
    <t>p414</t>
  </si>
  <si>
    <t>p416</t>
  </si>
  <si>
    <t>p417</t>
  </si>
  <si>
    <t>p418</t>
  </si>
  <si>
    <t>p419</t>
  </si>
  <si>
    <t>p421</t>
  </si>
  <si>
    <t>THE DEFENCE LENS OF NORTHERN AUSTRALIA</t>
  </si>
  <si>
    <t>https://www.jstor.org/stable/pdf/resrep27692.8.pdf?ab_segments=0%252Fbasic_search_gsv2%252Fcontrol&amp;refreqid=excelsior%3A5437d1981d9e8a8fc2388cdbca715644</t>
  </si>
  <si>
    <t>Northern Australia continues to be critical to the ADF as a home base and potentially as a mounting base or
 operating base in several different contingencies</t>
  </si>
  <si>
    <t>Reinforcing Indonesia—Australia defence relations:: The case for maritime recalibration</t>
  </si>
  <si>
    <t>https://www.jstor.org/stable/pdf/resrep19788.pdf?ab_segments=0%252Fbasic_search_gsv2%252Fcontrol&amp;refreqid=excelsior%3A449d138e05269a21305eb9e3147ed9d3</t>
  </si>
  <si>
    <t>ndonesia and Australia are increasingly important strategic anchors in
 the Indo-Pacific region, as recognised by the recently announced
 Indonesia–Australia Comprehensive Strategic Partnership.</t>
  </si>
  <si>
    <t>AUSTRALIA AS A RISING MIDDLE POWER</t>
  </si>
  <si>
    <t>https://www.jstor.org/stable/pdf/resrep24285.pdf?ab_segments=0%252Fbasic_search_gsv2%252Fcontrol&amp;refreqid=excelsior%3Ad299c3b431623cf84ecc8dcf04b9b229</t>
  </si>
  <si>
    <t>This paper examines the key drivers shaping Australia’s role as a middle power in an era of intensifying
 US-China strategic competition</t>
  </si>
  <si>
    <t>North of 26° south and the security of Australia: Views from The Strategist</t>
  </si>
  <si>
    <t>https://www.jstor.org/stable/pdf/resrep23032.pdf?ab_segments=0%252Fbasic_search_gsv2%252Fcontrol&amp;refreqid=excelsior%3A2e7523f356188dc4407d0e0df00fb9fb</t>
  </si>
  <si>
    <t>The idea of the north of Australia being central to the new concept of the defence of Australia in the 1970s derived from
 the key strategic fact that the only country in the region with the conventional military capabilities to threaten Australia
 was Indonesia.</t>
  </si>
  <si>
    <t>North of 26° south and the security of Australia Views from The Strategist Vol. 2</t>
  </si>
  <si>
    <t>https://www.jstor.org/stable/pdf/resrep25081.pdf?ab_segments=0%252Fbasic_search_gsv2%252Fcontrol&amp;refreqid=excelsior%3A0043748d249289470843c5ec47b3a930</t>
  </si>
  <si>
    <t>Defence’s use of social media</t>
  </si>
  <si>
    <t>https://www.jstor.org/stable/pdf/resrep25126.9.pdf?ab_segments=0%252Fbasic_search_gsv2%252Fcontrol&amp;refreqid=excelsior%3Ad71320d81843d40f073b366fb2f9f153</t>
  </si>
  <si>
    <t>low investment and usually low reward. But some posts are quite valuable, even in locations where
 there’s usually little engagement, potentially serving as an economical means to exert influence with
 small, but repeated, effects. An examination of the types of posts and the levels of engagement they
 receive offers some insights.</t>
  </si>
  <si>
    <t>2020 BRIEFING TO
 INCOMING MINISTER
 OF DEFENCE</t>
  </si>
  <si>
    <t>https://www.nzdf.mil.nz/assets/publication/Defence-BIM.pdf</t>
  </si>
  <si>
    <t>Briefing do trabalho a ser realizado pelo Ministro da Defesa da Nova Zelândia</t>
  </si>
  <si>
    <t>Advanced Pacific Partenerships</t>
  </si>
  <si>
    <t>https://www.defence.govt.nz/assets/publication/file/5f6dd307e7/Advancing-Pacific-Partnerships-2019.pdf</t>
  </si>
  <si>
    <t>This Defence Assessment translates the high-level strategic policy of the Pacific Reset and the Policy Statement into a Defence regional approach. Advancing Pacific Partnerships puts forward a vision for an inter-generational investment in a secure, stable, and resilient Pacific, achieved foremost by advancing partnerships and supporting exisiting regional security architectures.</t>
  </si>
  <si>
    <t>STATEMENT
 OF INTENT
 2019-2023</t>
  </si>
  <si>
    <t>https://www.defence.govt.nz/assets/publication/file/1c5ca053e2/2019-MOD-Statement-of-Intent-v2.pdf</t>
  </si>
  <si>
    <t>Assessment 2019 - 2023</t>
  </si>
  <si>
    <t>The Military in Papua New Guinea: A ‘Culture of Instability’ But No Coup</t>
  </si>
  <si>
    <t>https://www.jstor.org/stable/pdf/26467881.pdf?refreqid=excelsior%3Ac8e820b83716b232f62c298045ecf09c</t>
  </si>
  <si>
    <t>In the lead-up to independence, there was debate in Papua New Guinea as to whether a
 defence force would safeguard national security or pose a threat to democracy. In the event,
 the Defence force was retained and has played a significant role in maintaining internal security
 and contributing to national development, as well as securing the country’s borders. But there
 has been some deterioration since independence in the capacity and morale of the PNGDF,
 and several instances of tension between the military and the government, especially during the
 Bougainville conflict. Civil-military relations since independence are briefly traced and the
 question of why Papua New Guinea has not experienced a military coup is addressed.</t>
  </si>
  <si>
    <t>societal transformation 2018–2037</t>
  </si>
  <si>
    <t>https://www.eduskunta.fi/FI/naineduskuntatoimii/julkaisut/Documents/NETTI_TUVJ_10_2018_Societal_transformation_UUSI.pdf</t>
  </si>
  <si>
    <t>Foresight 2020 - The Challenges Facing China</t>
  </si>
  <si>
    <t>https://doi.org/10.1080/03071847.2020.1723284</t>
  </si>
  <si>
    <t>Documento pago, mas possui doi - usar sci hub</t>
  </si>
  <si>
    <t>Russian and Chinese Combat Air Trends: Current Capabilities and Future Threat Outlook</t>
  </si>
  <si>
    <t>https://www.rusi.org/publication/whitehall-reports/russian-and-chinese-combat-air-trends-current-capabilities-and-future</t>
  </si>
  <si>
    <t>The Arctic Through 2035</t>
  </si>
  <si>
    <t>https://community.apan.org/wg/tradoc-g2/operational-environment-and-threat-analysis-directorate/m/documents/341291</t>
  </si>
  <si>
    <t>Victor</t>
  </si>
  <si>
    <t>23a Pesquisa Anual Global de CEOs</t>
  </si>
  <si>
    <t>2021 Index of US Military Strength</t>
  </si>
  <si>
    <t>https://thf_media.s3.amazonaws.com/2020/Index%20of%20Military%20Strength/PDFs/FINAL/2021_IndexOfUSMilitaryStrength_WEB.pdf</t>
  </si>
  <si>
    <t>Gastos globais com defesa - fotografia anual</t>
  </si>
  <si>
    <t>https://www.forecastinternational.com/showpdf.cfm?wpid=24</t>
  </si>
  <si>
    <t>gastos com defesa</t>
  </si>
  <si>
    <t>projeção</t>
  </si>
  <si>
    <t>Riscos em cibersegurança e perspectivas até 2025</t>
  </si>
  <si>
    <t>http://www3.weforum.org/docs/WEF_Future_Series_Cybersecurity_emerging_technology_and_systemic_risk_2020.pdf</t>
  </si>
  <si>
    <t>Relatórios bienais sobre tecnologias desenvolvidas no centro de pesquisas, centradas em voo e assuntos relacionados, assim como algumas perspectivas futuras.</t>
  </si>
  <si>
    <t>Relatório anual de inovações e trabalhos internos da NASA, abordando perspectivas em tecnologias dos setores de ciências da terra, aeronáutica e aeroespacial.</t>
  </si>
  <si>
    <t>Papers seriados sobre perspectivas na estratégia de defesa norte-americana.</t>
  </si>
  <si>
    <t>https://www.cnas.org/the-next-defense-strategy</t>
  </si>
  <si>
    <t>Ecossistema 5G: riscos e oportunidades para o Departamento de Defesa norte-americano</t>
  </si>
  <si>
    <t>https://innovation.defense.gov/Portals/63/Templates/Updated%20Meeting%20Documents/5G%20UNCLASS%20PAPER_190404_FINAL.pdf</t>
  </si>
  <si>
    <t>NTI Nuclear Security Index - Losing Focus in a Disordered World</t>
  </si>
  <si>
    <t>https://media.nti.org/documents/2020_NTI-Index_Report_Final.pdf</t>
  </si>
  <si>
    <t>Top 10 Targeted Technologies FY19</t>
  </si>
  <si>
    <t>https://www.dcsa.mil/Portals/91/Documents/CI/FY20%20Targeting%20US%20Technologies%20Handout.pdf</t>
  </si>
  <si>
    <t>The Future of Weapons of Mass Destruction - an update</t>
  </si>
  <si>
    <t>https://ni-u.edu/wp/wp-content/uploads/2021/04/Future_of_WMD_Final.pdf</t>
  </si>
  <si>
    <t>Canada's Arctic Agenda: into the vortex</t>
  </si>
  <si>
    <t>https://www.cigionline.org/publications/canadas-arctic-agenda-vortex</t>
  </si>
  <si>
    <t>Relatórios PRISM, trimestrais sobre operações complexas, no contexto da NDU. "Busca iluminar e provocar debate nos efeitos governamentais em conduzir a reconstrução, estabilização, contrainsurgência e operações de guerra irregular.</t>
  </si>
  <si>
    <t>https://ndupress.ndu.edu/Portals/68/Documents/prism/prism_9-2/prism_9-2.pdf</t>
  </si>
  <si>
    <t>Oportunidades e implicações de tecnologia de interface cérebro-computador.</t>
  </si>
  <si>
    <t>https://www.jstor.org/stable/resrep25779.1?refreqid=excelsior%3Ac3785431a5608b122b5c0ca19efd0ea1&amp;seq=1#metadata_info_tab_contents</t>
  </si>
  <si>
    <t>Resumos de segurança da África (Africa Security Briefs)</t>
  </si>
  <si>
    <t>https://africacenter.org/publication-type/africa-security-brief/</t>
  </si>
  <si>
    <t>Megatendências Mundiais 2030</t>
  </si>
  <si>
    <t>https://ppgtic.ufsc.br/files/2015/11/151013_megatendencias_mundiais_2030.pdf</t>
  </si>
  <si>
    <t>The Global Risks Report 2021</t>
  </si>
  <si>
    <t>http://www3.weforum.org/docs/WEF_The_Global_Risks_Report_2021.pdf</t>
  </si>
  <si>
    <t>COVID-19</t>
  </si>
  <si>
    <t>desigualdade</t>
  </si>
  <si>
    <t>Por ser um relatório da Fórum Econômico Mundial, a preocupação primordial do studo é com o aspecto econômico, ainda que passe em alguns momentos, de maneira superficial, por outros temas, como potências médias, inclusão digital e desenvolvimento profissional das gerações mais jovens. Ainda assim, as sementes identificadas nesse relatório, e que impactam na economia, partem justamente desses aspectos, boa parte delas decorrente dos impactos da COVID-19.
Dentre as sementes identificadas estão tendências de crescimento da desigualdade, da fragilidade econômica, do isolamento digital e agravamento das mudanças climáticas.</t>
  </si>
  <si>
    <t>Climate Control - International Legal Mechanisms for Managing the Geopolitical Risks of Geoengineering</t>
  </si>
  <si>
    <t>https://www.rand.org/pubs/perspectives/PEA1133-1.html</t>
  </si>
  <si>
    <t>Global Scenarios 2035: exploring implications for the future of global Collaboration and the OECD</t>
  </si>
  <si>
    <t>https://www.oecd-ilibrary.org/sites/df7ebc33-en/1/3/1/index.html?itemId=/content/publication/df7ebc33-en&amp;_csp_=cc4ae06ed263c4334853de24a3b5c7a9&amp;itemIGO=oecd&amp;itemContentType=book</t>
  </si>
  <si>
    <t xml:space="preserve">Suécia </t>
  </si>
  <si>
    <t>Defence Economic Outlook 2020 - An Assessment of the Global Power Balance 2010-2030</t>
  </si>
  <si>
    <t>https://www.foi.se/rest-api/report/FOI-R--5048--SE</t>
  </si>
  <si>
    <t>Nature</t>
  </si>
  <si>
    <t>The Future of Food from the Sea</t>
  </si>
  <si>
    <t>https://oceanpanel.org/sites/default/files/2019-11/19_HLP_BP1%20Paper.pdf</t>
  </si>
  <si>
    <t>Artigo - Sem stakeholder</t>
  </si>
  <si>
    <t>the brookings</t>
  </si>
  <si>
    <t>FORECASTING CHANGE IN MILITARY TECHNOLOGY, 2020-2040</t>
  </si>
  <si>
    <t>Australia</t>
  </si>
  <si>
    <t xml:space="preserve">Future Operating Environment: 2035 </t>
  </si>
  <si>
    <t>https://cove.army.gov.au/sites/default/files/08-09_0/08/Future-Operating-Environment-2035.pdf</t>
  </si>
  <si>
    <t>Bethânia</t>
  </si>
  <si>
    <t>Forward - 2035.</t>
  </si>
  <si>
    <t>https://www.dst.defence.gov.au/sites/default/files/publications/documents/Forward-2035.pdf</t>
  </si>
  <si>
    <t xml:space="preserve">The Possible Effects of Potential Key Technological Developments on the Force Structure of the Australian Army in 2040 </t>
  </si>
  <si>
    <t>https://apps.dtic.mil/sti/pdfs/ADA618340.pdf</t>
  </si>
  <si>
    <t>Defence challenges 2035: Securing Australia’s lifelines</t>
  </si>
  <si>
    <t>https://www.lowyinstitute.org/sites/default/files/defence-challenges-2035_0.pdf</t>
  </si>
  <si>
    <t>Five priorities for the Air Force's Future combat air force</t>
  </si>
  <si>
    <t>https://csbaonline.org/research/publications/five-priorities-for-the-air-forces-future-combat-air-force</t>
  </si>
  <si>
    <t>Stagnation or growth? Algeria’s development pathway to 2040</t>
  </si>
  <si>
    <t>https://issafrica.org/research/north-africa-report/stagnation-or-growth-algerias-development-pathway-to-2040</t>
  </si>
  <si>
    <t>Lucas</t>
  </si>
  <si>
    <t>Angolan futures 2050: beyond oil</t>
  </si>
  <si>
    <t>https://issafrica.org/research/southern-africa-report/angolan-futures-2050-beyond-oil</t>
  </si>
  <si>
    <t xml:space="preserve">Preparing Japan's Multi-Domain Defense Force for The Future Battlespace using emerging technologies </t>
  </si>
  <si>
    <t>https://www.rand.org/pubs/perspectives/PEA1157-1.html</t>
  </si>
  <si>
    <t>Rússia e China</t>
  </si>
  <si>
    <t>Defense Acquisition in Russia and China</t>
  </si>
  <si>
    <t>https://www.rand.org/pubs/research_reports/RRA113-1.html</t>
  </si>
  <si>
    <t>Understanding the Ministry of Defences Wider Contribution to UK Prosperity: Measuring Defence Output</t>
  </si>
  <si>
    <t>https://www.rand.org/pubs/research_reports/RRA638-1.html</t>
  </si>
  <si>
    <t>China’s Quest for Global Primacy</t>
  </si>
  <si>
    <t>https://www.rand.org/pubs/research_reports/RRA447-1.html</t>
  </si>
  <si>
    <t>FUTURE CRIME: Assessing twenty first century crime prediction</t>
  </si>
  <si>
    <t>https://igarape.org.br/future-crime-assessing-twenty-first-century-crime-prediction/</t>
  </si>
  <si>
    <t>Sim</t>
  </si>
  <si>
    <t>Eyshila</t>
  </si>
  <si>
    <t>CLIMATE CHANGE AND CRIME IN CITIES</t>
  </si>
  <si>
    <t>https://igarape.org.br/mudanca-climatica-e-crime-nas-cidades/</t>
  </si>
  <si>
    <t>O Brasil em 2035: tendências e incertezas para a área social</t>
  </si>
  <si>
    <t>https://www.ipea.gov.br/portal/index.php?option=com_content&amp;view=article&amp;id=31833&amp;Itemid=424</t>
  </si>
  <si>
    <t>Não</t>
  </si>
  <si>
    <t>Brasil 2035: tendências de peso e incertezas para segurança pública</t>
  </si>
  <si>
    <t>https://www.ipea.gov.br/portal/index.php?option=com_content&amp;view=article&amp;id=31248&amp;Itemid=424</t>
  </si>
  <si>
    <t>COVID-19 Working Paper: International Food Security Assessment, 2020–2030: COVID-19 Update and Impacts on Food Insecurity</t>
  </si>
  <si>
    <t>https://ageconsearch.umn.edu/record/309399/</t>
  </si>
  <si>
    <t>O estudo feito pelo USDA tenta estimar as tendências e projetar o cenário de segurança alimentar, a longo prazo, em cerca de 76 países de baixa e média renda. A pesquisa leva em consideração as mudanças de cenário no mundo pós pandemia.</t>
  </si>
  <si>
    <t xml:space="preserve">Etiópia </t>
  </si>
  <si>
    <t>International Journal of Energy and Water Resources</t>
  </si>
  <si>
    <t>Long-term water–energy–food security and resources sustainability: a case study of Ethiopia by 2030 and 2050</t>
  </si>
  <si>
    <t>https://link.springer.com/article/10.1007%2Fs42108-021-00119-3</t>
  </si>
  <si>
    <t>Necessita de um login/ assinatura para acessar o relatório completo</t>
  </si>
  <si>
    <t>NATO Futures Three Trajectories</t>
  </si>
  <si>
    <t>https://www.csis.org/analysis/nato-futures-three-trajectories</t>
  </si>
  <si>
    <t>Yasmin</t>
  </si>
  <si>
    <t>Between States of Matter  Competition and Cooperation</t>
  </si>
  <si>
    <t>https://securityconference.org/assets/02_Dokumente/01_Publikationen/MunichSecurityReport2021.pdf</t>
  </si>
  <si>
    <t>Este relatório teve como objetivo procurar estimular  a discussão antes das cúpulas do G7 e da OTAN: sobre ameaças críticas à segurança, como eles podem ser melhor tratados, e como o novo ímpeto transatlântico pode ser aproveitado para tal fim.</t>
  </si>
  <si>
    <t>The World Climate Security Report 2021</t>
  </si>
  <si>
    <t>https://imccs.org/wp-content/uploads/2021/06/World-Climate-and-Security-Report-2021.pdf</t>
  </si>
  <si>
    <t xml:space="preserve"> Esse relatório é uma avaliação global das dimensões de segurança de mudança climática e meios eficazes para enfrentá-los. Destina-se a informar a política de clima e segurança em tempo hábil e ação.</t>
  </si>
  <si>
    <t>Australia, Fiji, Nova Zelândia, França e Chile</t>
  </si>
  <si>
    <t>Observatory on Defence and Climate - The French Institute for International and Strategic Affairs</t>
  </si>
  <si>
    <t>Implications of Climate Change on Defence and Security in the South Pacific by 2030</t>
  </si>
  <si>
    <t xml:space="preserve">Swedish Defense Research Agency (FOI) </t>
  </si>
  <si>
    <t>Defence Economic Outlook 2020 – An Assessment of the Global Power Balance 2010-2030</t>
  </si>
  <si>
    <t>O relatório possui um documento complementar com foco exclusivo na Ásia e Oceania. Segue o link de acesso: file:///C:/Users/USU%C3%81RIO/Downloads/FOIMemo7532.pdf</t>
  </si>
  <si>
    <t>Tonga, Japão, Índia, UK e França</t>
  </si>
  <si>
    <t>Chatam House - The Royal Institute of International Affairs</t>
  </si>
  <si>
    <t>Indo-Pacific strategies, perceptions and partnerships</t>
  </si>
  <si>
    <t>https://www.chathamhouse.org/sites/default/files/2021-03/2021-03-22-indo-pacific-strategies-paskal.pdf</t>
  </si>
  <si>
    <t>Eartharxiv</t>
  </si>
  <si>
    <t>Projecting armed conflict risk in Africa towards 2050 along the Shared Socio-economic Pathways: a machine learning approach</t>
  </si>
  <si>
    <t>https://eartharxiv.org/repository/view/2460/</t>
  </si>
  <si>
    <t>O relatório traz "eventos pré-determinados": projeções de riscos de conflitos armados através de modelos de machine-learning</t>
  </si>
  <si>
    <t>CCDC - Centro Conjunto de Desarrollo de Conceptos</t>
  </si>
  <si>
    <t>Panorama de tendências geopolíticas Horizonte 2040</t>
  </si>
  <si>
    <t>https://publicaciones.defensa.gob.es/media/downloadable/files/links/p/a/panorama_de_tend_ncias_geopol_ticas._horizonte_2040_2.pdf</t>
  </si>
  <si>
    <t>Estava buscando por steakholders na américa latina mas acabei encontrando esse da espanha, e como não tinha na planilha, achei legal enviar</t>
  </si>
  <si>
    <t xml:space="preserve">Universidade Federal da Bahia </t>
  </si>
  <si>
    <t>Análise Prospectiva de Tecnologias Frugais Relacionadas à Segurança Pública e à Perícia Forense: mapeamento tecnológico por meio de depósitos de patentes</t>
  </si>
  <si>
    <t xml:space="preserve"> https://doi.org/10.9771/cp.v14i3.38148 </t>
  </si>
  <si>
    <t>Austrália, China, Rússia</t>
  </si>
  <si>
    <t>Department of Defence for the Australian Government</t>
  </si>
  <si>
    <t>Australian Journal of Defence and Strategic Studies</t>
  </si>
  <si>
    <t>https://www.defence.gov.au/adc/Publications/ajdss/documents/volume3-number1//AJDSS-v3-n1-interactive.pdf</t>
  </si>
  <si>
    <t>Países africanos</t>
  </si>
  <si>
    <t>Exploring the impact of COVID-19 in Africa: a scenario analysis to 2030</t>
  </si>
  <si>
    <t>https://issafrica.org/research/books-and-other-publications/exploring-the-impact-of-covid-19-in-africa-a-scenario-analysis-to-2030</t>
  </si>
  <si>
    <t>Ghana, Kenya, Rwanda, Senegal, South Africa, and Uganda</t>
  </si>
  <si>
    <t>Addressing youth unemployment in Africa through industries without smokestacks: A synthesis on prospects, constraints, and policies</t>
  </si>
  <si>
    <t>https://www.brookings.edu/research/addressing-youth-unemployment-in-africa-through-industries-without-smokestacks-a-synthesis-on-prospects-constraints-and-policies/</t>
  </si>
  <si>
    <t xml:space="preserve">O Relatório trabalha com a Semente "Fato Pré-Determinado"; que é a significativa porcentagem da população da África Subsariana que será constituída por jovens (metade da população até 2050) e a consequente necessidade de se lidar com o desemprego de jovens. </t>
  </si>
  <si>
    <t>Continente africano</t>
  </si>
  <si>
    <t>The future of data: Unmasking community-level differences to better address food insecurity</t>
  </si>
  <si>
    <t>https://www.brookings.edu/blog/africa-in-focus/2021/03/22/the-future-of-data-unmasking-community-level-differences-to-better-address-food-insecurity/</t>
  </si>
  <si>
    <t>O relatório apresenta uma "surpresa inevitável"</t>
  </si>
  <si>
    <t>The Journal of Agricultural, Environmental and Veterinary Sciences</t>
  </si>
  <si>
    <t>Forecasting the Cultivated Areas of Qat Crop to 2030 And Its Impact on Food Security in The Republic of Yemen UsingARIMA Model</t>
  </si>
  <si>
    <t>https://www.ajsrp.com/journal/index.php/jaevs/article/view/3506</t>
  </si>
  <si>
    <t>Ministério da Defesa Neozelandês</t>
  </si>
  <si>
    <t>MINISTRY OF DEFENCE STATEMENT OF INTENT 2019-2023</t>
  </si>
  <si>
    <t xml:space="preserve">Nova Zelândia </t>
  </si>
  <si>
    <t xml:space="preserve">Ministério da Defesa Neozelandês </t>
  </si>
  <si>
    <t>Increasing Defence Diplomatic Presence in the Pacific</t>
  </si>
  <si>
    <t>https://www.defence.govt.nz/assets/publication/file/Increasing-Defence-Diplomatic-Presence-in-the-Pacific.pdf</t>
  </si>
  <si>
    <t>MINISTRY OF DEFENCE MANATŪ KAUPAPA WAONGA STATEMENT OF INTENT 2020-2024</t>
  </si>
  <si>
    <t>https://www.defence.govt.nz/assets/publication/file/2020-Statement-of-Intent.pdf</t>
  </si>
  <si>
    <t>RESPONDING TO THE CLIMATE CRISIS: AN IMPLEMENTATION PLAN</t>
  </si>
  <si>
    <t>https://www.defence.govt.nz/assets/publication/file/dcf3ee802b/Responding-to-the-Climate-Crisis.pdf</t>
  </si>
  <si>
    <t xml:space="preserve">Increasing Defence Diplomatic Presence in the Pacific </t>
  </si>
  <si>
    <t>New Zealand Ministry Of Defence</t>
  </si>
  <si>
    <t>BIODEFENCE: PREPARING FOR A NEW ERA OF BIOLOGICAL HAZARDS AND THREATS</t>
  </si>
  <si>
    <t>https://www.defence.govt.nz/assets/publication/file/Biodefence-Defence-Assessment.pdf</t>
  </si>
  <si>
    <t>International Renewable Energy Agency (IRENA), and Wouter Nijs from the European Commission’s Joint Research Centre (JRC).</t>
  </si>
  <si>
    <t>BENCHMARKING SCENARIO COMPARISONS KEY INDICATORS FOR THE CLEAN ENERGY TRANSITION</t>
  </si>
  <si>
    <t>https://www.irena.org/publications/2021/Sep/Benchmarking-Scenario-Comparisons</t>
  </si>
  <si>
    <t>Mostra tendências na área energética através de estudos prospectivos</t>
  </si>
  <si>
    <t>África Oriental e Austral</t>
  </si>
  <si>
    <t>Planning and prospects for renewable power: Eastern and Southern Africa</t>
  </si>
  <si>
    <t>https://www.irena.org/publications/2021/Apr/Planning-and-prospects-for-renewable-power-Eastern-and-Southern-Africa</t>
  </si>
  <si>
    <t>Military and Security Developments Involving the People’s Republic of China 2020</t>
  </si>
  <si>
    <t>https://media.defense.gov/2020/Sep/01/2002488689/-1/-1/1/2020-DOD-CHINA-MILITARY-POWER-REPORT-FINAL.PDF</t>
  </si>
  <si>
    <t>Marcella</t>
  </si>
  <si>
    <t>Países do Indo-Pacífico</t>
  </si>
  <si>
    <t>Indo-Pacific Strategy Report: Preparedness, Partnerships, and Promoting a Networked Region</t>
  </si>
  <si>
    <t>Países do Chifre da África</t>
  </si>
  <si>
    <t>Development prospects for the Horn of Africa countries to 2040</t>
  </si>
  <si>
    <t>https://issafrica.org/research/east-africa-report/development-prospects-for-the-horn-of-africa-countries-to-2040</t>
  </si>
  <si>
    <t>The untapped potential of India-Africa security cooperation</t>
  </si>
  <si>
    <t>https://issafrica.org/research/africa-report/the-untapped-potential-of-india-africa-security-cooperation</t>
  </si>
  <si>
    <t>Global Mobility Future Force Design 2040</t>
  </si>
  <si>
    <t>https://www.rand.org/pubs/research_reports/RRA1309-1.html</t>
  </si>
  <si>
    <t>China e Rússia</t>
  </si>
  <si>
    <t>China-Russia Cooperation Determining Factors, Future Trajectories, Implications for the United States</t>
  </si>
  <si>
    <t>https://www.rand.org/pubs/research_reports/RR3067.html</t>
  </si>
  <si>
    <t>Exploring Gaps in Arctic Governance Identifying Potential Sources of Conflict and Mitigating Measures</t>
  </si>
  <si>
    <t>https://www.rand.org/pubs/research_reports/RRA1007-1.html</t>
  </si>
  <si>
    <t>International Cyber Capacity Building: Global Trends and Scenarios</t>
  </si>
  <si>
    <t>https://www.iss.europa.eu/sites/default/files/EUISSFiles/CCB%20Report%20Final.pdf</t>
  </si>
  <si>
    <t>Este relatório identifica quatro tendências na capacitação cibernética e extrapola seu desenvolvimento para explorar quatro cenários potenciais que podem informar a tomada de decisões estratégicas dos construtores de capacidade.</t>
  </si>
  <si>
    <t>UE</t>
  </si>
  <si>
    <t>The Importance of Space for EU  Security, Defence and Resilience</t>
  </si>
  <si>
    <t>https://www.iss.europa.eu/sites/default/files/EUISSFiles/FR-EUISS%20-%20Compass%20and%20Space%20-%20Final%20Report.pdf</t>
  </si>
  <si>
    <t>Um relatório baseado em um workshop online organizado pela Representação Permanente da França junto à União Europeia, em cooperação com o Instituto de Estudos de Segurança da UE</t>
  </si>
  <si>
    <t>Australia e China</t>
  </si>
  <si>
    <t>AUSTRALIA AND THE GROWING REACH OF CHINA’S MILITARY</t>
  </si>
  <si>
    <t>https://www.lowyinstitute.org/publications/australia-and-growing-reach-china-s-military</t>
  </si>
  <si>
    <t>FUELLING COOPERATION: THE INDO-PACIFIC HYDROGEN TRANSFORMATION</t>
  </si>
  <si>
    <t>https://perthusasia.edu.au/our-work/fuelling-cooperation-the-indo-pacific-hydrogen-tr</t>
  </si>
  <si>
    <t>Região do Sul da Ásia</t>
  </si>
  <si>
    <t>Disaster Governance in the Asia-Pacific: Future Pathways for South and Southeast Asia</t>
  </si>
  <si>
    <t>https://www.rsis.edu.sg/rsis-publication/nts/disaster-governance-in-the-asia-pacific-future-pathways-for-south-and-southeast-asia/#.YbENxmDMLIV</t>
  </si>
  <si>
    <t>WORLD ENERGY TRANSITIONS OUTLOOK 1.5° C PATHWAY</t>
  </si>
  <si>
    <t>https://www.irena.org/publications/2021/Jun/World-Energy-Transitions-Outlook</t>
  </si>
  <si>
    <t>MARROCOS, ARGÉLIA, TUNÍSIA</t>
  </si>
  <si>
    <t>Security in North Africa - Internal and External Challenges</t>
  </si>
  <si>
    <t>https://drive.google.com/open?id=1tlQoT0NwxLJiv1ROtB_ZDZ5EOtFmnKuJ</t>
  </si>
  <si>
    <t>prospecta</t>
  </si>
  <si>
    <t>ABC</t>
  </si>
  <si>
    <t>ORIENTE MÉDIO, NORTE DA ÁFRICA</t>
  </si>
  <si>
    <t>The Global Course of the Information Revolution - Recurring Themes and Regional Variations, capítulo “Few Middle Eastern and North African Nations Will Fully Experience the Information Revolution, Some May Miss It Altogether”</t>
  </si>
  <si>
    <t>https://drive.google.com/open?id=1gF5I0A3dMFpEqZSBqdQBDJpKZ9FlWk-P</t>
  </si>
  <si>
    <t>The Information Revolution in the Middle East and North Africa</t>
  </si>
  <si>
    <t>https://drive.google.com/open?id=1_IEEmT59WgSlrQ7CVnG7CXUNp4RIB80h</t>
  </si>
  <si>
    <t>CONTINENTE AFRICANO</t>
  </si>
  <si>
    <t>Climate change, population pressure and conflict in Africa</t>
  </si>
  <si>
    <t>https://drive.google.com/open?id=1fr91wJk4B0iSmV3KrF6NXeHfcxBKRUQh</t>
  </si>
  <si>
    <t>African Futures 2050 - The Next Forty Years</t>
  </si>
  <si>
    <t>https://drive.google.com/open?id=1BOcfR50iaTVdR2PQY_5voLwrD3cR7njA</t>
  </si>
  <si>
    <t>BURUNDI, CAMARÕES, REPÚBLICA AFRICANA CENTRAL, CHADE, COMORES, COSTA DO MARFIM, REPÚBLICA DEMOCRÁTICA DO CONGO, ETIÓPIA, ERITREIA, GUINÉ, GUINÉ-BISSAU, LIBÉRIA, MADAGASCAR, MALAWI, MALI, MAURITÂNIA, NÍGER, SERRA LEOA, REPÚBLICA DO CONGO, RUANDA, SOMÁLIA, SUDÃO DO SUL, SUDÃO, TOGO, UGANDA, ZIMBÁBUE</t>
  </si>
  <si>
    <t>Assessing long-term state fragility in Africa: Prospects for 26 ‘more fragile’ countries</t>
  </si>
  <si>
    <t>https://drive.google.com/open?id=1fc0LK0pw57C4kaMPXSqnnRRC7k9GmddC</t>
  </si>
  <si>
    <t>FINLÂNDIA</t>
  </si>
  <si>
    <t>The future of intrastate conflict in Africa - More violence or greater peace?</t>
  </si>
  <si>
    <t>https://drive.google.com/open?id=1H_PcQ0AXVHnnWTLoQMqiUHrNHl5xvTgA</t>
  </si>
  <si>
    <t>Africa’s current and future stability</t>
  </si>
  <si>
    <t>https://drive.google.com/open?id=1qnUYv2VHtTQhaoJSSvu0wjctQ3AS7F_C</t>
  </si>
  <si>
    <t>BURUNDI, EGITO, ERITREIA, ETIOPIA, QUENIA, REPUBLICA DEMOCRATICA DO CONGO, RUANDA, SUDAO, SUDAO DO SUL, TANZANIA E UGANDA</t>
  </si>
  <si>
    <t>The Nile Basin 2050 Strategic Foresight on the Nile Basin Water Governance</t>
  </si>
  <si>
    <t>https://drive.google.com/open?id=1F6kbawA8yn9a181NUDZGj6fPCznw9tb0</t>
  </si>
  <si>
    <t>Foresight Africa - Top Priorities for the Continent in 2015</t>
  </si>
  <si>
    <t>https://drive.google.com/open?id=1aN2j3zjfcuWDu9rz_JGmnDMDFeBsdIxT</t>
  </si>
  <si>
    <t>ARGÉLIA, EGITO, ETIÓPIA, NIGÉRIA, ÁFRICA DO SUL</t>
  </si>
  <si>
    <t>Power and influence in Africa: Algeria, Egypt, Ethiopia, Nigeria and South Africa</t>
  </si>
  <si>
    <t>https://drive.google.com/open?id=1JlTdf-a4IhQDQpjJndw96CCOxsNAaxdi</t>
  </si>
  <si>
    <t>ÁFRICA OCIDENTAL, ÁFRICA CENTRAL</t>
  </si>
  <si>
    <t>Regional Strategy for Combating Trafficking in Persons and Smuggling of Migrants 2015-2020</t>
  </si>
  <si>
    <t>https://drive.google.com/open?id=1dQqslXDnViHsILX9Frt_KEuHmwkJ_M2y</t>
  </si>
  <si>
    <t>African Futures - Key Trends</t>
  </si>
  <si>
    <t>https://drive.google.com/open?id=19t1qaxFLdi-yuvH6wvpedikHdUZEBmNf</t>
  </si>
  <si>
    <t>FRANCA</t>
  </si>
  <si>
    <t>BURKINA FASO, CHADE, NÍGER, MALI, MAURITÂNIA</t>
  </si>
  <si>
    <t>Rapport d'etude n°3 Prospective Sahel</t>
  </si>
  <si>
    <t>https://drive.google.com/open?id=1K2BOEgwQOdmK62fkZ8dIaunGpxlLy1Ez</t>
  </si>
  <si>
    <t>Africa and Foresight - Better Futures in Development</t>
  </si>
  <si>
    <t>https://drive.google.com/open?id=1PQhew-UNTTYhI9Bw5a-ikdzrJUuMs5bE</t>
  </si>
  <si>
    <t>Foresight Africa - Top Priorities for the Continent in 2018</t>
  </si>
  <si>
    <t>https://drive.google.com/open?id=1xO7F8OTjdpy225z4gPj8P07bnAb6frZa</t>
  </si>
  <si>
    <t>CAMAROES</t>
  </si>
  <si>
    <t>ÁFRICA SUBSAARIANA</t>
  </si>
  <si>
    <t>Information And Communication Technology: Penetration in Sub-Saharan Countries And Opportunities for Intelligence Collection</t>
  </si>
  <si>
    <t>https://drive.google.com/open?id=1Jlr_lM85uO9cqRLMUMxsqg0E3Oh4R2c-</t>
  </si>
  <si>
    <t>ARGÉLIA, MARROCOS, TUNÍSIA, LÍBIA</t>
  </si>
  <si>
    <t>Rapport d'etude n°4 Prospective Afrique du Nord</t>
  </si>
  <si>
    <t>https://drive.google.com/open?id=1XL2ejTvazKfgcBs73rhqP0kQzu2E6mWM</t>
  </si>
  <si>
    <t>REPÚBLICA CENTRO-AFRICANA, EGITO, DIJIBOUTI, ETIÓPIA, SUDÃO</t>
  </si>
  <si>
    <t>Rapport d'etude nº 5 Prospective Afrique de l’Est</t>
  </si>
  <si>
    <t>https://drive.google.com/open?id=1MmCtMiKza46baNWjJuzX1uJcR8Ij2pei</t>
  </si>
  <si>
    <t>Rapport d'etude n°6 Prospective Sahel</t>
  </si>
  <si>
    <t>https://drive.google.com/open?id=1XJjhRa37EOWKz8BZjwQa2iNjcrXD_QQH</t>
  </si>
  <si>
    <t>SUECIA</t>
  </si>
  <si>
    <t>Violence in Africa - Trends, drivers and prospects to 2023</t>
  </si>
  <si>
    <t>https://drive.google.com/open?id=1xYXIAH-E8dNFvOQejFNdQXet9Nt8pJdE</t>
  </si>
  <si>
    <t>ÁFRICA DO SUL</t>
  </si>
  <si>
    <t>The Mont Fleur CENÁRIOS - What will South Africa be like in the year 2002?(extra - fora do corte metodológico)</t>
  </si>
  <si>
    <t>https://drive.google.com/open?id=1ZXjlHQwDRCXkinla47ZtYuADCUcYqKU1</t>
  </si>
  <si>
    <t>South Africa CENÁRIOS 2025: The future we chose? Policy Co-ordination and Advisory Services (PCAS)</t>
  </si>
  <si>
    <t>https://drive.google.com/open?id=1C4RRCTSjTv99CWA76A0l4dFiH-bIzZfV</t>
  </si>
  <si>
    <t>Strategic Business Plan 2008</t>
  </si>
  <si>
    <t>https://drive.google.com/open?id=1q86RZEytu-kdU0dGGWUKBB8Lcddqtnl0</t>
  </si>
  <si>
    <t>National Development Plan - Vision for 2030</t>
  </si>
  <si>
    <t>https://drive.google.com/open?id=14E3cHcNm90bZcV8JRh-WhDdC5r_eOwZs</t>
  </si>
  <si>
    <t>A case study on localising foresight in South Africa: using foresight in the context of local government participatory planning</t>
  </si>
  <si>
    <t>https://drive.google.com/open?id=18gob_YIGLJQSmEHnpjsDxqjhNownQJg1</t>
  </si>
  <si>
    <t>The Application of Foresight in Corporate Planning for South African Government Departments (extra - fora do corte metodológico)</t>
  </si>
  <si>
    <t>https://drive.google.com/open?id=11SS2wwTLPVGKMLKi9YjKhLsvNrcAcCkE</t>
  </si>
  <si>
    <t>The South African Defence Review and Challenges (A View from the Eastern Cape) - National Options</t>
  </si>
  <si>
    <t>https://drive.google.com/open?id=1dT0OgD-E1BFS_9bo9ZzG_2t0SoYukkmd</t>
  </si>
  <si>
    <t>South African Futures 2030</t>
  </si>
  <si>
    <t>https://drive.google.com/open?id=1MKYYiiNqeMigs47Njc_XTcX_ysj6fyVr</t>
  </si>
  <si>
    <t>Department of Defence strategic plan for 2015 to 2020</t>
  </si>
  <si>
    <t>https://drive.google.com/open?id=1EZh1H7dOCgfExIPFdt3AdJHvBLa5Ch2Z</t>
  </si>
  <si>
    <t>Planning and Executing Scenario Based Simulation Exercises: Methodological Lessons (extra - fora do corte metodológico)</t>
  </si>
  <si>
    <t>https://drive.google.com/open?id=1acPAytfzWOvrCyINhxChEzyI8iSB-8g1</t>
  </si>
  <si>
    <t>South African Futures 2035</t>
  </si>
  <si>
    <t>https://drive.google.com/open?id=1OA9-Hi3gO5IpDRiF3mvPPi7BYbIpyPqh</t>
  </si>
  <si>
    <t>The National Cybersecurity Policy Framework</t>
  </si>
  <si>
    <t>https://drive.google.com/open?id=1Dnfygt7l7FjSeW4HSSHx56pAi4M1Jbff</t>
  </si>
  <si>
    <t>ÁFRICA D SUL</t>
  </si>
  <si>
    <t>The Use of Foresight and Scenario Planning in Strategic Decision Making by South African Executives (extra - fora do corte metodológico)</t>
  </si>
  <si>
    <t>https://drive.google.com/open?id=1ne6qpkidCZEzpfZ5ofDovFxGZ68erWDZ</t>
  </si>
  <si>
    <t>Cyber security as an emerging challenge to South African national security</t>
  </si>
  <si>
    <t>https://drive.google.com/open?id=1ofxJ2tz_RjD1sgb0rpbwoifxEG2dNLnQ</t>
  </si>
  <si>
    <t>Economics, governance and instability in South Africa</t>
  </si>
  <si>
    <t>https://drive.google.com/open?id=1TbH0PZ131jnjw8HnXKsitevZsZfBXnJF</t>
  </si>
  <si>
    <t>South African CENÁRIOS 2024 Politics, violence and growth in the rainbow nation</t>
  </si>
  <si>
    <t>https://drive.google.com/open?id=1RS_35aCXjbVmr5xdfXvg-8pgjqupPWr3</t>
  </si>
  <si>
    <t>An Analysis of Cyber-Incidents in South Africa</t>
  </si>
  <si>
    <t>https://drive.google.com/open?id=113Rd_8OaKHcht_qzht-BxIDflBkkJsAM</t>
  </si>
  <si>
    <t>Governance of cybersecurity – the case of South Africa</t>
  </si>
  <si>
    <t>https://drive.google.com/open?id=1Bfi3UTwqluZ9hJfRfMX73ZJPQmRXR8CF</t>
  </si>
  <si>
    <t>NÃO SE APLICA</t>
  </si>
  <si>
    <t>Foresight for all: Co-elaborative scenario building and empowerment (extra - fora do corte metodológico)</t>
  </si>
  <si>
    <t>https://drive.google.com/open?id=1G_A5VKqcNdVDKbv6TR0cFZEy6mJ_vBUJ</t>
  </si>
  <si>
    <t>Indlulamithi South Africa CENÁRIOS 2030</t>
  </si>
  <si>
    <t>https://drive.google.com/open?id=1_cvvPGxkn9EnNqkgAlaD7g4X_4iJe9pQ</t>
  </si>
  <si>
    <t>ANGOLA</t>
  </si>
  <si>
    <t>Angola: riscos e ameaças</t>
  </si>
  <si>
    <t>https://drive.google.com/open?id=1MI7Y8nZoTtvXkdtuOtpmVHZbCpW_0Rbn</t>
  </si>
  <si>
    <t>A Geopolítica de Angola: Dinâmicas de Afirmação num Quadro Regional</t>
  </si>
  <si>
    <t>https://drive.google.com/open?id=13DOfjmOvhnWxBn_TbhiBptjvSPYKFXKP</t>
  </si>
  <si>
    <t>Angola como potência regional emergente. Análise dos factores estratégicos</t>
  </si>
  <si>
    <t>https://drive.google.com/open?id=1WSXGqxUxts5prHhWFnoFXesOXTu3F8fb</t>
  </si>
  <si>
    <t>BRASIL</t>
  </si>
  <si>
    <t>O Novo Paradigma da Segurança na África: a Estratégia Securitária Regional Angolana</t>
  </si>
  <si>
    <t>https://drive.google.com/open?id=1ePyETlZFMD7_CY4Tk16k6VnNiNq-eqyr</t>
  </si>
  <si>
    <t>The Angolan Armed Forces and the African Peace and Security Architecture</t>
  </si>
  <si>
    <t>https://drive.google.com/open?id=1EaMwD7X1arKhRGMJCmQASMmJSC1gTOj_</t>
  </si>
  <si>
    <t>Conceito Estratégico de Defesa Nacional</t>
  </si>
  <si>
    <t>https://drive.google.com/open?id=1raz0kcwGeDEI_ljxIGQ-svxRYIFdzb0v</t>
  </si>
  <si>
    <t>Livro Branco de Defesa Nacional</t>
  </si>
  <si>
    <t>https://drive.google.com/open?id=1NkHImLx7TvD-vR3qWIbU01XhISPzhrsP</t>
  </si>
  <si>
    <t>ARGÉLIA</t>
  </si>
  <si>
    <t>IHS Jane's Navigating The Emerging Markets - Algeria</t>
  </si>
  <si>
    <t>https://drive.google.com/open?id=1ZEEqPoTFBPcp350N6X3pLcQl3vdr1Dzm</t>
  </si>
  <si>
    <t>ITALIA</t>
  </si>
  <si>
    <t>The outlook for Algeria</t>
  </si>
  <si>
    <t>https://drive.google.com/open?id=1hri8WDXAxhRXBjDk7A2RMt5F8haGMh2x</t>
  </si>
  <si>
    <t>BOTSUANA</t>
  </si>
  <si>
    <t>Inside the ‘crystal ball’: Understanding the evolution of the military in Botswana and the challenges ahead</t>
  </si>
  <si>
    <t>https://drive.google.com/open?id=1PhalsCB6AMjY3AbzErq31hW7YZVk4edH</t>
  </si>
  <si>
    <t>Understanding the Potential of Data Mining in Botswana</t>
  </si>
  <si>
    <t>https://drive.google.com/open?id=1AJoJd_VXd9_c97o7FxYJk8dhHMCa5J1B</t>
  </si>
  <si>
    <t>Vision 2036 - Achieving Prosperity for All</t>
  </si>
  <si>
    <t>https://drive.google.com/open?id=1q0kphwH58l9UJuPblDLjNYEJ1ctBekzS</t>
  </si>
  <si>
    <t>BURKINA FASO</t>
  </si>
  <si>
    <t>Étude National Prospective «Burkina 2025» - Rapport d'Analyse Structurelle</t>
  </si>
  <si>
    <t>https://drive.google.com/open?id=1VLHRBn61Jrltc8ocU-O6hjttUYJHZt6K</t>
  </si>
  <si>
    <t>Étude National Prospective «Burkina 2025» - Rapport General</t>
  </si>
  <si>
    <t>https://drive.google.com/open?id=1n3i0bjc77fQaN0AmYhMSNoKFGGImwxxr</t>
  </si>
  <si>
    <t>Étude National Prospective «Burkina 2025» - Rapport sur la Vision Prospective et sur les Stratégies</t>
  </si>
  <si>
    <t>https://drive.google.com/open?id=18cIg8wp5fBSESxrIp2eAPSlCiJcxsulb</t>
  </si>
  <si>
    <t>Plan National de Développement Économique et Social (PNDES) 2016-2020</t>
  </si>
  <si>
    <t>https://drive.google.com/open?id=1gxudRspHyJJVZ5qO1Hynj8Wh5psDwQrg</t>
  </si>
  <si>
    <t>BURUNDI</t>
  </si>
  <si>
    <t>The Mandela Effect: Prospects for Peace in Burundi</t>
  </si>
  <si>
    <t>https://drive.google.com/open?id=1dSkoTvND95Eu8KdUF-36Suou9KzOdRpE</t>
  </si>
  <si>
    <t>Vision Burundi 2025</t>
  </si>
  <si>
    <t>https://drive.google.com/open?id=1RLUB4l7wqENzIcTldjaudbJF6Kpg0Emi</t>
  </si>
  <si>
    <t>Plan National de Développement du Burundi (PND) 2018-2027</t>
  </si>
  <si>
    <t>https://drive.google.com/open?id=1oVVP8edXopjP4VE9ky7SbC4DLnGE3Izj</t>
  </si>
  <si>
    <t>CABO VERDE</t>
  </si>
  <si>
    <t>As Grandes Opções do Plano 2002-2005 - Uma Agenda Estratégica</t>
  </si>
  <si>
    <t>https://drive.google.com/open?id=1jffGJlWCRo94selBaXtBNt2qfRAXMqYL</t>
  </si>
  <si>
    <t>Cameroun Vision 2035</t>
  </si>
  <si>
    <t>https://drive.google.com/open?id=1vKz_Q75m7sXz3rYzCYCBGGchkrve4gkQ</t>
  </si>
  <si>
    <t>Cameroon: fragile State? (extra - fora do corte metodológico)</t>
  </si>
  <si>
    <t>https://drive.google.com/open?id=1wDLFh2ASlVbvi5nggx-7XWkSaWsnA1_-</t>
  </si>
  <si>
    <t>Nouvelles facettes des Cybermenaces: activisme virtuel et militantisme de rue</t>
  </si>
  <si>
    <t>https://drive.google.com/open?id=1DehU4udVilJ-e9yFwA_ViX94XShPk2k8</t>
  </si>
  <si>
    <t>CHADE</t>
  </si>
  <si>
    <t>Plan National de Développement 2013-2015</t>
  </si>
  <si>
    <t>https://drive.google.com/open?id=1Y5mSAFBi8HAARoROk8Di_G6ig_fAjOYM</t>
  </si>
  <si>
    <t>CHDE</t>
  </si>
  <si>
    <t>DÉBY’S CHAD - political manipulation at home, military intervention abroad, challenging times ahead</t>
  </si>
  <si>
    <t>https://drive.google.com/open?id=1UhBp45PpkaW2U4y-9Y7J9clv9OlJVD1V</t>
  </si>
  <si>
    <t>Plan National de Développement - 2017-2021</t>
  </si>
  <si>
    <t>https://drive.google.com/open?id=1EnFrzjNYbrNGF-qnikuUMDyYd8PwiSnU</t>
  </si>
  <si>
    <t>Vision 2030 - the Chad we want</t>
  </si>
  <si>
    <t>https://drive.google.com/open?id=14idS8oaGhNwQ_-ru2_ym1va1mA16RQBY</t>
  </si>
  <si>
    <t>COSTA DO MARFIM</t>
  </si>
  <si>
    <t>Plan National de Développement - PND 2016-2020 (Tome 1)</t>
  </si>
  <si>
    <t>https://drive.google.com/open?id=1q2LRPs4-Y5KcTMWnbY8-Lh_kN1HyPaBG</t>
  </si>
  <si>
    <t>Plan National de Développement - PND 2016-2020 (Tome 2)</t>
  </si>
  <si>
    <t>https://drive.google.com/open?id=1kslBwspnHAK0qDYz6k5XYiN5e_uevRqm</t>
  </si>
  <si>
    <t>Plan National de Développement - PND 2016-2020 (Tome 3)</t>
  </si>
  <si>
    <t>https://drive.google.com/open?id=1nmNGpqFWj6XVUfvj7YNAGdSuGXvVX85q</t>
  </si>
  <si>
    <t>DIJIBUTI</t>
  </si>
  <si>
    <t>Djibouti: Changing Influence in the Horn’s Strategic Hub</t>
  </si>
  <si>
    <t>https://drive.google.com/open?id=1DEaiIzhjRyLWgdDIPD10jvZzOZv7ghbn</t>
  </si>
  <si>
    <t>WORLD BANK GROUP</t>
  </si>
  <si>
    <t>DIIBUTI</t>
  </si>
  <si>
    <t>Country Partnership Strategy For The Republic Of Djibouti 2014-2017</t>
  </si>
  <si>
    <t>https://drive.google.com/open?id=1ixZqbJtEzfCIQHQa4_kg4_EAJ-z6e6g1</t>
  </si>
  <si>
    <t>INTERNATIONAL RENEWABLE ENERGY AGENCY</t>
  </si>
  <si>
    <t>Djibouti renewables readiness assessment</t>
  </si>
  <si>
    <t>https://drive.google.com/open?id=1FkO3kUEKcVAXnN4yxaRjZvQ6SlSdOmU_</t>
  </si>
  <si>
    <t>DJIBUTI</t>
  </si>
  <si>
    <t>Intended Nationally Determined Contribution of the Republic of Djibouti</t>
  </si>
  <si>
    <t>https://drive.google.com/open?id=1x2GwLfVUO7vNlQfbM7igk98eRK51kUNe</t>
  </si>
  <si>
    <t>Vision Djibouti 2035</t>
  </si>
  <si>
    <t>https://drive.google.com/open?id=14XaXeS-i-0yENZ0SnbXntSA-xHxD-j-b</t>
  </si>
  <si>
    <t>EUA, UNIAO SOVIETICA, JAPAO, CHINA, ALEMANHA OCIDENTAL, REINO UNIDO, FRANCA, INDIA, COREIA DO SUL, TAIWAN, TURQUIA, EGITO, BRASIL, ARGENTINA, MEXICO</t>
  </si>
  <si>
    <t>Long-Term Economic and Military Trends, 1950-2010 (extra - fora do corte metodológico)</t>
  </si>
  <si>
    <t>https://drive.google.com/open?id=1d0nduGXeEvSfA0e22lRzURIjmKg27CxD</t>
  </si>
  <si>
    <t>EGITO,SIRIA, JORDANIA</t>
  </si>
  <si>
    <t>New Political Realities and the Gulf - Egypt, Syria, and Jordan (extra - fora do corte metodológico)</t>
  </si>
  <si>
    <t>https://drive.google.com/open?id=1mbe6JgYEtrzuhNXkNne4AmTdgUGYDF4G</t>
  </si>
  <si>
    <t>EGITO</t>
  </si>
  <si>
    <t>Future Studies in Egypt: Water Foresight 2025</t>
  </si>
  <si>
    <t>https://drive.google.com/open?id=1UQcauRbOaJOHQ3j_pk4ADzK4Ck5VU1TE</t>
  </si>
  <si>
    <t>ARABIA SAUDITA, KWUAIT, IRAQUE, LIBA, EGITO, JORDANIA, SIRIA</t>
  </si>
  <si>
    <t>The Economic Potential of the Arab Countries (extra - fora do corte metodológico)</t>
  </si>
  <si>
    <t>https://drive.google.com/open?id=1MzenNiOCBXNIoI1WDKF3NOykxhw-Fq98</t>
  </si>
  <si>
    <t>GABAO</t>
  </si>
  <si>
    <t>Plan Strategique Gabon Emergent: Vision 2025 et Orientations Stratégiques 2011-2016</t>
  </si>
  <si>
    <t>https://drive.google.com/open?id=1p0jl2FnuGcAyLws2pSh6BTwwtr-rKjRh</t>
  </si>
  <si>
    <t>GAMBIA</t>
  </si>
  <si>
    <t>The Gambia National Development Plan 2018-2021</t>
  </si>
  <si>
    <t>https://drive.google.com/open?id=1dhzQ6KuRodI1UX_liGPbyj3paMO9DZdX</t>
  </si>
  <si>
    <t>GANA</t>
  </si>
  <si>
    <t>Strategic National Energy Plan 2006-2020 Annex I of IV Energy Demand Sectors of the Economy</t>
  </si>
  <si>
    <t>https://drive.google.com/open?id=1PVuacKtAa-SywQ3kNRKMyIVoI-uE4_BK</t>
  </si>
  <si>
    <t>Strategic National Energy Plan 2006-2020 Annex II of IV Energy Supply to the Economy - Electricity</t>
  </si>
  <si>
    <t>https://drive.google.com/open?id=1mF1OEDoCP4_W3IvDpJxBJNH6qWYFb3Hc</t>
  </si>
  <si>
    <t>Strategic National Energy Plan 2006-2020 Annex III of IV Energy Supply to the Economy - Petroleum</t>
  </si>
  <si>
    <t>https://drive.google.com/open?id=1JSZ7ZS1e6kgRKbjZwCjcYaioL4CpTdxM</t>
  </si>
  <si>
    <t>Strategic National Energy Plan 2006-2020 Annex IV of IV Energy Supply to the Economy - Woodfuels and Renewables</t>
  </si>
  <si>
    <t>https://drive.google.com/open?id=1uhcoGfiZtQd2R7diX1XJKWGXSMIigm1W</t>
  </si>
  <si>
    <t>Strategic National Energy Plan 2006-2020 Main Report</t>
  </si>
  <si>
    <t>https://drive.google.com/open?id=1j6pCfOzfbSJMMNmyqO1u_q0LXM5pcFAc</t>
  </si>
  <si>
    <t>GUINE EQUATORIAL</t>
  </si>
  <si>
    <t>Guinée Equatoriale 2020 - Agenda pour une diversification des sources de la croissance</t>
  </si>
  <si>
    <t>https://drive.google.com/open?id=1VLwrUGChNw1hPL01MbSyALh2-Jv8lZSm</t>
  </si>
  <si>
    <t>LIBERIA</t>
  </si>
  <si>
    <t>Strategic Plan 2015-2018</t>
  </si>
  <si>
    <t>https://drive.google.com/open?id=1rV7G4u2fubYfHBAQbycTqHLeODAW6GLh</t>
  </si>
  <si>
    <t>LIBIA</t>
  </si>
  <si>
    <t>Libya After Qaddafi - Lessons and Implications for the Future (extra - fora do corte metodológico)</t>
  </si>
  <si>
    <t>https://drive.google.com/open?id=17ioJT-Dzg9QEwv8SqQdBH5Tx1h34hrMJ</t>
  </si>
  <si>
    <t>MALAUI</t>
  </si>
  <si>
    <t>Vision 2020: the national long-term development perspective for Malawi</t>
  </si>
  <si>
    <t>https://drive.google.com/open?id=1sn5gcEUE3yIpcyvuUOO_iZTpeEpL9K6b</t>
  </si>
  <si>
    <t>MALI</t>
  </si>
  <si>
    <t>Paths of future: scenarios for Mali 2030</t>
  </si>
  <si>
    <t>https://drive.google.com/open?id=1vTQhJC8eAj8Vbfew4dcVEfGs-u4MfVUI</t>
  </si>
  <si>
    <t>NAMIBIA</t>
  </si>
  <si>
    <t>Namibia Vision 2030 - Policy Framework for Long-Term National Development</t>
  </si>
  <si>
    <t>https://drive.google.com/open?id=1dniUplZLu5m6esPaBNxJ7l8A-og4THB1</t>
  </si>
  <si>
    <t>RUANDA</t>
  </si>
  <si>
    <t>Rwanda Vision 2020</t>
  </si>
  <si>
    <t>https://drive.google.com/open?id=1TKkXHN09LWXeR1XkhTxTE7QSDl6PKzNJ</t>
  </si>
  <si>
    <t>CONGO</t>
  </si>
  <si>
    <t>From Kabila to Kabila: Prospects for Peace in the Congo</t>
  </si>
  <si>
    <t>https://drive.google.com/open?id=1mhpOFy-8WVUnJYRAKciu7sRhOtneW4Fz</t>
  </si>
  <si>
    <t>SERRA LEOA</t>
  </si>
  <si>
    <t>Sierra Leone: time for a new military and political strategy</t>
  </si>
  <si>
    <t>https://drive.google.com/open?id=1aSg5b3uGNABAC1BbvTayM_N5WsIQO89R</t>
  </si>
  <si>
    <t>Defence Policy</t>
  </si>
  <si>
    <t>https://drive.google.com/open?id=1CqkTy_mdnb_yB3BARh8YeK6besg4c47h</t>
  </si>
  <si>
    <t>QUENIA</t>
  </si>
  <si>
    <t>Vision 2030</t>
  </si>
  <si>
    <t>https://drive.google.com/open?id=1kl0aDUT6S6sXofy34-3JrdCjjbQnlIL7</t>
  </si>
  <si>
    <t>Defence white paper</t>
  </si>
  <si>
    <t>https://drive.google.com/open?id=10YZzicULmBkvbrzwBPYmhYS2NpgAgXjc</t>
  </si>
  <si>
    <t>Rwanda Vision 2020 - Revised 2012</t>
  </si>
  <si>
    <t>https://drive.google.com/open?id=1vn7UzpRGeWJoVpefCwi8vCpzTjctRvdA</t>
  </si>
  <si>
    <t>Energy Demand and Forecasting in Namibia</t>
  </si>
  <si>
    <t>https://drive.google.com/file/d/11sJ5Hkpoip2TXT-WDuC17Hhdca3KvhpA/view</t>
  </si>
  <si>
    <t>UGANDA</t>
  </si>
  <si>
    <t>Uganda Vision 2040</t>
  </si>
  <si>
    <t>https://drive.google.com/open?id=1dyu6wc2F4M27HrkxeoL5AsweRBZ-O4Ab</t>
  </si>
  <si>
    <t>SUAZILANDIA</t>
  </si>
  <si>
    <t>His Majesty’s Government’s Programme of Action 2013-2018</t>
  </si>
  <si>
    <t>https://drive.google.com/open?id=1zMfO699VFAuVYmmZqYtTPGQivIjJhxC_</t>
  </si>
  <si>
    <t>SENEGAL</t>
  </si>
  <si>
    <t>Strategie Senegal numerique 2016-2025</t>
  </si>
  <si>
    <t>https://drive.google.com/open?id=10_iSlYRHfAlMK2vj_85oAe08rCbfbnmT</t>
  </si>
  <si>
    <t>Strategic Plan 2016-2021</t>
  </si>
  <si>
    <t>https://drive.google.com/open?id=1cFs612xo-XDdZart4QJWjcOsFm1zdtpw</t>
  </si>
  <si>
    <t>Namibia's 5th National Development Plan (NDP5) - 2017-18 - 2021-22</t>
  </si>
  <si>
    <t>https://drive.google.com/open?id=175NdG4R_MEAFDelHQzOWqbEHJIQLemce</t>
  </si>
  <si>
    <t>Defence White Paper</t>
  </si>
  <si>
    <t>https://drive.google.com/open?id=1Lp9Gk-fv8LZnmBiVhF097Y59J_ugDuuO</t>
  </si>
  <si>
    <t>Kenya to 2030 and Beyond</t>
  </si>
  <si>
    <t>https://drive.google.com/open?id=17YDmvwklRw-moTSeXM9MgTj3Dn-12Jj-</t>
  </si>
  <si>
    <t>CANADA</t>
  </si>
  <si>
    <t>Democratic Republic of Congo 2018 - Conflict Risk Diagnostic</t>
  </si>
  <si>
    <t>https://drive.google.com/open?id=1b4Wg47QnlYtiSgz0xgiA23_TXuoSM_1T</t>
  </si>
  <si>
    <t>FRANÇA</t>
  </si>
  <si>
    <t>La République Démocratique du Congo à l'Horizon 2020</t>
  </si>
  <si>
    <t>https://drive.google.com/open?id=1EJ7OdNKQfTYB_AgkIOYvA3HGvZEbwXjp</t>
  </si>
  <si>
    <t>TUNISIA</t>
  </si>
  <si>
    <t>Stratégie numérique en Tunisie -Internet des objets 2018-2025</t>
  </si>
  <si>
    <t>https://drive.google.com/open?id=1p80skjUnrNhhC3_WY_GwdgHjlmCnf5-4</t>
  </si>
  <si>
    <t>ZAMBIA</t>
  </si>
  <si>
    <t>Fifth National Development Plan 2006-2010</t>
  </si>
  <si>
    <t>https://drive.google.com/open?id=1a9tovIcm3Nee7deCchB61Oe3j3Uu5TC5</t>
  </si>
  <si>
    <t>Vision 2030 for Zambia</t>
  </si>
  <si>
    <t>https://drive.google.com/open?id=15aQaPWMdtDfbxtfk9b2ZwKzikhMRAyJf</t>
  </si>
  <si>
    <t>Conceiving an Army for the 21st Century</t>
  </si>
  <si>
    <t>https://drive.google.com/open?id=19CPFl4b3BVvd4cdiizPMX_s8BAWAflk-</t>
  </si>
  <si>
    <t>CANADÁ</t>
  </si>
  <si>
    <t>Development of the force planning scenario framework</t>
  </si>
  <si>
    <t>https://drive.google.com/open?id=1T_TDMHq0MQAczKLl-r_-bOfJTkQtdBSf</t>
  </si>
  <si>
    <t>ÁRTICO</t>
  </si>
  <si>
    <t>Arctic planning scenarios</t>
  </si>
  <si>
    <t>https://drive.google.com/open?id=1RqoDVNHKOqrEeVe4httWtPfhZq1G7_ds</t>
  </si>
  <si>
    <t>Designing Canada's army of tomorrow</t>
  </si>
  <si>
    <t>https://drive.google.com/open?id=1qRL017P0_6dNrZ5Qj3mSozJHaunS6IdV</t>
  </si>
  <si>
    <t>Toward army 2040: exploring key dimensions of the global environment</t>
  </si>
  <si>
    <t>https://drive.google.com/open?id=1-0LPQURMHWewzvlA0hmu1WpIuEL7Gxg_</t>
  </si>
  <si>
    <t>Canada's future army, volume 1: methodology, perspectives and approaches</t>
  </si>
  <si>
    <t>https://drive.google.com/open?id=1qybtE5nZzDauEi47UNxeJNhPsw3umsld</t>
  </si>
  <si>
    <t>Canada and the Changing Nature of Work</t>
  </si>
  <si>
    <t>https://drive.google.com/open?id=1ibkcRwa3s2sHWHbc7X_9B2fpH4ETk-7J</t>
  </si>
  <si>
    <t>Canada and the future security environment</t>
  </si>
  <si>
    <t>https://drive.google.com/open?id=1t3sAGR74aKzrY7rbLk5qLcxEweo4S6cv</t>
  </si>
  <si>
    <t>Canada's future army, volume 3: alternative worlds and implications</t>
  </si>
  <si>
    <t>https://drive.google.com/open?id=1hn4feL_YPW_Qm9fG8fEuDR-Sxg_2DK4O</t>
  </si>
  <si>
    <t>The fiscal impact of high skilled emigration flos of indians to the US</t>
  </si>
  <si>
    <t>https://drive.google.com/open?id=1NSU8X21iXiVVtXae5nOv9YMF_uSGu_n4</t>
  </si>
  <si>
    <t>Transforming the legions: the army and the future of land warfare</t>
  </si>
  <si>
    <t>https://drive.google.com/open?id=1lSZ-0PQDSokH9tPr_ik1SnutCab6PZsZ</t>
  </si>
  <si>
    <t>Alternative futures and army force planning</t>
  </si>
  <si>
    <t>https://drive.google.com/open?id=1yAOpgSw6sHyGtvIqFQWOG3ZAi793hGU0</t>
  </si>
  <si>
    <t>The new balance: limited armed stabilization and the future of US landpower</t>
  </si>
  <si>
    <t>https://drive.google.com/open?id=1O-CDUvEBKTve7TKyXd9bybEd8bMLh2rO</t>
  </si>
  <si>
    <t>Scenario-based strategic planning in the US Army corps of engineers civil works program</t>
  </si>
  <si>
    <t>https://drive.google.com/open?id=1Pn1TvirK1WRJpw2jmoENRCAo6iTgM0zC</t>
  </si>
  <si>
    <t>Report of an army workshop on convergence forecasting: mechanochemical transduction</t>
  </si>
  <si>
    <t>https://drive.google.com/open?id=1bq-_j0h99oGOjE6lrpibiT5YYLoPhHiz</t>
  </si>
  <si>
    <t>GLOBAL</t>
  </si>
  <si>
    <t>Strategic foresight analysis - 2013 report</t>
  </si>
  <si>
    <t>https://drive.google.com/open?id=1jepZjw_OURp1ZGkLMCTT_gUz_pTdEssd</t>
  </si>
  <si>
    <t>Force 2025 and beyond</t>
  </si>
  <si>
    <t>https://drive.google.com/open?id=1LIVgKgGBeDweej08jmOtbQTGaqiLwL2o</t>
  </si>
  <si>
    <t>The future of the army</t>
  </si>
  <si>
    <t>https://drive.google.com/open?id=1cSbRw63uk33Kb-1IHAav6Gb6zkJ_HZ_I</t>
  </si>
  <si>
    <t>Strategic foresight analysis - 2017 report</t>
  </si>
  <si>
    <t>https://drive.google.com/open?id=16ts0M9OAYLeG3l61HB_AJiTkkZwAI4DZ</t>
  </si>
  <si>
    <t>Strategic landscape 2050: preparing the US military for new era dynamics</t>
  </si>
  <si>
    <t>https://drive.google.com/open?id=1eNgj_xYeMIOGhg7GIfxjvmc0o5egUBjS</t>
  </si>
  <si>
    <t>The character of warfare 2030 to 2050: technological change, the international system, and the state</t>
  </si>
  <si>
    <t>https://drive.google.com/open?id=1QC--wB9huAnrYyUVzLyTZL4tZ9nSMLrB</t>
  </si>
  <si>
    <t>Air force, force structure and modernization programs</t>
  </si>
  <si>
    <t>https://drive.google.com/open?id=13wF4SX5CokcGL3G4Y8Hzka4YUAX0C1sy</t>
  </si>
  <si>
    <t>Joint light tactical vehicle (JLTV): background and issues for Congress</t>
  </si>
  <si>
    <t>https://drive.google.com/open?id=1gqN0EL1xN2gKZvictwLf2dIobt4V6ncA</t>
  </si>
  <si>
    <t>Lessons from others for future US army operations in and through the information environment</t>
  </si>
  <si>
    <t>https://drive.google.com/open?id=1u2cjW8Haz3tc6UriZforUiZgki5bZTNH</t>
  </si>
  <si>
    <t>Long-term forecasts of military technologies for a 20–30 year horizon: an empirical assessment of accuracy</t>
  </si>
  <si>
    <t>https://drive.google.com/open?id=1uE1kYx8gLq73iMBchtLrNGvB6JwWz_yN</t>
  </si>
  <si>
    <t>Navy frigate (ffg[x]) program: background and issues for congress</t>
  </si>
  <si>
    <t>https://drive.google.com/open?id=1S7qiZFNC889Z7ZWQd-Rv2VpdPM4XY_lm</t>
  </si>
  <si>
    <t>Seizing the high ground - United States army futures command</t>
  </si>
  <si>
    <t>https://drive.google.com/open?id=1TZJsuND27lNTFRMhibzLcG25OUtPr8A0</t>
  </si>
  <si>
    <t>Summary of the 2018 national defence strategy</t>
  </si>
  <si>
    <t>https://drive.google.com/open?id=1RSGS36K8jO8PI6kau-bZCie0VZqdJWQ4</t>
  </si>
  <si>
    <t>Urban futures, technology, and military operations</t>
  </si>
  <si>
    <t>https://drive.google.com/open?id=1lnWf9bJEsGWXye8zI5tM1KkfxNzlR-ET</t>
  </si>
  <si>
    <t>MÉXICO</t>
  </si>
  <si>
    <t>Foresight analysis of Tilapia supply chains (sistema producto) in four states in Mexico: scenarios and strategies for 2018</t>
  </si>
  <si>
    <t>https://drive.google.com/open?id=1RMb23UqWBlZy3OwP7fgYRzAlS4BNXS0c</t>
  </si>
  <si>
    <t>Technological foresight model for the identification of business opportunities</t>
  </si>
  <si>
    <t>https://drive.google.com/open?id=10adUVHV8gQLCi9JDGYqvDD8N0rIj5bj3</t>
  </si>
  <si>
    <t>Sustainability assessment of energy systems: integrating environmental, economic and social aspects</t>
  </si>
  <si>
    <t>https://drive.google.com/open?id=1GssUeZJ9N2XV5XwMdR81xaZDPFfVsY2l</t>
  </si>
  <si>
    <t>Propuesta teórica de inteligencia estratégica para la seguridad nacional en México</t>
  </si>
  <si>
    <t>https://drive.google.com/open?id=1iQ5exMdwneF2PqkLfCG7OzieNSgwS2_H</t>
  </si>
  <si>
    <t>Mexico’s low carbon futures: an integrated assessment for energy planning and climate change mitigation by 2050</t>
  </si>
  <si>
    <t>https://drive.google.com/open?id=15uECjhXmD1QxUBjRvRVQavGf0Jo9PZ0o</t>
  </si>
  <si>
    <t>Prospectiva para México como país contribuyente de tropas de las naciones unidas y su influencia em la seguridad nacional</t>
  </si>
  <si>
    <t>https://drive.google.com/open?id=126NsKLJzeyI_fxIp5DjUuNegJ2ixqrAk</t>
  </si>
  <si>
    <t>OEA</t>
  </si>
  <si>
    <t>CONTINENTE AMERICANO</t>
  </si>
  <si>
    <t>Escenarios para el problema de drogas en las America</t>
  </si>
  <si>
    <t>https://drive.google.com/open?id=10JF_dtKoRhpWq3QzRsoYuJiHAelGCPRT</t>
  </si>
  <si>
    <t>América so Sul</t>
  </si>
  <si>
    <t>AMÉRICA LATINA</t>
  </si>
  <si>
    <t>Latinoamerica 2030</t>
  </si>
  <si>
    <t>https://drive.google.com/open?id=1BefAld-dH9LpTVNbdaWf2bUUzpVAjqgk</t>
  </si>
  <si>
    <t>EQUADOR</t>
  </si>
  <si>
    <t>Planificacion y prospectiva para la integracion</t>
  </si>
  <si>
    <t>https://drive.google.com/open?id=1Wo9pejbaIAsPvCBUg46pKzeZfeLq2Iew</t>
  </si>
  <si>
    <t>ARGENTINA, BOLÍVIA, BRASIL, CHILE, COLOMBIA, COSTA RICA, CUBA, EQUADOR, ESPANHA, MÉXICO, PANAMÁ, PERU, URUGUAI, VENEZUELA</t>
  </si>
  <si>
    <t>La prospectiva en Iberoamerica</t>
  </si>
  <si>
    <t>https://drive.google.com/open?id=1morvQNTZMYyBKZAlMN3zH_j4MaMYMCLK</t>
  </si>
  <si>
    <t>AMÉRICA DO SUL</t>
  </si>
  <si>
    <t>Centro de estudios estrategicos de la defensa 2011-2017</t>
  </si>
  <si>
    <t>https://drive.google.com/open?id=1TYuY3B40AoNLM3zOtSU6VPRoYsm9Zng4</t>
  </si>
  <si>
    <t>Estudio prospectivo Suramerica 2025 (2)</t>
  </si>
  <si>
    <t>https://drive.google.com/open?id=13dpJHFmkKpJARegMwn7wkNEiRG9kj6YW</t>
  </si>
  <si>
    <t>Metodologia de investigacion de futuros - escenarios</t>
  </si>
  <si>
    <t>https://drive.google.com/open?id=19OFSE8Bq-7xe26YriAUrnq6OjBqbEsze</t>
  </si>
  <si>
    <t>ARGENTINA</t>
  </si>
  <si>
    <t>Planificacion estrategica territorial</t>
  </si>
  <si>
    <t>https://drive.google.com/open?id=1F3UcKoQoZRRPW05DkyaJa1U_S-C7po2g</t>
  </si>
  <si>
    <t>BARBADOS</t>
  </si>
  <si>
    <t>CARIBE</t>
  </si>
  <si>
    <t>Caribbean scenarios 2050</t>
  </si>
  <si>
    <t>https://drive.google.com/open?id=13F_RbgS_mCcUQ4oKm--t0yC5-HtRhX_u</t>
  </si>
  <si>
    <t>BELIZE</t>
  </si>
  <si>
    <t>Belize health sector strategic plan 2014-2024</t>
  </si>
  <si>
    <t>https://drive.google.com/open?id=1ScrJprNI_A5e9paubFm2h9osL-9KFXz3</t>
  </si>
  <si>
    <t>ANTIGUA E BARBUDA</t>
  </si>
  <si>
    <t>Medium term development strategy 2016 to 2020</t>
  </si>
  <si>
    <t>https://drive.google.com/open?id=1ixHIKKLqbOedoe6HdNhOm94ZA-MTE40b</t>
  </si>
  <si>
    <t>BOLIVIA</t>
  </si>
  <si>
    <t>Escenarios prospectivos de mediano plazo para la bolivia</t>
  </si>
  <si>
    <t>https://drive.google.com/open?id=1vTZENBRwswKlbPQQrToK3HLl0PpYetHy</t>
  </si>
  <si>
    <t>Analisis de coyuntura y escenarios prosprctivos para bolivia</t>
  </si>
  <si>
    <t>https://drive.google.com/open?id=11UsXQndDZycK_axCxGI9WnXAG7qfCeQq</t>
  </si>
  <si>
    <t>Plan estrategico institucional 2012-2015</t>
  </si>
  <si>
    <t>https://drive.google.com/open?id=1pcm339qkRGJzxhS9o-zx93X_GaPGITDP</t>
  </si>
  <si>
    <t>BOLIVA</t>
  </si>
  <si>
    <t>Planestrategico institucional 2016-2020</t>
  </si>
  <si>
    <t>https://drive.google.com/open?id=1-6b5BTNG78AknhvmdxFkepR2FHUK-F7F</t>
  </si>
  <si>
    <t>Lineamiento metodologico para la formulacion de los planes estrategicos de las fuerzas armadas</t>
  </si>
  <si>
    <t>https://drive.google.com/open?id=1zC0W222GhSRT78xhyInJH80h84OlyEkO</t>
  </si>
  <si>
    <t>CEPAL</t>
  </si>
  <si>
    <t>AMÉRICA LATINA E CARIBE</t>
  </si>
  <si>
    <t>Prospeccion y desarrollo</t>
  </si>
  <si>
    <t>https://drive.google.com/open?id=1xepgxlKHovLd_1FCUFlJU_qoLAp_Hej6</t>
  </si>
  <si>
    <t>CHILE</t>
  </si>
  <si>
    <t>Planificacion y diseño de la fuerza militar por capacidades</t>
  </si>
  <si>
    <t>https://drive.google.com/open?id=1FyCPYuPagnur51j6rk1Vb1a0goQYrSA8</t>
  </si>
  <si>
    <t>AZIMUT 2026</t>
  </si>
  <si>
    <t>https://drive.google.com/file/d/1KxIyToZN3BDOr44jfdnb1bGn77HGKmBm/view</t>
  </si>
  <si>
    <t>COLOMBIA</t>
  </si>
  <si>
    <t>Transformacion y futuro de la fuerza publica</t>
  </si>
  <si>
    <t>https://drive.google.com/open?id=1jjK1iOjPzWHYafR2A0uMrNANmdrs3Xdf</t>
  </si>
  <si>
    <t>Los escenarios de la seguridad en Colombia</t>
  </si>
  <si>
    <t>https://drive.google.com/open?id=1JQkyKzZq0j_pgD9AAFC4t8zuRDv88TFX</t>
  </si>
  <si>
    <t>Plan estrategico de educacion naval 2012-2030</t>
  </si>
  <si>
    <t>https://drive.google.com/open?id=1OXpIiegiF9_EJBYaHt6v_AjDMdejgMx-</t>
  </si>
  <si>
    <t>Escenarios y tendencias de la estructura de la fuerza aérea colombiana</t>
  </si>
  <si>
    <t>https://drive.google.com/open?id=1VtTKdqcVoBSQSsm772ryVOOXHq5nneq2</t>
  </si>
  <si>
    <t>Planeacion estrategica</t>
  </si>
  <si>
    <t>https://drive.google.com/open?id=19vH0elzYDt1HUVLcRLOClO0FfEvtPs-l</t>
  </si>
  <si>
    <t>Planestrategico militar 2030</t>
  </si>
  <si>
    <t>https://drive.google.com/open?id=1FrtYl4j3h7k6Pzw1yLeL7Iuc-cy62gfS</t>
  </si>
  <si>
    <t>Guia de planeamiento estrategico del sector de defensa y seguridad 2016-2020</t>
  </si>
  <si>
    <t>https://drive.google.com/open?id=1KACyz4TZm5ubLeFu6zGxuW7b0RXXdX35</t>
  </si>
  <si>
    <t>Plan prospectivo 2036</t>
  </si>
  <si>
    <t>https://drive.google.com/open?id=1ma7WV_ROZwDmd1WRBXJfVXNqhUkKZJQ8</t>
  </si>
  <si>
    <t>Plan estrategico marina de Colombia 2030</t>
  </si>
  <si>
    <t>https://drive.google.com/open?id=1EVjHhTADd9b6MzfsirnyjVwWkkR9t75D</t>
  </si>
  <si>
    <t>CUBA</t>
  </si>
  <si>
    <t>Plan estrategico nacional 2001-2006</t>
  </si>
  <si>
    <t>https://drive.google.com/open?id=17DxE5KpcElsleBRBdCCshklMTt8P27xy</t>
  </si>
  <si>
    <t>Plan estrategico nacional 2007-2011</t>
  </si>
  <si>
    <t>https://drive.google.com/open?id=1UZQytotEBCPXDSr_S3YzgBwmnoqeCSiR</t>
  </si>
  <si>
    <t>Política integral para el perfeccionamiento de la informatización de la sociedad en Cuba</t>
  </si>
  <si>
    <t>https://drive.google.com/open?id=1V7GlI_f0EUJUxyHUqEJE-DpQb7O2IF58</t>
  </si>
  <si>
    <t>Escenarios de prospectiva energetica para Ecuador a 2050</t>
  </si>
  <si>
    <t>https://drive.google.com/open?id=18ls2vx-9FM5QKPtinivxpO19KP9s-1jb</t>
  </si>
  <si>
    <t>Plan estrategico institucional 2018-2021</t>
  </si>
  <si>
    <t>https://drive.google.com/open?id=1S1NFNobXCztiNXxp38g5gNHPkojnKsoo</t>
  </si>
  <si>
    <t>GUIANA</t>
  </si>
  <si>
    <t>Strategic plan 2012-2017</t>
  </si>
  <si>
    <t>https://drive.google.com/open?id=1BBbSM3Es22b4TCaa6W0kKUPZy6w2KMCf</t>
  </si>
  <si>
    <t>HONDURAS</t>
  </si>
  <si>
    <t>Plan estrategico de gobieno 2014-2018</t>
  </si>
  <si>
    <t>https://drive.google.com/open?id=1QmXlO7tELFDIOAyctVkyfTJDrgRyi4rS</t>
  </si>
  <si>
    <t>Plan estrategico institucional 2017-2020</t>
  </si>
  <si>
    <t>https://drive.google.com/open?id=1C0RjjmvPL9Xzq5gc2842H3fQuanhJang</t>
  </si>
  <si>
    <t>Plan estrategico para Honduras 2018-2021</t>
  </si>
  <si>
    <t>https://drive.google.com/open?id=1DBCVZVEaKzMVR8GTtUGSIMdZVfO0fFtL</t>
  </si>
  <si>
    <t>JAMAICA</t>
  </si>
  <si>
    <t>The Jamaica energy policy 2006 - 2020</t>
  </si>
  <si>
    <t>https://drive.google.com/open?id=1khYCqaXlBJAGTBYnh8earDKY0sFMgAOy</t>
  </si>
  <si>
    <t>Jamaica 2030 - information and communications technology (ICT)</t>
  </si>
  <si>
    <t>https://drive.google.com/open?id=1pAbhDszxuaFQwRm8uNmSyZXSwq-Xq16L</t>
  </si>
  <si>
    <t>Jamaica's national energy policy 2009 - 2030</t>
  </si>
  <si>
    <t>https://drive.google.com/open?id=1r51pC32QZk7xwQOEwW_NuOl86o9k4Bb9</t>
  </si>
  <si>
    <t>PERU</t>
  </si>
  <si>
    <t>Plan nacional estrategico de ciencia, tecnologia e innovacion para la competitividad 2006-2021</t>
  </si>
  <si>
    <t>https://drive.google.com/open?id=18kTlUXa4tTaaNSA1RZrUWYj_0TpBnq5S</t>
  </si>
  <si>
    <t>Planestrategico de la escuela superior de guerra aerea</t>
  </si>
  <si>
    <t>https://drive.google.com/open?id=1XhMKGJeIgqlV8jjAp3V0RGI76RX7Uyuu</t>
  </si>
  <si>
    <t>Documento prospectivo al 2021 sector interior</t>
  </si>
  <si>
    <t>https://drive.google.com/open?id=1HqrAI2-fdrgylIdhfEQtDC-66rx_WwU0</t>
  </si>
  <si>
    <t>Estudio prospectivo de la seguridad y defensa nacional al 2030</t>
  </si>
  <si>
    <t>https://drive.google.com/open?id=1GApRizIMo2P5qOc80EPAvxZrkCSJewyJ</t>
  </si>
  <si>
    <t>Documento prospectivo del sector educacion 2030</t>
  </si>
  <si>
    <t>https://drive.google.com/open?id=1pRP2AdUwcszWXpijtHvLKNUNYnp1SKdB</t>
  </si>
  <si>
    <t>Escenarios de futuro para el Peru</t>
  </si>
  <si>
    <t>https://drive.google.com/open?id=1U9rVRaoeGzwl-bCg6_X1wGeGF7rg1e_B</t>
  </si>
  <si>
    <t>REPUBLICA DOMINICANA</t>
  </si>
  <si>
    <t>Estrategia nacional de desarollo 2030</t>
  </si>
  <si>
    <t>https://drive.google.com/open?id=1nleu0nKLfWliF2lTeAhO1c-IbW3zTW6F</t>
  </si>
  <si>
    <t>Política de relaciones exteriores plan estrategico 2015-2020</t>
  </si>
  <si>
    <t>https://drive.google.com/open?id=1agNiUkwRRtoHax07XF0IkSfEBj_vZmwt</t>
  </si>
  <si>
    <t>Plan estrategico institucional</t>
  </si>
  <si>
    <t>https://drive.google.com/open?id=13eMVKXazILBkZIgG1M7lQ3y_5iUL3MEE</t>
  </si>
  <si>
    <t>Perspectivas de energías renovables: Republica Dominicana</t>
  </si>
  <si>
    <t>https://drive.google.com/open?id=1WoYBEgQIewwnFO0PSm52zIcv6GAWEUUk</t>
  </si>
  <si>
    <t>URUGUAI</t>
  </si>
  <si>
    <t>Informe de prospectiva del sector energético</t>
  </si>
  <si>
    <t>https://drive.google.com/open?id=18J_SOjaTOhUb40ko7SG-a6Op3KyZcsx8</t>
  </si>
  <si>
    <t>Escenários demograficos Uruguay 2050</t>
  </si>
  <si>
    <t>https://drive.google.com/open?id=1lE3SvGjBo_zeJkRc_jXIg50jVbjN_I6n</t>
  </si>
  <si>
    <t>VENEZUELA</t>
  </si>
  <si>
    <t>Gestón del conocimiento em la UCV: Área Energia</t>
  </si>
  <si>
    <t>https://drive.google.com/open?id=1KkPu5_scHF8np1zhLn4Qvv0z-sZ1Vt2r</t>
  </si>
  <si>
    <t>JAPAO/FINLANDIA</t>
  </si>
  <si>
    <t>Foresight for our future society–cooperative project between Nistep (Japan) and Tekes (Finland)</t>
  </si>
  <si>
    <t>https://drive.google.com/open?id=13LFachy0rAhYeNXABOzRQUXiCZ31UFzC</t>
  </si>
  <si>
    <t>CHINA</t>
  </si>
  <si>
    <t>Technology foresight and cricial technology focus in china</t>
  </si>
  <si>
    <t>https://drive.google.com/open?id=1t_x7LStETtpD4jWuby-y2WDC4gIp75I_</t>
  </si>
  <si>
    <t>Historical change and future scenarios of sea level rise in Macau and adjacent waters</t>
  </si>
  <si>
    <t>https://drive.google.com/open?id=1ceC_RDbOOOiKI9X7dUZnqtyE4f9KkZPE</t>
  </si>
  <si>
    <t>Defense ministry's regular press conference on oct.27</t>
  </si>
  <si>
    <t>https://drive.google.com/open?id=1g9ySx8aiwxaJqP3qS8LQl-9NGfXPH-oB</t>
  </si>
  <si>
    <t>Chinese peacekeeping engineers to Congo (k) conduct defense drill</t>
  </si>
  <si>
    <t>https://drive.google.com/open?id=1_D_SJkUFpv0eXabZBfMm1GgHCE8wG3l5</t>
  </si>
  <si>
    <t>Chinese peacekeepers in South Sudan hold defense drill</t>
  </si>
  <si>
    <t>https://drive.google.com/open?id=1ZPqqhdPE9IOxLEg17uPKSXmMXp3ThgI-</t>
  </si>
  <si>
    <t>Cooperation spirit 2017 HADR tabletop exercise concludes in China</t>
  </si>
  <si>
    <t>https://drive.google.com/open?id=13Gk_NhlOvPnH5TwTbv3bLe71jv7FV0Rh</t>
  </si>
  <si>
    <t>PLA Hong Kong Garrison: "a stabilizer in Hong Kong"</t>
  </si>
  <si>
    <t>https://drive.google.com/open?id=1xYhhANDqqp68I6KbU3mVDelTGUZu8Gu6</t>
  </si>
  <si>
    <t>COREIA DO SUL</t>
  </si>
  <si>
    <t>Korean's view of technology foresight in society</t>
  </si>
  <si>
    <t>https://drive.google.com/open?id=1JunHbA8swl8CJEq276M-4EOVE4Ixoac1</t>
  </si>
  <si>
    <t>Foresight for science and technology priority setting in Korea</t>
  </si>
  <si>
    <t>https://drive.google.com/open?id=1ly3_0VfWkww5tk9424eU9YVZUvWalhYN</t>
  </si>
  <si>
    <t>EMIRADOS ARABES UNIDOS</t>
  </si>
  <si>
    <t>ORIENTE MEDIO</t>
  </si>
  <si>
    <t>Is the Middle East the land of the future? It is not a given!</t>
  </si>
  <si>
    <t>https://drive.google.com/open?id=1qsANQCdk1_swnOJjRRXApLmyjkFxsQiL</t>
  </si>
  <si>
    <t>Alternative futures of global governance: scenarios and perspectives from the global south</t>
  </si>
  <si>
    <t>https://drive.google.com/open?id=1PWk_Dc1Sj9vRu3Uo8UBDs5mVMiyKpPTW</t>
  </si>
  <si>
    <t>ILHAS MALDIVAS</t>
  </si>
  <si>
    <t>Defence white paper 2012</t>
  </si>
  <si>
    <t>https://drive.google.com/open?id=13S26WTE3kxMr8Kx_qgee1v7AJ-XAdzf1</t>
  </si>
  <si>
    <t>INDIA</t>
  </si>
  <si>
    <t>Transforming for an uncertain future</t>
  </si>
  <si>
    <t>https://drive.google.com/open?id=19h2kgvj330hgLcwtn_KwO-dYIvDWRMtg</t>
  </si>
  <si>
    <t>INDIA, CONTINENTE AFRICANO</t>
  </si>
  <si>
    <t>India and Africa: enhancing mutual engagement</t>
  </si>
  <si>
    <t>https://drive.google.com/open?id=14-d3CeQpy-zi8ukmsjYyBDImHZahwbex</t>
  </si>
  <si>
    <t>HOLANDA</t>
  </si>
  <si>
    <t>Managing waste in India with foresight</t>
  </si>
  <si>
    <t>https://drive.google.com/open?id=1pb6e13qnRhllHQKre0o-iQyD0nBNq7kJ</t>
  </si>
  <si>
    <t>Global security and economy</t>
  </si>
  <si>
    <t>https://drive.google.com/open?id=1CqnSSeIQnHkW72Sc0JmODWmh2dcSMrDf</t>
  </si>
  <si>
    <t>INDONESIA</t>
  </si>
  <si>
    <t>Force 2020</t>
  </si>
  <si>
    <t>https://drive.google.com/open?id=1Zf_aOEmYap3arud3XsITleyUs8vd4UMA</t>
  </si>
  <si>
    <t>ISRAEL</t>
  </si>
  <si>
    <t>A national security doctrine for Israel</t>
  </si>
  <si>
    <t>https://drive.google.com/open?id=1j1TbZXtULZZwHLHfUzd3Tull2QJDxTCV</t>
  </si>
  <si>
    <t>JAPAO</t>
  </si>
  <si>
    <t>Japan's visions for future security and defense capabilities in the new era</t>
  </si>
  <si>
    <t>https://drive.google.com/open?id=1I77jzjgrxmFzfUHLd2FP9AOoZOOMSuUG</t>
  </si>
  <si>
    <t>TAJIQUISTÃO</t>
  </si>
  <si>
    <t>Term expenditure framework for 2011- 2013</t>
  </si>
  <si>
    <t>https://drive.google.com/open?id=1RZk3H7P8mQIX82-Y68kzbgn6kPIiWuFY</t>
  </si>
  <si>
    <t>Perceptions of domain experts on impact of foresight on policy making: the case of Japan</t>
  </si>
  <si>
    <t>https://drive.google.com/open?id=1l84bbNvIzgZmX4XSlrgfs-s7LsnLs8EJ</t>
  </si>
  <si>
    <t>Comprehensive strategy on science, technology and innovation 2014</t>
  </si>
  <si>
    <t>https://drive.google.com/open?id=150ZtAnFCxdtb804HxfQo8_j29f8l92iK</t>
  </si>
  <si>
    <t>PAQUISTAO</t>
  </si>
  <si>
    <t>AFEGANISTAO</t>
  </si>
  <si>
    <t>Afghanistan alternative futures and their implications</t>
  </si>
  <si>
    <t>https://drive.google.com/open?id=1vb827tThc7COdldeaX1p8viUbzWvKTCL</t>
  </si>
  <si>
    <t>NEPAL</t>
  </si>
  <si>
    <t>International response to 2015 Nepal earthquake lessons and observations</t>
  </si>
  <si>
    <t>https://drive.google.com/open?id=1oJx3ucJcjRrB5YdLZrOKmtXTZDJPPdDR</t>
  </si>
  <si>
    <t>National development strategy of the Republic of Tajikistan for the period up to 2030</t>
  </si>
  <si>
    <t>https://drive.google.com/open?id=17_vzcI15R5AvLeBxt5z4pd61EcQ2IsTr</t>
  </si>
  <si>
    <t>Big questions of our time: the world speaks</t>
  </si>
  <si>
    <t>https://drive.google.com/open?id=1oT7Vxb1WZAYHzv1-stCgcH8pA9QAwtiD</t>
  </si>
  <si>
    <t>Technology foresight in India: lessons learnt, lessons yet to learn</t>
  </si>
  <si>
    <t>https://drive.google.com/open?id=1U_Ixlwcma8GIiAARH5lJ7y8TK4seKQgY</t>
  </si>
  <si>
    <t>2012-2013</t>
  </si>
  <si>
    <t>AFEGANISTAO, CHINA, INDIA, PAQUISTAO</t>
  </si>
  <si>
    <t>Regional studies</t>
  </si>
  <si>
    <t>https://drive.google.com/open?id=1O2CEXPSrxykAM1ghJgXPEwcINkJFZe-8</t>
  </si>
  <si>
    <t>DINAMARCA</t>
  </si>
  <si>
    <t>PAISES NORDICOS</t>
  </si>
  <si>
    <t>Technology Foresight in Nordic Countries</t>
  </si>
  <si>
    <t>https://drive.google.com/open?id=1sgxIBehkPGZCojYiCqxLhiRfS70W9AiD</t>
  </si>
  <si>
    <t>Technology Foresight on Danish Nano-science and Nano-technology</t>
  </si>
  <si>
    <t>https://drive.google.com/open?id=1fQFrVMTtQyLUfAvHVZ1WeoBeD6SMYjdQ</t>
  </si>
  <si>
    <t>Danish Defence Global Engagement</t>
  </si>
  <si>
    <t>https://drive.google.com/open?id=1RDvRXr6xJuL8ECvnKY8EIQR0Bg_V47vs</t>
  </si>
  <si>
    <t>Three C2 Models of Military Agility</t>
  </si>
  <si>
    <t>https://drive.google.com/open?id=1jWNywm3JfKgkbRVpaeIIqmEXbd4HIlmz</t>
  </si>
  <si>
    <t>Future Scenarios for Greenland</t>
  </si>
  <si>
    <t>https://drive.google.com/open?id=1MJpIRYxjOzDkFIjhUdZgtIrpb_PhJ8PV</t>
  </si>
  <si>
    <t>DINAMARCA, FINLANDIA, ISLANDIA, NORUEGA, SUECIA</t>
  </si>
  <si>
    <t>Invading Bologna Prospects for Nordic Cooperation on Professional Military Education</t>
  </si>
  <si>
    <t>https://drive.google.com/open?id=1djIDCW5pPCi3whLgRXkQxV9q7vkjyGqp</t>
  </si>
  <si>
    <t>Unmanned and Unarmed: On the Future Use of Unmanned Aerial Systems in the Danish Armed Forces</t>
  </si>
  <si>
    <t>https://drive.google.com/open?id=1aSbrP8VeAjC4FbhNaEeiHR57G9MqdZ0J</t>
  </si>
  <si>
    <t>Danish-German Submarine Cooperation: opportunities and challenges</t>
  </si>
  <si>
    <t>https://drive.google.com/open?id=1CZLyraPARO66E9cIe98XPsP4oJvGqOKG</t>
  </si>
  <si>
    <t>Is Something Resilient in the State of Denmark</t>
  </si>
  <si>
    <t>https://drive.google.com/open?id=192K95bso6_nGhnGqN0XIIstDT6mA-XLz</t>
  </si>
  <si>
    <t>FINLANDIA</t>
  </si>
  <si>
    <t>Personnel Strategy of the Finnish Defence Forces</t>
  </si>
  <si>
    <t>https://drive.google.com/open?id=10MtSNNBVJ9TjdudJ0wym9qyABRvyTTQD</t>
  </si>
  <si>
    <t>Avt on Military Crisis Management</t>
  </si>
  <si>
    <t>https://drive.google.com/open?id=1bFYDthrKC45Hw9iRA32Ewgm5iDHa7Ut5</t>
  </si>
  <si>
    <t>A Unified Effort to Strengthen the Defence of Norway</t>
  </si>
  <si>
    <t>https://drive.google.com/open?id=1UdGMWC2o3aXDKg95ZxCImXAL4zIkcrnz</t>
  </si>
  <si>
    <t>Technology, National Identity and the State</t>
  </si>
  <si>
    <t>https://drive.google.com/open?id=1gifxf9qcT1G57GUFyyLUEwEWwsAz5P3D</t>
  </si>
  <si>
    <t>General Morphological Analysis</t>
  </si>
  <si>
    <t>https://drive.google.com/open?id=1rQDqzzGFNXrw3hCW1J4-NXh0ngixyyZU</t>
  </si>
  <si>
    <t>Technology Forecast 2013</t>
  </si>
  <si>
    <t>https://drive.google.com/open?id=1SKCxXke8uqlB_buCNGpyv1Fw74Ib2uFM</t>
  </si>
  <si>
    <t>Technology Forecast 2014</t>
  </si>
  <si>
    <t>https://drive.google.com/open?id=10s_uL7ljAMSveKrIHlvAPhOWFsS9U5mM</t>
  </si>
  <si>
    <t>The Swedish Armed Forces Sensor Study 2013-2014</t>
  </si>
  <si>
    <t>https://drive.google.com/open?id=1z7HcJMVpi-62a-JvDvrxKkrvZYrKj1Hc</t>
  </si>
  <si>
    <t>Simulation-Based Decision Support for Evaluating Operational Plans</t>
  </si>
  <si>
    <t>https://drive.google.com/open?id=1MXC4C-fvwmR7El1BDHuLzrJm7BmSPgMB</t>
  </si>
  <si>
    <t>Technology Forecast 2015</t>
  </si>
  <si>
    <t>https://drive.google.com/open?id=1JAS410XKz6KSlCUIRKWV-EPdw188tyzR</t>
  </si>
  <si>
    <t>Technology Forecasting for Strategic Planning in Defence</t>
  </si>
  <si>
    <t>https://drive.google.com/open?id=1KxTTdmcqUIb5ub5bMEvXG6FlsV9NPYN6</t>
  </si>
  <si>
    <t>Technology Forecasting in a Dynamic Knowledge Economy</t>
  </si>
  <si>
    <t>https://drive.google.com/open?id=1kRAPteRDO84Y66YCZzHL4vXf8M1o-2Cs</t>
  </si>
  <si>
    <t>Technology Forecasting in the Industry</t>
  </si>
  <si>
    <t>https://drive.google.com/open?id=1tAS5wcb1dZDtgZkR_agH3twP3o5iI1aD</t>
  </si>
  <si>
    <t>Future Air Systems and Technology Opportunities</t>
  </si>
  <si>
    <t>https://drive.google.com/open?id=1HcWUcRjP9Db-SptW5qp1QDGpxsF6sUc_</t>
  </si>
  <si>
    <t>Swedish Air Force Future Operating Environment</t>
  </si>
  <si>
    <t>https://drive.google.com/open?id=1lqvv0Cg7_M7yTmM5a0qMbCSPndDsmZLR</t>
  </si>
  <si>
    <t>Technology Forecast 2016</t>
  </si>
  <si>
    <t>https://drive.google.com/open?id=11TXFL1kqb5Ud5tKhgkSs-2Yo3EgzL-AJ</t>
  </si>
  <si>
    <t>SUECIA, NATO, EUROPA</t>
  </si>
  <si>
    <t>Exploring Future Technology Developmente</t>
  </si>
  <si>
    <t>https://drive.google.com/open?id=10rR4113Gk_RJX86_YckMdMvCTt9htVX7</t>
  </si>
  <si>
    <t>Technology Forecast 2017</t>
  </si>
  <si>
    <t>https://drive.google.com/open?id=1LmZfQJ24eAv5LpWNeTg_mIdUPzkN-88_</t>
  </si>
  <si>
    <t>COMISSÃO EUROPEIA</t>
  </si>
  <si>
    <t>BELGICA, DINAMARCA, FINLANDIA, FRANCA, ALEMANHA, ITALIA, HOLANDA, NORUEGA, ESPANHA REINO UNIDO</t>
  </si>
  <si>
    <t>Mapping Foresight: revealing how europe and other world regions navigate into the future</t>
  </si>
  <si>
    <t>https://drive.google.com/open?id=1x9-bjPJJQPud3gcZnO778PJ34a914e3-</t>
  </si>
  <si>
    <t>EUROPA OCIDENTAL</t>
  </si>
  <si>
    <t>AUSTRALIA, BRASIL, CANADA, CHINA, FINLANDIA, FRANCA, ALEMANHA, INDIA, INDONESIA, ITALIA, JAPAO, MEXICO, HOLANDA, NORUEGA, RUSSIA, SINGAPURA, AFRICA DO SUL, COREIA DO SUL, SUICA, SUECIA, REINO UNIDO, EUA</t>
  </si>
  <si>
    <t>Foresight in governments - Pratices and Trends around the world</t>
  </si>
  <si>
    <t>https://drive.google.com/open?id=1NYV_0u1IpiVCmXVBj8tdYTN62VD9p5Oa</t>
  </si>
  <si>
    <t>UNIAO EUROPEIA</t>
  </si>
  <si>
    <t>Livro branco sobre o futuro da Europa</t>
  </si>
  <si>
    <t>https://drive.google.com/open?id=1qON6rCBmuax3HoRwNCaPmcDAJTR3-i2v</t>
  </si>
  <si>
    <t>Strategic Foresight Analysis</t>
  </si>
  <si>
    <t>https://drive.google.com/open?id=1Xc6K3fFMKR1twKN5DJ7lnLTyMzGfBXTF</t>
  </si>
  <si>
    <t>Strategic Foresight in EU R&amp;I Policy</t>
  </si>
  <si>
    <t>https://drive.google.com/open?id=16FFmDvRcO1OXsN85sXXU1eo_cWNmlzxz</t>
  </si>
  <si>
    <t>Reflection Paper on the future of european defence</t>
  </si>
  <si>
    <t>https://drive.google.com/open?id=1d9EmogM_vIQ0S03yI3VvGHURNSgjNcIK</t>
  </si>
  <si>
    <t>Exploring Europe's capability requirements for 2035 and beyond</t>
  </si>
  <si>
    <t>https://drive.google.com/open?id=1wosWzt7T67t8wu1Q-Pblq0lw6JIy29QF</t>
  </si>
  <si>
    <t>NATO</t>
  </si>
  <si>
    <t>Future Battlefield Rottorcraft Capability: Anno 2035 and beyond</t>
  </si>
  <si>
    <t>https://drive.google.com/open?id=1-xzuO4BxiOHyhCookSqmNcT25F-1xvX7</t>
  </si>
  <si>
    <t>Methods of Future and Scenario Analysis</t>
  </si>
  <si>
    <t>https://drive.google.com/open?id=1TFOlAtj6lYlBLkvXhVS4LOJDS6uoFOga</t>
  </si>
  <si>
    <t>ALEMANHA, RUSSIA</t>
  </si>
  <si>
    <t>Germany and Russia in 2030: Scenarios for a Bilateral Relationship</t>
  </si>
  <si>
    <t>https://drive.google.com/open?id=1V6AM0X8rfF88emTup0WvSZkcEw8zAUQX</t>
  </si>
  <si>
    <t>REINO UNIDO, ALEMANHA, FRANCA</t>
  </si>
  <si>
    <t>The Future of Transatlantic Strategic Superiority - British, German and French Perspectives</t>
  </si>
  <si>
    <t>https://drive.google.com/open?id=1iz4rTvwnuJkfhHX94hwVL5AXNPvXX-op</t>
  </si>
  <si>
    <t>CRN Workshop Report - Civil and Military defence Planning and Scenario Techniques</t>
  </si>
  <si>
    <t>https://drive.google.com/open?id=1Evio65so0V_eOrdGBaibdn8QwTA4pGt_</t>
  </si>
  <si>
    <t>BÉLGICA</t>
  </si>
  <si>
    <t>BELGICA</t>
  </si>
  <si>
    <t>Developing socio-economic scenarios - Exploratory Scenario Approach</t>
  </si>
  <si>
    <t>https://drive.google.com/open?id=1M2AkS4ma2fXrXINDKB72_9uLbQ7BcIyT</t>
  </si>
  <si>
    <t>Foresight as a strategic public management tool: six scenarios for the belgian criminal justice</t>
  </si>
  <si>
    <t>https://drive.google.com/open?id=1qVe1vmG-0mlbXgllRiE5MXak7gbxBR2h</t>
  </si>
  <si>
    <t>BÓSNIA</t>
  </si>
  <si>
    <t>BOSNIA</t>
  </si>
  <si>
    <t>Bósnia And Herzegovina 2025 - Scenarios on future developments</t>
  </si>
  <si>
    <t>https://drive.google.com/open?id=1I3tM0HbYEk21PUEdX_8UZVo8TQs1n9uU</t>
  </si>
  <si>
    <t>CROÁCIA</t>
  </si>
  <si>
    <t>CROACIA</t>
  </si>
  <si>
    <t>The Croatian Armed Forces Long-Term Development Plan</t>
  </si>
  <si>
    <t>https://drive.google.com/open?id=1Gb8y6EkMhrveVrVTDARX4lyfKP0PDPIK</t>
  </si>
  <si>
    <t>Sem data</t>
  </si>
  <si>
    <t>ESLOVÊNIA</t>
  </si>
  <si>
    <t>ESLOVENIA</t>
  </si>
  <si>
    <t>Development Scenarios for Slovenia to 2035: Trends and opportunities in times of climate change</t>
  </si>
  <si>
    <t>https://drive.google.com/open?id=1EVbqfgEyUe0wGCVPs6BTjMcqc1ADb8Tl</t>
  </si>
  <si>
    <t>ESPANHA</t>
  </si>
  <si>
    <t>Prospectiva de seguridade y Defensa: viabilidade de uma unidad de prospectiva em el CESDEN</t>
  </si>
  <si>
    <t>https://drive.google.com/open?id=1SyQ7qTcA51-lKHNo36BT8IF9zegRq5sL</t>
  </si>
  <si>
    <t>La técnica de contrucción y análisis de escenarios em los estúdios de Seguridad y Defensa</t>
  </si>
  <si>
    <t>https://drive.google.com/open?id=13zchSG5hA3yS-Z3xh5379G6XpT7aBUeq</t>
  </si>
  <si>
    <t>Catalonia-Spain Endgame Scenarios 2017</t>
  </si>
  <si>
    <t>Grandes tendencias políticas y sociales de interés para la Seguridad y la Defensa</t>
  </si>
  <si>
    <t>https://drive.google.com/open?id=15WDesv7mvcrLZ0OWzshdZ9v4OYVLEpCK</t>
  </si>
  <si>
    <t>France 2025 Diagnostique Stratégique: Dix défis pour la France</t>
  </si>
  <si>
    <t>https://drive.google.com/open?id=1tUuW3Xcr2GUrHyZtWAQ--7Rx3vOUU0sU</t>
  </si>
  <si>
    <t>France's Landforces 2025: a Futures Study in Human Resources</t>
  </si>
  <si>
    <t>https://drive.google.com/open?id=17eM1NRYek38jCyvlQOTxr8b9XrlAiLBy</t>
  </si>
  <si>
    <t>The Future of Transatlantic Strategic Superiority - a French Perspective</t>
  </si>
  <si>
    <t>https://drive.google.com/open?id=1GxA7YL3eZKrr0EgqXrqKWfgJFtlNhlEq</t>
  </si>
  <si>
    <t>A new foundation for the Armed Forces of the Netherlands</t>
  </si>
  <si>
    <t>https://drive.google.com/open?id=1CM-6yDpxX4W3otaWDE3DGi56JbyHEujn</t>
  </si>
  <si>
    <t>ITÁLIA</t>
  </si>
  <si>
    <t>Italy and agenda 2030 at a glance</t>
  </si>
  <si>
    <t>https://drive.google.com/open?id=1KExL98yTNFu-wEcqtihVGHhhaif8E4zC</t>
  </si>
  <si>
    <t>LUXEMBURGO</t>
  </si>
  <si>
    <t>Foresight for science and technology priority setting in a small country: the case of Luxembourg</t>
  </si>
  <si>
    <t>https://drive.google.com/open?id=1CHaqQDQFouuXmv4RUtNwzsrBCUgHeypB</t>
  </si>
  <si>
    <t>Luxembourg Defence Guidelines for 2025 and Beyond</t>
  </si>
  <si>
    <t>https://drive.google.com/open?id=1p33rf8aW7Ou1qGhTvPgveK_1EcJIKYrY</t>
  </si>
  <si>
    <t>MONTENEGRO</t>
  </si>
  <si>
    <t>Energy Development Strategy of Montenegro by 2025</t>
  </si>
  <si>
    <t>https://drive.google.com/open?id=1cSP8N95Avc5R6-Q97M5M3sEOGcXAuBWj</t>
  </si>
  <si>
    <t>Hack to the Future (jogo)</t>
  </si>
  <si>
    <t>https://issuu.com/un_montenegro/docs/mne_new_voices_pub_report_3.0</t>
  </si>
  <si>
    <t>Texto de Apoio sobre método dos cenários</t>
  </si>
  <si>
    <t>https://drive.google.com/open?id=1utEQaNqwIrmyB_Iq-81AYe73UVuGKbkn</t>
  </si>
  <si>
    <t>Methods used in future technology Analysis and its selection</t>
  </si>
  <si>
    <t>https://drive.google.com/open?id=1dUtFfVPuLqb_Djkw6CW5xKYgk_UqB09_</t>
  </si>
  <si>
    <t>https://drive.google.com/open?id=192gN5rweAKBY7zJkhp713q8c8VrNTElW</t>
  </si>
  <si>
    <t>SUICA</t>
  </si>
  <si>
    <t>Defence Future Technologies: what we see on the horizon (vision 2037)</t>
  </si>
  <si>
    <t>https://drive.google.com/open?id=1gqfOlLGaW8axb1dVKdec-VpdBD7BOBbW</t>
  </si>
  <si>
    <t>LESTE EUROPEU</t>
  </si>
  <si>
    <t>Assessing the trajectory of West-Russia relations in Eastern Europe: gauging three potential scenarios</t>
  </si>
  <si>
    <t>https://drive.google.com/open?id=1dcGSjIFm2a5-KC54T0o3D0MmarzHd1PW</t>
  </si>
  <si>
    <t>NATO strategic foresight analysis - 2017 report</t>
  </si>
  <si>
    <t>https://drive.google.com/open?id=1nXOE02FbYUXnTeksqRu-UpOplvmn-ecw</t>
  </si>
  <si>
    <t>EUROPA</t>
  </si>
  <si>
    <t>SUDESTE EUROPEU</t>
  </si>
  <si>
    <t>Energy scenarios for Europe: a close look into the Western Balkans</t>
  </si>
  <si>
    <t>https://drive.google.com/open?id=169jWqiNhAhKKSYCPYftG57LeYN23poet</t>
  </si>
  <si>
    <t>Reinforcing deterrence on NATO's Eastern flank</t>
  </si>
  <si>
    <t>https://drive.google.com/open?id=1sP96kE2GaO0dBiGSLHMTjYFgoPlKGt-r</t>
  </si>
  <si>
    <t>CROACIA, AUSTRIA, ESLOVENIA, UNIAO EUROPEIA</t>
  </si>
  <si>
    <t>Racviac - centre for security cooperation compendium</t>
  </si>
  <si>
    <t>https://drive.google.com/open?id=1wUALxWqhAvoZkDFyIGSOPPljJ3qYm3zC</t>
  </si>
  <si>
    <t>A Scenario Planning approach for disaster on Swiss road network</t>
  </si>
  <si>
    <t>https://drive.google.com/open?id=1IE00u7LbaEthxAUgEM8q-LJJZUFgus_-</t>
  </si>
  <si>
    <t>Work program 2013</t>
  </si>
  <si>
    <t>https://drive.google.com/open?id=1G6VjX91vVQQC_rvknnIJ0eL-hYt1JXZS</t>
  </si>
  <si>
    <t>NATO and the military industrial complex</t>
  </si>
  <si>
    <t>https://drive.google.com/open?id=1t1MGi_wucnEQdvQf6fUkse4T4Apwqeok</t>
  </si>
  <si>
    <t>BALCANS</t>
  </si>
  <si>
    <t>Balkan futures - three scenarios for 2025</t>
  </si>
  <si>
    <t>https://drive.google.com/open?id=1MC36ZSMV2VhfbJOvebNMRkS7Uu8tuBWo</t>
  </si>
  <si>
    <t>RUSSIA, BALCANS</t>
  </si>
  <si>
    <t>Fighting Russia? Modeling the Baltic scenarios</t>
  </si>
  <si>
    <t>https://drive.google.com/open?id=1T7mOQOGOGwCtnMILtmZYYCJ_Ufg-jn4u</t>
  </si>
  <si>
    <t>POLONIA, EUROPA</t>
  </si>
  <si>
    <t>Poland and European defence integration</t>
  </si>
  <si>
    <t>https://drive.google.com/open?id=18_xsHIp7VzGCu9xvHR8_CDIdoZPqq8nB</t>
  </si>
  <si>
    <t>Preparatory action on defence research</t>
  </si>
  <si>
    <t>https://drive.google.com/open?id=1K4l-BWvVELrJ925ickZefvHbdeAjjJcE</t>
  </si>
  <si>
    <t>SUDESTE EUROPEU, EUROPA CENTRAL</t>
  </si>
  <si>
    <t>Questioning the “sanctity” of long-term defense planning aspracticed in Central and Eastern Europe</t>
  </si>
  <si>
    <t>https://drive.google.com/open?id=1SR0boV811TjOWO2CN-rPQokkqr9iiNs7</t>
  </si>
  <si>
    <t>BIELORÚSSIA</t>
  </si>
  <si>
    <t>BIELORUSSIA</t>
  </si>
  <si>
    <t>National strategy of sustainable social &amp; economic development: 2030 at a glance</t>
  </si>
  <si>
    <t>https://drive.google.com/open?id=1AURq_2htKIlptF2HRB5VFqomrrIhxXKp</t>
  </si>
  <si>
    <t>Regional cooperation council strategy and work programme 2014-2916</t>
  </si>
  <si>
    <t>https://drive.google.com/open?id=1H9sNg2-YF-b8r7YQNTMk1hDI5gII0k_T</t>
  </si>
  <si>
    <t>Strategic defence review</t>
  </si>
  <si>
    <t>https://drive.google.com/open?id=17sT7LI_SyK1Rc84QJPEDblDsZJFPgAmK</t>
  </si>
  <si>
    <t>The Republic of Croatia national security strategy</t>
  </si>
  <si>
    <t>https://drive.google.com/open?id=1snU1rcc1qWYWap3mwM6EtLeVI3uoCvec</t>
  </si>
  <si>
    <t>ESLOVAQUIA</t>
  </si>
  <si>
    <t>Revisiting scenarios for Europe: Central and Eastern European perspectives</t>
  </si>
  <si>
    <t>https://drive.google.com/open?id=1_WsNqQ89sKGXC8zZOEiR7r_b2tvBVYSo</t>
  </si>
  <si>
    <t>GEORGIA</t>
  </si>
  <si>
    <t>Georgia: Georgian national military strategy</t>
  </si>
  <si>
    <t>https://drive.google.com/open?id=1AORnymeyKtFU-HmH64ly8Mh7cCybPhIX</t>
  </si>
  <si>
    <t>Strategic defence review - 2017-2020</t>
  </si>
  <si>
    <t>https://drive.google.com/open?id=1hMQGBSr13vxtzXWhheXctKZzKq34kZSZ</t>
  </si>
  <si>
    <t>The use and utility of strategic foresight in security and defense planning</t>
  </si>
  <si>
    <t>https://drive.google.com/open?id=1qcqevN0IlgtPGGdGYW5CgeJnvi0m4FXq</t>
  </si>
  <si>
    <t>HUNGRIA</t>
  </si>
  <si>
    <t>Strategic foresight process - improvements for the Hungarian ministry of defense</t>
  </si>
  <si>
    <t>https://drive.google.com/open?id=1849VagqOWFtPO7HgvNkoYRJ9oWaUyx1k</t>
  </si>
  <si>
    <t>KOSOVO</t>
  </si>
  <si>
    <t>What next for Kosovo security sector: KSF an army or not?</t>
  </si>
  <si>
    <t>https://drive.google.com/open?id=1pkHspvS4dpGt-Zr_tMkTcHohUpvIjbFE</t>
  </si>
  <si>
    <t>LITUÂNIA</t>
  </si>
  <si>
    <t>LITUANIA</t>
  </si>
  <si>
    <t>Lithuanian defence system: facts and trends</t>
  </si>
  <si>
    <t>https://drive.google.com/open?id=1a6ugF9WIZyoD-B79cL8cRx0z6HrLUD_0</t>
  </si>
  <si>
    <t>RUSSIA</t>
  </si>
  <si>
    <t>URSS</t>
  </si>
  <si>
    <t>The methodology of foresight and forecasting in Soviet military affairs</t>
  </si>
  <si>
    <t>https://drive.google.com/open?id=1Vc5LYqK2lbHJPYHeTqLphd2L1cb0-ZvK</t>
  </si>
  <si>
    <t>MOLDAVIA</t>
  </si>
  <si>
    <t>Prospects for Moldova’s cooperation within the common security and defence policy</t>
  </si>
  <si>
    <t>https://drive.google.com/open?id=16nY9Ifvz0JAtVhIpXlChT1UBFoB37kvz</t>
  </si>
  <si>
    <t>Five scenarios for 2050</t>
  </si>
  <si>
    <t>https://drive.google.com/open?id=11PonysNCahMel-_Rqkg79EecDlJ5BjYm</t>
  </si>
  <si>
    <t>Russian strategies in the artic: avoiding a new Cold War</t>
  </si>
  <si>
    <t>https://drive.google.com/open?id=1HxbOlDPXaJ_PQLcTthwnQwx5ohurknA4</t>
  </si>
  <si>
    <t>SERVIA</t>
  </si>
  <si>
    <t>Developing future scenarios of demographic, migratory and labour market</t>
  </si>
  <si>
    <t>https://drive.google.com/open?id=1aJdB1WHxJzXqfX4frkxXoGPD7TvLnKsg</t>
  </si>
  <si>
    <t>REPUBLICA TCHECA</t>
  </si>
  <si>
    <t>Long term perspective for 2030</t>
  </si>
  <si>
    <t>https://drive.google.com/open?id=1WL8x6PuW2xl5RjntQ_E6WdyUtH1zrkG-</t>
  </si>
  <si>
    <t>RÚSSIA</t>
  </si>
  <si>
    <t>Getting Gerasimov right</t>
  </si>
  <si>
    <t>https://drive.google.com/open?id=1U0yVM-obXGGsIn_e-H4BWXu7EZzwKhKQ</t>
  </si>
  <si>
    <t>Russian futures: horizon 2025</t>
  </si>
  <si>
    <t>https://drive.google.com/open?id=1BXcanyHK0-NeX-uopfo2AYL6RuBDmXvJ</t>
  </si>
  <si>
    <t>POLONIA</t>
  </si>
  <si>
    <t>The Kyviv uprising scenario</t>
  </si>
  <si>
    <t>https://drive.google.com/open?id=1y5FrEiS2l2FqT93zERR7NseS18wTqlDs</t>
  </si>
  <si>
    <t>Russia military power - building a military to support great power aspirations</t>
  </si>
  <si>
    <t>https://drive.google.com/open?id=1rQQCiq9LUoqvC8xFR5SBY2up2rucNqbv</t>
  </si>
  <si>
    <t>ROMENIA</t>
  </si>
  <si>
    <t>EUROPA CENTRAL, LESTE EUROPEU</t>
  </si>
  <si>
    <t>The impact of Brexit on Central and Eastern European security</t>
  </si>
  <si>
    <t>https://drive.google.com/open?id=1G5OVebjWdax_DI2m9hPFyEQrj-w7cKQn</t>
  </si>
  <si>
    <t>Prospective strategy for Baltic defense - the Russian public and war termination in Baltic States</t>
  </si>
  <si>
    <t>https://drive.google.com/open?id=1I65rNgQ_ZgB6YSoGWm3UZuR1LHUPcYPJ</t>
  </si>
  <si>
    <t>EUA, NATO, POLONIA</t>
  </si>
  <si>
    <t>US permanent military base in Poland: favorable solution for the NATO alliance</t>
  </si>
  <si>
    <t>https://drive.google.com/open?id=1K_tGdwgHGHn91wxWBKvRjZW_pg164XWT</t>
  </si>
  <si>
    <t>xxxx</t>
  </si>
  <si>
    <t>The world 2030</t>
  </si>
  <si>
    <t>https://drive.google.com/open?id=1sVwx-vuT2qrLT_U99rsB-f562NOF8sF3</t>
  </si>
  <si>
    <t>Military strategy of Romania</t>
  </si>
  <si>
    <t>https://drive.google.com/open?id=1HpRhPiQQPm3f8w1b3yWIt0Y6ijv_Hi6H</t>
  </si>
  <si>
    <t>SUDESTE ASIATICO</t>
  </si>
  <si>
    <t>Naval Cooperation and Coalition Building in Southeast Asia and the Southweast Pacific: Status and Prospects (Working Paper 7)</t>
  </si>
  <si>
    <t>https://drive.google.com/open?id=1bnKm7_QfE1IO01M_dT5Q7YgV19AO7d6y</t>
  </si>
  <si>
    <t>PACÍFICO ASIATICO</t>
  </si>
  <si>
    <t>Seaborne trade flows in the asia pacific: present and future trends (woring paper 9)</t>
  </si>
  <si>
    <t>https://drive.google.com/open?id=1ZAeJe6ZkT6cyijOMt2EtD2DOCLCoXitW</t>
  </si>
  <si>
    <t>AUSTRALIA</t>
  </si>
  <si>
    <t>Future Conflicts and its implications for personal in the Australian Defence Force</t>
  </si>
  <si>
    <t>https://drive.google.com/open?id=1UdhxAh0wW14QeVlswc2esjOwRBrHrctl</t>
  </si>
  <si>
    <t>Impact of geopolitical and security environment in 2020 on Southeast Asian Armies: Forging cooperative security</t>
  </si>
  <si>
    <t>https://drive.google.com/open?id=1n20PZLKex0TXBt6U2Jimp9s3e6b9I9ax</t>
  </si>
  <si>
    <t>The Nature of Future Conflict and the Implications for ADF interoperability: building the future phalanx</t>
  </si>
  <si>
    <t>https://drive.google.com/open?id=1Nscq7asecjxyosN5csqLmYF6SepvDT3L</t>
  </si>
  <si>
    <t>Future Maritime Operating Concept - 2015: Maritime Force Projection And Control</t>
  </si>
  <si>
    <t>https://drive.google.com/open?id=1I2QAMdnjbQytDP68d5FVXjx7t9s0LIZx</t>
  </si>
  <si>
    <t>DIVERSOS</t>
  </si>
  <si>
    <t>The Dynamics Of Global Water Futures: Driving Forces 2011-2050</t>
  </si>
  <si>
    <t>https://drive.google.com/open?id=1WJVZtNzEOR0Q_sVbwjs0RRz4p0kNgNy-</t>
  </si>
  <si>
    <t>Adaptive Campaigning – Army’s Future Land Operating Concept</t>
  </si>
  <si>
    <t>https://drive.google.com/open?id=1mEF1CvUFJrOV1kFMN5YMfWhL9vW6-g7b</t>
  </si>
  <si>
    <t>Welcome To The Future, Drivers And Trends That Will Shape Australia</t>
  </si>
  <si>
    <t>https://drive.google.com/open?id=1LwuS9zrkKaI4vQMh-ZUoeNqbdzjPV-fk</t>
  </si>
  <si>
    <t>Cyber 2020 Vision: Dsto Cyber Science And Technology Plan</t>
  </si>
  <si>
    <t>https://drive.google.com/open?id=1QeIbeyhjLVTH8L2A0IA2CFkxEZokMOjB</t>
  </si>
  <si>
    <t>Defence Challenges 2035: Securing Australia's Lifelines</t>
  </si>
  <si>
    <t>https://drive.google.com/open?id=18zEAMYEGYTRzvV6oyC4Pnpx5h_KQdXYg</t>
  </si>
  <si>
    <t>Forward 2035: Dsto Foresight Study</t>
  </si>
  <si>
    <t>https://drive.google.com/open?id=11ChyvaRM_daedGO-JvH9P54B2GBI2Syf</t>
  </si>
  <si>
    <t>Future Cyber Security Landscape: A Perspective On The Future</t>
  </si>
  <si>
    <t>https://drive.google.com/open?id=1lemg05C1D_0JYQ8ehiWc5EeY_TpdywxY</t>
  </si>
  <si>
    <t>Future Land Warfare Report</t>
  </si>
  <si>
    <t>https://drive.google.com/open?id=1qNmOGUZx2nUABA45wYT5O5Z0XFulkExX</t>
  </si>
  <si>
    <t>Future Operating Environment: 2035</t>
  </si>
  <si>
    <t>https://drive.google.com/open?id=1WG0VaPzYTh1Y-XeTXhncgcDS-daVzR1Y</t>
  </si>
  <si>
    <t>AUSTRALIA, NOVA ZELANDIA</t>
  </si>
  <si>
    <t>Future Proofing Australia-New Zealand Defence Relations</t>
  </si>
  <si>
    <t>https://drive.google.com/open?id=1upAFXCQuie1EwoQzPgumwOSekTDmzDwp</t>
  </si>
  <si>
    <t>UCRANIA</t>
  </si>
  <si>
    <t>Foresight Ukarine: four scenarios for the development of Ukraine</t>
  </si>
  <si>
    <t>https://drive.google.com/open?id=1FDq8vfEdTAKoBU07AWlo8I4vEZb0XkhX</t>
  </si>
  <si>
    <t>Strategic Foresight For Regional Austrália</t>
  </si>
  <si>
    <t>https://drive.google.com/open?id=1LfJuGSFUBf5TjXJF1CkaC31ofUv6UDAt</t>
  </si>
  <si>
    <t>Advanced Materials And Manufacturing: Implications For Defence To 2040</t>
  </si>
  <si>
    <t>https://drive.google.com/open?id=1cbBr8zyotv3gvQNHvF5qbWSsZGUYLsrC</t>
  </si>
  <si>
    <t>Australia’s Cybersecurity Future(S), It’s January 2024. Does Australia Still Have The Internet?</t>
  </si>
  <si>
    <t>https://drive.google.com/open?id=1oh9FWSFQQ1IyF-AKM-4mNXXE7eIQpovg</t>
  </si>
  <si>
    <t>Tomorrow's Wars: Insights From Our Four Alternative Futures</t>
  </si>
  <si>
    <t>https://drive.google.com/open?id=1Q771to9REX-t2i6gV-_rgdBsIAW5m7S3</t>
  </si>
  <si>
    <t>NAURU</t>
  </si>
  <si>
    <t>Nauru National Sustainable Development Strategy 2005 - 2025</t>
  </si>
  <si>
    <t>https://drive.google.com/open?id=1eJkWSXArPl9LDhfUw438aVuJJ-5yicni</t>
  </si>
  <si>
    <t>NOVA ZELÂNDIA</t>
  </si>
  <si>
    <t>NOVA ZELANDIA</t>
  </si>
  <si>
    <t>Defence Assessment 2014</t>
  </si>
  <si>
    <t>https://drive.google.com/open?id=1-5jQ6zEDEqTurqgb-FAiT31WvsheaeXI</t>
  </si>
  <si>
    <t>The 2050 Challenge Future Proofing Our Communities</t>
  </si>
  <si>
    <t>https://drive.google.com/open?id=13CWcUrUPI5gr1Fd3VWaLO5_EkMV1k-86</t>
  </si>
  <si>
    <t>Four Possible Futures For New Zealand In 2058 (Project 2058, Report 6)</t>
  </si>
  <si>
    <t>https://drive.google.com/open?id=1GPoYKkOBi3VHBHQFBw3o5mFJkyzzMErx</t>
  </si>
  <si>
    <t>Future Land Operating Concept 2035: Integrated Land Missions</t>
  </si>
  <si>
    <t>https://drive.google.com/open?id=1rfq7n8CnWaEYWr7iXIWGSo5BNM2hELAR</t>
  </si>
  <si>
    <t>Royal New Zealand Navy Plan 2017-2025</t>
  </si>
  <si>
    <t>https://drive.google.com/open?id=1q6tlN22XYheY7meZf3JvjPXP99ZMAIaa</t>
  </si>
  <si>
    <t>Strategic Defence Policy Statement 2018</t>
  </si>
  <si>
    <t>https://drive.google.com/open?id=1BOVXSM6EZZAMUetQm3D_NPJFAt_MOTJ0</t>
  </si>
  <si>
    <t>The Climate Crisis: Defence Readiness And Responsabilities</t>
  </si>
  <si>
    <t>https://drive.google.com/open?id=1XnCGox7vHSjqYCJecqfRljm02mVBXye9</t>
  </si>
  <si>
    <t>FORECASTING FUTURE WAR</t>
  </si>
  <si>
    <t>https://drive.google.com/open?id=1CTgO25YVE9oL5NBvoMbDpeP2uT44F32X</t>
  </si>
  <si>
    <t>BULGARIA, ROMENIA, CHIPRE, REPUBLICA TCHECA, ESTONIA, HUNGRIA, LETONIA, LITUANIA, MALTA, POLONIA, ESLOVAQUIA, ESLOVENIA</t>
  </si>
  <si>
    <t>LONG-TERM INTERNATIONAL MIGRATION SCENARIOS FOR THE NEW EU MEMBER</t>
  </si>
  <si>
    <t>https://drive.google.com/open?id=1BB7kxCfBm5I9xyYSo-aSrZyPqqsr8WWJ</t>
  </si>
  <si>
    <t>EUROPEAN FORESIGHT MONITORING NETWORK</t>
  </si>
  <si>
    <t>https://drive.google.com/open?id=1BCXcffnFG3crmeiSQiMssQpdXZ5lE3OX</t>
  </si>
  <si>
    <t>SÉRVIA</t>
  </si>
  <si>
    <t>WHITE PAPER ON DEFENCE OF THE REPUBLIC OF SERVIA</t>
  </si>
  <si>
    <t>https://drive.google.com/open?id=1zGost6SFo9zsdjm9HweLNwQFafUtxurt</t>
  </si>
  <si>
    <t>THE BLUE PEACE</t>
  </si>
  <si>
    <t>https://drive.google.com/open?id=1grVTbombPdYn7IqtWb8b9t-OnYYKJqXY</t>
  </si>
  <si>
    <t>UNIÃO EUROPEIA</t>
  </si>
  <si>
    <t>STRATEGIC FORESIGHT AND THE EU</t>
  </si>
  <si>
    <t>https://drive.google.com/open?id=1LkKjvqGWY0ci1wuHoLCpaFInEPtty9Ri</t>
  </si>
  <si>
    <t>RUSSIAN MILITARY STRATEGY</t>
  </si>
  <si>
    <t>https://drive.google.com/open?id=169FRV7GTDExPHJogxp39lqUQoh-IraIt</t>
  </si>
  <si>
    <t>RUSSIAN MILITARY CAPABILITY IN A TEN-YEAR PERSPECTIVE</t>
  </si>
  <si>
    <t>https://drive.google.com/open?id=1_49TMknsicysfxcCNStGUz6PMGdNaLxo</t>
  </si>
  <si>
    <t>THE FUTURE OF THE EU</t>
  </si>
  <si>
    <t>https://drive.google.com/open?id=1HHqTxncUHZoj_7kNOP7aKiqwSQgTsLOD</t>
  </si>
  <si>
    <t>EUROPA CENTRAL</t>
  </si>
  <si>
    <t>CENTRAL EUROPE FUTURE FIVE SCENARIOS FOR 2025</t>
  </si>
  <si>
    <t>https://drive.google.com/open?id=1WgQgEFY-7BILWzuFfASRKTVrQM93hcih</t>
  </si>
  <si>
    <t>NAVIGATING BETWEEN BLACK SWANS, BUTTERFLIES AND ELEPHANTS</t>
  </si>
  <si>
    <t>https://drive.google.com/open?id=1-Z29y6aVISeivKMQnewqzDdtgeRYSIfT</t>
  </si>
  <si>
    <t>POLÔNIA</t>
  </si>
  <si>
    <t>PREPARING FOR THE WORST – POLANDS MILITARY MODERNIZATION</t>
  </si>
  <si>
    <t>https://drive.google.com/open?id=1jUJs21T0-g7ObSUPGaUqhkr5DnaqQhqC</t>
  </si>
  <si>
    <t>BALTIC SECURITY NET ASSESSMENT</t>
  </si>
  <si>
    <t>https://drive.google.com/open?id=1E5AZ8lZTXXquAHp9HLARigIU-9KDB92h</t>
  </si>
  <si>
    <t>ESTONIA</t>
  </si>
  <si>
    <t>NATIONAL DEFENCE ESTRATEGY ESTONIA</t>
  </si>
  <si>
    <t>https://drive.google.com/open?id=1CAeQV8DztzbkPePx_pO_nJEqltwd1RIH</t>
  </si>
  <si>
    <t>GLOBAL OUTLOOK 2013</t>
  </si>
  <si>
    <t>https://drive.google.com/open?id=1-ueg-sDhW3Vpzw9rHbBS8Q7LW44X4K8W</t>
  </si>
  <si>
    <t>ENERGY SCENARIOS FOR SE EUROPE: A CLOSE LOOK INTO THE WESTERN BALKANS</t>
  </si>
  <si>
    <t>https://drive.google.com/open?id=1E2gaKIegfx_zrBdxY3heYfqE4jCEhYTU</t>
  </si>
  <si>
    <t>U.S. PERMANENT MILITARY BASE IN POLAND: FAVORABLE SOLUTION FOR THE NATO ALLIANCE</t>
  </si>
  <si>
    <t>https://drive.google.com/open?id=14wIA1TZycOVQngCgqOorj1GYuzCNm5I6</t>
  </si>
  <si>
    <t>LETONIA</t>
  </si>
  <si>
    <t>RUSSIA, LETONIA</t>
  </si>
  <si>
    <t>POSSIBLE SCENARIOS OF RUSSIAN INTERVENTION IN LATVIA</t>
  </si>
  <si>
    <t>https://drive.google.com/open?id=1W-fCDwB7AK11ySL4pvQwR1eItO5rtG9v</t>
  </si>
  <si>
    <t>THE SHAPING OF EASTERN EUROPE: ALTERNATIVES PRIORITIES AND OUTCOMES</t>
  </si>
  <si>
    <t>https://drive.google.com/open?id=1TjmKknAisa_Fn-Z9PTSoQ2fw65diEoV_</t>
  </si>
  <si>
    <t>DEVELOPMENT OF THE CROATIAN NATIONAL SECURYTI STRATEGY</t>
  </si>
  <si>
    <t>https://drive.google.com/open?id=1GvB9Fecsx2wUUdUbnUFAepqr5SpAaCuz</t>
  </si>
  <si>
    <t>TAJIQUISTAO</t>
  </si>
  <si>
    <t>TAJIKISTAN’S FOREIGN POLICY DURING INDEPENDENCE</t>
  </si>
  <si>
    <t>https://drive.google.com/open?id=1yvtYS9to6lNz5-ur7RqtrcMAdznEq5uc</t>
  </si>
  <si>
    <t>TURQUIA</t>
  </si>
  <si>
    <t>FORMATION OF OPERATION SCRIPT BY MEANS OF STRATEGIC FORESIGHT IN THE LIGHT OF INTERNATIONAL RELATIONS THEORIES</t>
  </si>
  <si>
    <t>https://drive.google.com/open?id=1V94tkwUIhLRoiQhMecvGwr4f9bZdSJjq</t>
  </si>
  <si>
    <t>REINO UNIDO, JAPAO, COREIA DO SUL</t>
  </si>
  <si>
    <t>TECHNOLOGY FORESIGHT AND ITS IMPLEMENTATION STRATEGY</t>
  </si>
  <si>
    <t>https://drive.google.com/open?id=1ncWFk7x8iy7_jXPWuW_kUjwA1Z7H9CD5</t>
  </si>
  <si>
    <t>TECHNOLOGY FORESIGHT ON CHINA’S ENGINEERING SCIENCE AND TECHNOLOGY TO 2035</t>
  </si>
  <si>
    <t>https://drive.google.com/open?id=1uTdNr4FVypnHbt_8y8B5v8tvl2J2uQAa</t>
  </si>
  <si>
    <t>TAILANDIA</t>
  </si>
  <si>
    <t>FORESIGHT ELEARNING PLATFORMS: INSIGHTS FROM A THAI SURVEY</t>
  </si>
  <si>
    <t>https://drive.google.com/open?id=1IDXukcwNZ8Y830agDjDqF1MvLn0YFi2d</t>
  </si>
  <si>
    <t>CHARGING A GRAND STRATEFY FOR THE STATE OF ISRAEL</t>
  </si>
  <si>
    <t>https://drive.google.com/open?id=13K68HFNvArdFtn93d6iDpdNT9Y05dnDP</t>
  </si>
  <si>
    <t>COREIA DO NORTE</t>
  </si>
  <si>
    <t>NORTH KOREA'S LAUNCH OF A BALLISTIC MISSILE WHICH WAS DISGUIDED AS A SATELITE ON FEBRUARY 7 2016, 2016</t>
  </si>
  <si>
    <t>https://drive.google.com/open?id=1JOFPQHGZpX30hzCN4nWmfn8IvU3I6jPN</t>
  </si>
  <si>
    <t>SECTION 3. GAINING THE TRUST OF JAPANESE CITIZENS</t>
  </si>
  <si>
    <t>https://drive.google.com/open?id=1GFH4lZqB6O69tZqmESzeR7jWp3G3gIKG</t>
  </si>
  <si>
    <t>STABLE USE OF GLOBAL COMMONS (OUTER SPACE, CIBERSPACE, AND OCEANS)</t>
  </si>
  <si>
    <t>https://drive.google.com/open?id=1jO3fqmOHkqoexbSYOzKCGjL6laIWgOhm</t>
  </si>
  <si>
    <t>EUA, NATO, AUSTRALIA, REINO UNIDO, COREIA DO SUL</t>
  </si>
  <si>
    <t>TRENDS CONCERNING CYBERSPACE</t>
  </si>
  <si>
    <t>https://drive.google.com/open?id=1XTaiweACAlEuEJ0v5Xtu2L2wI-xIquTf</t>
  </si>
  <si>
    <t>SINGAPURA</t>
  </si>
  <si>
    <t>FINLANDIA, SINGAPURA, UNIAO EUROPEIA</t>
  </si>
  <si>
    <t>PRACTISING STRATEGIC FORESIGHT IN GOVERNMENT</t>
  </si>
  <si>
    <t>https://drive.google.com/open?id=1CWHQn3-zuc8__IUw9Km51zgZ8URuyQRx</t>
  </si>
  <si>
    <t>PALESTINA, ISRAEL</t>
  </si>
  <si>
    <t>FORESIGHT ANALYSIS: PALESTINE: TWO UPCOMING STRATEGIC ISRAELI MOVES</t>
  </si>
  <si>
    <t>https://drive.google.com/open?id=10WYfgObyW5L9KyD9NtoSYZgzNlFvFO6v</t>
  </si>
  <si>
    <t>2015-2016</t>
  </si>
  <si>
    <t>ANNUAL REPORT YEAR 2015-2016</t>
  </si>
  <si>
    <t>https://drive.google.com/open?id=1Snd5vD6umj1LKYl9YS1caTUDI99RFOyW</t>
  </si>
  <si>
    <t>PROSPECTIVA ESTRATEGICA APLICADA</t>
  </si>
  <si>
    <t>https://drive.google.com/open?id=1P8ffwwLyGCiSyOJ5sFYQR9G9GVnrd7C2</t>
  </si>
  <si>
    <t>MEMORIAL DEL EJERCITO</t>
  </si>
  <si>
    <t>https://drive.google.com/open?id=14UkSxlU156XsJomxhGiRiR3wQ1DTxbyd</t>
  </si>
  <si>
    <t>ESTRATEGIA NACIONAL DE DESARROLLO 2010-2030</t>
  </si>
  <si>
    <t>https://drive.google.com/open?id=1D4TorK3CshIUJskRWHPI0rCYKaNX2iYO</t>
  </si>
  <si>
    <t>ESTUDIO PROSPECTIVO DEL SECTOR DE ENERGIA</t>
  </si>
  <si>
    <t>https://drive.google.com/open?id=1RyuuERk9psmMjfuo-iaJqcqmkfL3d7-Q</t>
  </si>
  <si>
    <t>POLÍTICA DE RELACIONES EXERIORES PLAN ESTRATEGICO 2015-2020</t>
  </si>
  <si>
    <t>https://drive.google.com/open?id=15BB9DHFQxS3JWyPr2hsNkcoc1V96KYGE</t>
  </si>
  <si>
    <t>REPUBLICA DOMINICANA/AMERICA DO SUL</t>
  </si>
  <si>
    <t>LA REPÚBLICA DOMINICANA EN 2030: HACIA UNA NACIÓN COHESIONADA</t>
  </si>
  <si>
    <t>https://drive.google.com/open?id=1EGGDN1nFAjNOhMalaHUSLOfeTQ3P7vSk</t>
  </si>
  <si>
    <t>PROSPECTIVA 2000</t>
  </si>
  <si>
    <t>https://drive.google.com/open?id=1oaQQqqQAcncV0ypSlOu_rM50udy-gBvF</t>
  </si>
  <si>
    <t>PROSPECTIVA 2002</t>
  </si>
  <si>
    <t>https://drive.google.com/open?id=1itR3x_yu-466Wgq6wDbMsgNjLCXPj2R2</t>
  </si>
  <si>
    <t>HONDURAS 2008-2030: PROSPECTIVA ENERGETICA Y ESCENARIOS POSSIBLES</t>
  </si>
  <si>
    <t>https://drive.google.com/open?id=1o7-2wzUiPT7mGLYzkUH08IdeDN3jVNwH</t>
  </si>
  <si>
    <t>ESCENARIOS PARA EL PROBLEMA DE DROGAS EN LAS AMERICA</t>
  </si>
  <si>
    <t>https://drive.google.com/open?id=1l_zyO0uzYEvM2QNRmd39bi3vtEc0UWi9</t>
  </si>
  <si>
    <t>AMERICA DO SUL E CARIBE</t>
  </si>
  <si>
    <t>PROSPECTIVA EN AMERICA DO SUL Y CARIBE</t>
  </si>
  <si>
    <t>https://drive.google.com/open?id=1nmIvreBjr_DzXcIFkupG6cq_WW1wakAW</t>
  </si>
  <si>
    <t>AMERICA DO SUL</t>
  </si>
  <si>
    <t>ESTUDIO PROSPECTIVO SURAMERICA 2025 (PRIMERA PARTE)</t>
  </si>
  <si>
    <t>https://drive.google.com/open?id=1GCli9AyGulw2oiGH4fYmknQHDz2ki2iF</t>
  </si>
  <si>
    <t>MINISTERIO DE DEFESNSA PLAN ESTRATEGICO DE PERU</t>
  </si>
  <si>
    <t>https://drive.google.com/open?id=1YUhNbUpxVtCSbNN9FzHNNsiGKnd0vVc4</t>
  </si>
  <si>
    <t>PERU HACIA EL 2021</t>
  </si>
  <si>
    <t>https://drive.google.com/open?id=1ZQ0CnMM8tPDDEfTw62049ZKoPVU7SprJ</t>
  </si>
  <si>
    <t>AMERICA LATINA E CARIBE</t>
  </si>
  <si>
    <t>PLANIFICACION Y PROSPECTIVA PARA LA CONSTRUCION DE FUTURO EN AMERICA LATINA Y EL CARIBE</t>
  </si>
  <si>
    <t>https://drive.google.com/open?id=19_jK-iko5ZPI64VHgRLeL34ZoOM3F_Sv</t>
  </si>
  <si>
    <t>PLAN ESTRATEGICO 2016-2020</t>
  </si>
  <si>
    <t>https://drive.google.com/open?id=1FTuQ-n_zZMq4tNfQY39wjBhIhYK_q2ne</t>
  </si>
  <si>
    <t>PLANESTRATEGICO INSTITUCIONAL</t>
  </si>
  <si>
    <t>https://drive.google.com/open?id=1GWteL2vGLMW8Ve9b4hPxztHQxXPFtCFJ</t>
  </si>
  <si>
    <t>ESTUDIO PROSPECTIVO SURAMERICA 2025 (SEGUNDA PARTE)</t>
  </si>
  <si>
    <t>https://drive.google.com/open?id=1OpMB30seikqOxIOYMF1Qrh2x4s9PJTfo</t>
  </si>
  <si>
    <t>PLAN ESTRATEGICO DE LA AUTORIDAD REGULATORIA NUCLEAR</t>
  </si>
  <si>
    <t>https://drive.google.com/open?id=1cLXEbQV8gC02whVr6wpQogglv3Xdvszl</t>
  </si>
  <si>
    <t>JAMAICA VISION 2030 - NATIONAL DEVELOPMENT PLAN</t>
  </si>
  <si>
    <t>https://drive.google.com/open?id=1aD8UAWBIdrsW94kY_TF5eiOLA9y2rCiv</t>
  </si>
  <si>
    <t>AUSTRIA</t>
  </si>
  <si>
    <t>Austrian Research and Technology Report 2017</t>
  </si>
  <si>
    <t>https://drive.google.com/open?id=1s_fmVYnxjT93WXL_c-0nTv_nFsUWags4</t>
  </si>
  <si>
    <t>2004-05?</t>
  </si>
  <si>
    <t>Technology foresight Slovenia 2020</t>
  </si>
  <si>
    <t>https://drive.google.com/open?id=1pE1m-ufYUkZPrnhza_npcaHoxtY_dQkB</t>
  </si>
  <si>
    <t>Global Strategic Trends (Sixth Edition)</t>
  </si>
  <si>
    <t>https://drive.google.com/open?id=1rTzX8t6fQ7KcDdHmVSfukixCxuAD6LLZ</t>
  </si>
  <si>
    <t>Scenarios Tools for ICZM: Lessons and applications</t>
  </si>
  <si>
    <t>https://drive.google.com/open?id=18EtJEgGlGUvXv25dMVxxT5BNL7D_UBU1</t>
  </si>
  <si>
    <t>ALBANIA</t>
  </si>
  <si>
    <t>Skills 2020 Albânia</t>
  </si>
  <si>
    <t>https://drive.google.com/open?id=1X3Y6QUTFaJN6GuCKsh0_BUeH0Ccb7mxe</t>
  </si>
  <si>
    <t>System Identification in Difficult Operating Conditions Using Artificial Neural Networks</t>
  </si>
  <si>
    <t>https://drive.google.com/open?id=1ptpSLh9cf-VVFD0afUSC5YzUfeQD2tIU</t>
  </si>
  <si>
    <t>Economic Reform Programme for montenegro 2018-2020</t>
  </si>
  <si>
    <t>https://drive.google.com/open?id=1qWSDnvY-fnfxDf0OrbqXd0QoYnnqGnVR</t>
  </si>
  <si>
    <t>Future environmental trends to 2020: impact on ship design and operation (Papers in Australian Maritime Affairs)</t>
  </si>
  <si>
    <t>https://drive.google.com/open?id=1MvC-3p7Z6vsgDhSYUW8p7W0sGPcI2Fth</t>
  </si>
  <si>
    <t>Defence Assessment 2010</t>
  </si>
  <si>
    <t>https://drive.google.com/open?id=1Ufqz02c43lNXUpTsel330MVk_esZ76XY</t>
  </si>
  <si>
    <t>Exploring the Civil-Military Divide over Artificial Intelligence</t>
  </si>
  <si>
    <t>https://www.rand.org/pubs/research_reports/RRA1498-1.html</t>
  </si>
  <si>
    <t>TIC; Guerra do Futuro</t>
  </si>
  <si>
    <t>Asia-Pacífico</t>
  </si>
  <si>
    <t xml:space="preserve">The Limits of Restraint: The Military Implications of a Restrained U.S. Grand Strategy in the Asia-Pcific </t>
  </si>
  <si>
    <t>https://www.rand.org/pubs/research_reports/RRA739-4.html</t>
  </si>
  <si>
    <t>Assessing the Effectiveness of Future Concepts in the U.S. Air Force</t>
  </si>
  <si>
    <t>https://www.rand.org/pubs/research_reports/RRA534-1.html</t>
  </si>
  <si>
    <t>Guerra do Futuro</t>
  </si>
  <si>
    <t>Future Uses of Space Out to 2050: Emerging threats and opportunities for the UK National Space Strategy</t>
  </si>
  <si>
    <t>https://www.rand.org/pubs/research_reports/RRA609-1.html</t>
  </si>
  <si>
    <t>Guerra do Futuro; TIC; Segurança Espacial</t>
  </si>
  <si>
    <t>Estado islâmico</t>
  </si>
  <si>
    <t>Implications of the Pandemic for Terrorist Interest in Biological Weapons: Islamic State and al-Qaeda Pandemic Case Studies</t>
  </si>
  <si>
    <t>https://www.rand.org/pubs/research_reports/RRA612-1.html</t>
  </si>
  <si>
    <t>Biodefesa e segurança</t>
  </si>
  <si>
    <t>Exploring Gaps in Arctic Governance: identifying Potential Sources of Conflict and Mitigating Measures</t>
  </si>
  <si>
    <t>TIMAN</t>
  </si>
  <si>
    <t>Agenda 2063</t>
  </si>
  <si>
    <t>https://au.int/sites/default/files/documents/36204-doc-agenda2063_popular_version_en.pdf</t>
  </si>
  <si>
    <t>Hypersonic Weapons Become the World's Latest Arms Race</t>
  </si>
  <si>
    <t>https://www.forecastinternational.com/showpdf.cfm?wpid=29</t>
  </si>
  <si>
    <t>Strengthening Global Systems to Prevent and Respond to High-Consequence Biological Threats</t>
  </si>
  <si>
    <t>https://www.nti.org/analysis/articles/strengthening-global-systems-to-prevent-and-respond-to-high-consequence-biological-threats/</t>
  </si>
  <si>
    <t>Assessing and Managing the Benefits and Risks of Artificial Intelligence in Nuclear-Weapons Systems</t>
  </si>
  <si>
    <t>https://www.nti.org/analysis/articles/assessing-and-managing-the-benefits-and-risks-of-artificial-intelligence-in-nuclear-weapon-systems/</t>
  </si>
  <si>
    <t>Guerra do Futuro; TIC; Nuclear</t>
  </si>
  <si>
    <t>U.S. Nuclear Policies for a Safer World</t>
  </si>
  <si>
    <t>https://media.nti.org/documents/NTI_Paper_U.S._Nuclear_Policies_for_a_Safer_World.pdf</t>
  </si>
  <si>
    <t>Nuclear</t>
  </si>
  <si>
    <t>Defence’s response to a more contested and volatile world</t>
  </si>
  <si>
    <t>https://drive.google.com/u/0/open?usp=forms_web&amp;id=1ax37vIFIb3xwaN7P0YlwZBcjiGlSh-UO</t>
  </si>
  <si>
    <t>Helder Lira</t>
  </si>
  <si>
    <t>2024/08/13 7:44:16 PM GMT-3</t>
  </si>
  <si>
    <t>2 - Projeto OTAN 2024 - Relatório elaborado para o setor de defesa como um todo ou</t>
  </si>
  <si>
    <t>International Defence</t>
  </si>
  <si>
    <t>Estatísticas oficiais e oficiais credenciadas pelo MOD por tópico</t>
  </si>
  <si>
    <t>https://drive.google.com/u/0/open?usp=forms_web&amp;id=18pghvX0b0sX2efqRmj8gtwQ4B3KP-7nP</t>
  </si>
  <si>
    <t>Finanças e Economia em Defesa</t>
  </si>
  <si>
    <t>Luiz Carlos</t>
  </si>
  <si>
    <t>2024/08/15 11:36:21 AM GMT-3</t>
  </si>
  <si>
    <t>#N/D</t>
  </si>
  <si>
    <t>Itália: a potência mediterrânea globalmente conectada?</t>
  </si>
  <si>
    <t>https://drive.google.com/u/0/open?usp=forms_web&amp;id=1lVbjQDUIqrqJwxSqyvNFc8-rePi8OMit</t>
  </si>
  <si>
    <t>Não sei dizer</t>
  </si>
  <si>
    <t>Envolvimento Estratégico Amplo</t>
  </si>
  <si>
    <t>2024/08/15 5:14:43 PM GMT-3</t>
  </si>
  <si>
    <t>RUSI</t>
  </si>
  <si>
    <t>Controle do mar e projeção de poder: a escolha da França de um porta-aviões movido a energia nuclear</t>
  </si>
  <si>
    <t>https://drive.google.com/u/0/open?usp=forms_web&amp;id=1Ul5DAw5j6-iVjewcAOdCYcmx0qRzBzyT</t>
  </si>
  <si>
    <t>ZEE da França aumentou mais de 150.000 km2 em 2020. Tudo isso vem com interesses estratégicos óbvios e a necessidade de uma marinha confiável e totalmente destacável.</t>
  </si>
  <si>
    <t>2024/08/15 5:47:17 PM GMT-3</t>
  </si>
  <si>
    <t>2 - Projeto OTAN 2024 - Relatório elaborado para atender a Marinha de Guerra do país estudado ou</t>
  </si>
  <si>
    <t>NATO’s military presence in the east of the Alliance</t>
  </si>
  <si>
    <t>https://drive.google.com/u/0/open?usp=forms_web&amp;id=1XLWI6hsF1adbItt-S1OUqOBFiRvTK5i7</t>
  </si>
  <si>
    <t>Relatório importante sobre a atuação da OTAN em relação à atuação frente as ameaças da Guerra entre Rússia e Ucrânia. Relatório descreve algumas sementes sobre a atuação da OTAN no LESTE</t>
  </si>
  <si>
    <t>Rennal</t>
  </si>
  <si>
    <t>2024/08/16 5:25:25 PM GMT-3</t>
  </si>
  <si>
    <t>Mministry of Defence Republic of Latvia</t>
  </si>
  <si>
    <t>NATO Multinational Battle Group Latvia</t>
  </si>
  <si>
    <t>https://drive.google.com/u/0/open?usp=forms_web&amp;id=1HB5mHBQd6m7FhoNM9AvvUZetfO-b0gzt</t>
  </si>
  <si>
    <t>Relatório que contém Sementes sobre estratégias e tendências acerca da atuação da OTAN no Leste. Comenta sobre a evolução da atuação da OTAN e quais eventos foram importantes para a atuação e interesse da OTAN na região.</t>
  </si>
  <si>
    <t>2024/08/16 5:31:19 PM GMT-3</t>
  </si>
  <si>
    <t>https://ac.nato.int/</t>
  </si>
  <si>
    <t>https://drive.google.com/u/0/open?usp=forms_web&amp;id=1CWDfr2wUs_3_uJvneaXMOTzZpWNe0iql</t>
  </si>
  <si>
    <t>Relatório fala sobre a força aerea no mar báltico e como a Letônia atua nessas questões da OTAN</t>
  </si>
  <si>
    <t>2024/08/16 6:02:42 PM GMT-3</t>
  </si>
  <si>
    <t>2 - Projeto OTAN 2024 - Relatório cita em algum aspecto o ambiente marítimo ou</t>
  </si>
  <si>
    <t>Latvia – securing the eastern flank of NATO</t>
  </si>
  <si>
    <t>https://drive.google.com/u/0/open?usp=forms_web&amp;id=1tnOhph7RQ_kgUlpWbJOlTcedW8k6HANK</t>
  </si>
  <si>
    <t>Relatório importante sobre como a OTAN tem atuado na região do Mar Báltico e como a Letônia está diretamente ligada aos interesses da OTAN</t>
  </si>
  <si>
    <t>2024/08/16 6:09:53 PM GMT-3</t>
  </si>
  <si>
    <t>2 - Projeto OTAN 2024 - nenhuma das opções (Mas refere-se a Defesa ou Segurança de forma geral)</t>
  </si>
  <si>
    <t>NATO Enhanced Forward Presence</t>
  </si>
  <si>
    <t>https://drive.google.com/u/0/open?usp=forms_web&amp;id=18lIb4d4S3lkHHN26RmsYvt9SomhuEFS4</t>
  </si>
  <si>
    <t>Reforço das capacidades de defesa da Letônia através da OTAN, bem como uma breve citação sobre meios navais que servem como reforço no flanco oriental. O documento fala rapidamente sobre a atuação da Marinha e comenta sobre a decisão da Dinamarca de enviar fragatas e caças para a Letônia</t>
  </si>
  <si>
    <t>2024/08/16 6:19:55 PM GMT-3</t>
  </si>
  <si>
    <t>Латвия готовит западный порт для кораблей НАТО ( Letônia pretende ceder portos para a OTAN)</t>
  </si>
  <si>
    <t>https://drive.google.com/u/0/open?usp=forms_web&amp;id=1_c1ra_MM6OTLOh9QmVdpoUmrjf_MlhBC</t>
  </si>
  <si>
    <t>Língua Russa, entretanto é uma notícia útil que fala sobre a Letônia a relação com a OTAN, em especial sobre como a OTAN atuava/atua na região em questões marítimas</t>
  </si>
  <si>
    <t>2024/08/16 6:33:04 PM GMT-3</t>
  </si>
  <si>
    <t>COMSTRIKFORNATO, U.S. Sixth Fleet Visits Baltic Nations</t>
  </si>
  <si>
    <t>https://drive.google.com/u/0/open?usp=forms_web&amp;id=11d8y_YWgH39IVAzDRx3iwq6tFNTAAEBi</t>
  </si>
  <si>
    <t>Estratégia de defesa da OTAN para a Letônia e importância estratégica da Marinha da OTAN no MAR BÁLTICO</t>
  </si>
  <si>
    <t>2024/08/16 6:38:25 PM GMT-3</t>
  </si>
  <si>
    <t>Ministério da Defesa - Isso foi publicado sob o governo de coalizão conservador e liberal democrata de 2010 a 2015</t>
  </si>
  <si>
    <t>HMS St Albans conclui exercício no Golfo O Exercício Saif Ledge reuniu unidades das marinhas do Kuwait, França e EUA, bem como nossa própria Marinha Real, e também incluiu unidades de...</t>
  </si>
  <si>
    <t>https://drive.google.com/u/0/open?usp=forms_web&amp;id=1b6xdG3qV8juU54SMaAA_gbcIJ_b3Ijgv</t>
  </si>
  <si>
    <t>Tais operações não apenas permitem a coleta de informações sobre o que está acontecendo na área, mas também promovem e mantêm a segurança marítima e a proteção da comunidade marítima.</t>
  </si>
  <si>
    <t>2024/08/16 7:04:02 PM GMT-3</t>
  </si>
  <si>
    <t>HMS Tireless em exercício submarino multinacional Ativos navais do Reino Unido, França, Austrália e EUA concluíram um grande exercício internacional de guerra anti-submarina no Golfo de Omã.</t>
  </si>
  <si>
    <t>https://drive.google.com/u/0/open?usp=forms_web&amp;id=1CvAERsQvUJoEMVOX4PxN3iQtPjNJesiK</t>
  </si>
  <si>
    <t>O Exercício foi para aumentar a capacidade de guerra anti -submarina em ambientes de águas quentes e promover a interoperabilidade entre navios e aeronaves de várias nações.</t>
  </si>
  <si>
    <t>2024/08/16 7:31:37 PM GMT-3</t>
  </si>
  <si>
    <t>National Defence University (MAANPUOLUSTUSKORKEAKOULU)</t>
  </si>
  <si>
    <t>Tulevaisuuden sodan tulevaisuus</t>
  </si>
  <si>
    <t>https://drive.google.com/u/0/open?usp=forms_web&amp;id=1e2cA-FQ8Zwe0_2Mpx2OnrexkaMPO5Pmo</t>
  </si>
  <si>
    <t>O livro, "Tulevaisuuden sodan tulevaisuus", examina a mudança na guerra e combate focando nos anos 2030. Ele levanta a questão do que pode acontecer se as visões atuais sobre sociedade, tecnologia, guerra terrestre, guerra naval, guerra aérea, guerra de informação e guerra cibernética estiverem erradas. O livro discute como as forças armadas finlandesas, que estão atualmente se preparando para a guerra de 2030, devem se adaptar para se preparar para a guerra do futuro. O livro também analisa o que pode dar errado na visão finlandesa e ocidental comumente aceita sobre o futuro. Um dos cenários que o livro explora é o que aconteceria se, em 2030-2040, a guerra terrestre e as forças terrestres não fossem mais tão importantes quanto são hoje. A principal mensagem do livro é que o futuro é imprevisível e enfatiza a importância de se preparar para a guerra.</t>
  </si>
  <si>
    <t>Luiz Augusto</t>
  </si>
  <si>
    <t>2024/08/16 10:58:29 PM GMT-3</t>
  </si>
  <si>
    <t>FUTURE OF FINLAND’S PARTNERSHIP WITH NATO: Creating normative scenarios with big data</t>
  </si>
  <si>
    <t>https://drive.google.com/u/0/open?usp=forms_web&amp;id=17pTI6PZLcBTjujp0HdiWSyCH0OOeosv7</t>
  </si>
  <si>
    <t>Para fins de cenário, foi escolhida uma abordagem normativa. Em cenários normativos, o resultado é predeterminado, o que neste caso resultou em quatro cenários plausíveis. Esses cenários são divididos da seguinte forma: a Finlândia se junta ou não à OTAN e resultados positivos e negativos com base nessas decisões. Para descobrir o conteúdo dos cenários, um Alerta do Google foi explorado como fonte de dados. Durante um período de um ano, os dados foram coletados. A quantidade de dados fornece um argumento de que a pesquisa estava usando big data. Os dados foram analisados ​​em métodos qualitativos e quantitativos. Na análise qualitativa, uma análise de conteúdo foi usada para localizar clusters. Isso foi feito com o Power Bi como ferramenta. Na abordagem quantitativa, um script Python foi executado para criar uma nuvem de palavras para descobrir as palavras mais frequentes nos artigos. Foi descoberto que o big data é um grande trunfo no planejamento de cenários, mas com os métodos escolhidos, requer muito esforço para valer a pena. Esses cenários baseados em dados foram capazes de fornecer quatro cenários plausíveis para o ano de 2030. Os cenários podem ser apreciados pelos possíveis eleitores do referendo. Estudos de futuro levam as pessoas à mudança e, portanto, a discussão ética sob este tópico foi discutida sob este estudo também. Implicações que foram descobertas foram a necessidade crescente de alfabetização midiática e de reconsiderar os prós e contras do referendo.</t>
  </si>
  <si>
    <t>2024/08/16 11:26:13 PM GMT-3</t>
  </si>
  <si>
    <t>Three Future Scenarios for Nordic Military Operations</t>
  </si>
  <si>
    <t>https://drive.google.com/u/0/open?usp=forms_web&amp;id=19K9TAT8vDK8DyyrfcD88siTYzwVHcBWR</t>
  </si>
  <si>
    <t>O relatório explora o potencial futuro das operações militares conjuntas dos países nórdicos. O relatório argumenta que tal cooperação é cada vez mais necessária devido ao aumento da pressão militar e política da Rússia na região. Três cenários são apresentados para ilustrar como as operações conjuntas nórdicas podem funcionar na prática. Estes cenários incluem: (1) diplomacia coercitiva russa contra a Noruega; (2) uma tomada de posse russa de Gotland; e (3) um ataque russo em grande escala contra a Noruega, Suécia e Finlândia. Em cada cenário, o relatório destaca os benefícios da cooperação nórdica, bem como os desafios que devem ser superados. O relatório conclui que as operações conjuntas nórdicas são um elemento essencial para garantir a segurança da região face às crescentes tensões geopolíticas.</t>
  </si>
  <si>
    <t>2024/08/17 12:05:45 AM GMT-3</t>
  </si>
  <si>
    <t>O fracasso estratégico da França no Mali: uma desutilidade pós-colonial da força?</t>
  </si>
  <si>
    <t>https://drive.google.com/u/0/open?usp=forms_web&amp;id=1CNIHt8eux_pi0Cm72knQM9HcFQn-jL0y</t>
  </si>
  <si>
    <t>A França não foi a única responsável por esse fracasso: o governo e as forças armadas do Mali, grupos armados, milícias não estatais e atores internacionais contribuíram.</t>
  </si>
  <si>
    <t>2024/08/17 11:16:59 AM GMT-3</t>
  </si>
  <si>
    <t>A ascensão silenciosa da Grécia como potência mediterrânea</t>
  </si>
  <si>
    <t>https://drive.google.com/u/0/open?usp=forms_web&amp;id=1muqrvI9mnxwxEPXrRZDrVF1NtvrwaLiy</t>
  </si>
  <si>
    <t>Em novembro de 2019, o Governo de Acordo Nacional da Líbia, com sede em Trípoli, assinou um acordo marítimo com a Turquia em troca de apoio militar. Os dois países agora devem compartilhar uma Zona Econômica Exclusiva (ZEE) que se estende da costa sul da Turquia até a costa nordeste da Líbia. A legalidade do acordo é contestada pela oposição líbia, França, Grécia, Egito e Chipre.</t>
  </si>
  <si>
    <t>2024/08/17 11:37:00 AM GMT-3</t>
  </si>
  <si>
    <t>O Reino Unido e a Índia no Indo-Pacífico</t>
  </si>
  <si>
    <t>https://drive.google.com/u/0/open?usp=forms_web&amp;id=1ck67rSGmam5q3UWzTWGuC7O_RdlQs0Bn</t>
  </si>
  <si>
    <t>A região ocidental do Oceano Índico pode ser um ponto de partida útil, pois não é afetada por tensões geopolíticas na mesma medida que as áreas do Sudeste Asiático e já inclui iniciativas indianas às quais o Reino Unido pode se conectar, como o Corredor de Crescimento Ásia-África proposto pela Índia e pelo Japão.</t>
  </si>
  <si>
    <t>2024/08/17 12:04:53 PM GMT-3</t>
  </si>
  <si>
    <t>Gabinete do Primeiro Ministro do Reino Unido Keir Starmer</t>
  </si>
  <si>
    <t>Declaração conjunta entre o Reino Unido e a França: 18 de julho de 2024</t>
  </si>
  <si>
    <t>https://drive.google.com/u/0/open?usp=forms_web&amp;id=1fx2VS-VAXx5htOcJlqvO8oMS5dVCIQx1</t>
  </si>
  <si>
    <t>Olhando para o futuro, a França e o Reino Unido prosseguirão a sua cooperação em todo o espectro da relação, tanto a nível bilateral como a nível global.</t>
  </si>
  <si>
    <t>2024/08/17 2:27:41 PM GMT-3</t>
  </si>
  <si>
    <t>Ministério da Defesa , Deputado Luke Pollard</t>
  </si>
  <si>
    <t>RAF policiará os céus da OTAN na Islândia após missão na Romênia</t>
  </si>
  <si>
    <t>https://drive.google.com/u/0/open?usp=forms_web&amp;id=1Pyfqz72_swxfsf2RWgRVc7_9Nonf2jsi</t>
  </si>
  <si>
    <t>O F-35B é uma aeronave de combate multifuncional equipada com sensores avançados, sistemas de missão e tecnologia furtiva de baixa observação. Isso significa que os sistemas de radar inimigos não podem detectar facilmente a aeronave, dando às nações que operam o F-35B uma vantagem tática significativa em muitos cenários operacionais.</t>
  </si>
  <si>
    <t>2024/08/17 5:55:44 PM GMT-3</t>
  </si>
  <si>
    <t>Belgium Naval and Robotics</t>
  </si>
  <si>
    <t>O Naval Group prepara o primeiro navio de contramedidas de minas do programa rMCM belga-holandês</t>
  </si>
  <si>
    <t>https://drive.google.com/u/0/open?usp=forms_web&amp;id=1O8nqvJxTFbxY8I7gmRHGOs8ipOJQvCjr</t>
  </si>
  <si>
    <t>Programa desenvolvido pela Marinha Belga e Marinha Holandesa para detectar e combater minas enterradas e à deriva através da utilização de 12 navios e uma centena de drones entre 2024 e 2030.</t>
  </si>
  <si>
    <t>2024/08/17 7:21:31 PM GMT-3</t>
  </si>
  <si>
    <t>FUTURE MARITIME DEFENCE SCENARIOS IN ESTONIA</t>
  </si>
  <si>
    <t>https://drive.google.com/u/0/open?usp=forms_web&amp;id=1Shw7-g17rLePoFVG0IM7oWTZvix273sw</t>
  </si>
  <si>
    <t>Desde a independência da Estônia, a defesa marítima tem sido discutida, mas sem reconhecimento governamental ou social, nem mudanças fundamentais. Este artigo apresenta dois cenários extremos para os próximos 30 anos: um negativo, com deterioração da defesa, e outro positivo, com melhorias significativas. Ignorar a questão pode ser fatal.</t>
  </si>
  <si>
    <t>2024/08/18 9:35:44 AM GMT-3</t>
  </si>
  <si>
    <t>Observatório de IA de Defesa (DAIO)</t>
  </si>
  <si>
    <t>The Very Long Game: 25 Case Studies on the Global State of Defense AI</t>
  </si>
  <si>
    <t>https://drive.google.com/u/0/open?usp=forms_web&amp;id=1KApWdkl14XyQ0Iaj8j0pKGC7quvnj_Xe</t>
  </si>
  <si>
    <t>Este livro de acesso aberto é o resultado de um esforço multinacional único organizado pelo Observatório de IA de Defesa (DAIO) com sede em Hamburgo para retratar o estado atual das coisas em relação ao uso de inteligência artificial (IA) pelas forças armadas ao redor do mundo. As contribuições abrangem uma gama diversificada de contextos geoestratégicos, fornecendo estudos de caso aprofundados sobre Austrália, Canadá, China, Dinamarca, Estônia, Finlândia, França, Alemanha, Grécia, Índia, Irã, Israel, Itália, Japão, Holanda, Rússia, Cingapura, Coreia do Sul, Espanha, Suécia, Taiwan, Turquia, Ucrânia, Reino Unido e Estados Unidos. O livro não especula sobre as implicações futuras da IA ​​nas forças armadas, mas discute como as forças armadas estão atualmente explorando o potencial desta tecnologia emergente. Ao adotar uma estrutura analítica uniforme, cada estudo de caso discute como as forças armadas veem a IA de defesa; como elas estão desenvolvendo soluções aprimoradas por IA, adaptando estruturas e processos existentes e financiando seus esforços de IA de defesa; até que ponto a IA de defesa já está em campo e operada; e como soldados e oficiais estão sendo treinados para trabalhar com IA.</t>
  </si>
  <si>
    <t>2024/08/18 10:11:31 AM GMT-3</t>
  </si>
  <si>
    <t>Long-term defence planning in an unsettled security environment</t>
  </si>
  <si>
    <t>https://drive.google.com/u/0/open?usp=forms_web&amp;id=1t0bpIEpEYAyfHW7v6dvfD0ddcfv9pVOE</t>
  </si>
  <si>
    <t>A FFI fornece suporte de pesquisa operacional para o planejamento de defesa de longo prazo da Noruega. O suporte é baseado em um portfólio de cenários, projetado para abranger a gama de missões nas quais a defesa norueguesa pode se envolver nos próximos 20 anos. Os requisitos de capacidade para as Forças Armadas Norueguesas são analisados ​​a partir dos cenários. A invasão russa da Ucrânia em fevereiro de 2022 mudará a situação de segurança na Europa nos próximos anos. Isso também terá implicações para o tipo de cenários de relevância para o planejamento de defesa de longo prazo da Noruega. Para desenvolver uma força flexível, capaz de lidar com uma ampla variedade de
 desafios de segurança, é essencial entender essa incerteza e suas consequências. Neste artigo, apresentaremos nossa abordagem para revisar o portfólio de cenários em um ambiente de segurança mutável e instável.</t>
  </si>
  <si>
    <t>2024/08/18 11:08:43 AM GMT-3</t>
  </si>
  <si>
    <t>Escritório de Relações Exteriores - Commonwealth e Desenvolvimento</t>
  </si>
  <si>
    <t>Reino Unido/França: Acordo de Cooperação em Matéria de Segurança Marítima e Portuária e, especificamente, em relação aos Navios de Passageiros no Canal da Mancha [TS n.º 24/2023]</t>
  </si>
  <si>
    <t>https://drive.google.com/u/0/open?usp=forms_web&amp;id=1uxwKNelFGwZKq6r9gdg1WU0vDP2V-Q16</t>
  </si>
  <si>
    <t>O Tratado internacional foi apresentado ao Parlamento em agosto de 2023.</t>
  </si>
  <si>
    <t>2024/08/18 11:54:05 AM GMT-3</t>
  </si>
  <si>
    <t>Ministério da Defesa e sua Excelência Grant Shapps</t>
  </si>
  <si>
    <t>Navio da Marinha Real navega para liderar a implantação de grupos de ataque de porta-aviões internacionais</t>
  </si>
  <si>
    <t>https://drive.google.com/u/0/open?usp=forms_web&amp;id=14bJJuS9SsyjvIA4Sjz2_xQ9sRgd0pLrG</t>
  </si>
  <si>
    <t>Isso foi publicado sob o governo conservador de Sunak de 2022 a 2024</t>
  </si>
  <si>
    <t>2024/08/18 3:18:06 PM GMT-3</t>
  </si>
  <si>
    <t>Ministério da Defesa - Sua Excelência Grant Shapps</t>
  </si>
  <si>
    <t>Força-tarefa da Marinha Real será implantada com parceiros da JEF para defender cabos submarinos</t>
  </si>
  <si>
    <t>https://drive.google.com/u/0/open?usp=forms_web&amp;id=1vNZKHQCCU7E3n-cK_AuqjcuacPCPfv4t</t>
  </si>
  <si>
    <t>Seis navios de guerra da Marinha Real, um navio auxiliar da Frota Real e uma aeronave de patrulha marítima da Força Aérea Real formarão a contribuição do Reino Unido para a implantação do JEF.</t>
  </si>
  <si>
    <t>2024/08/18 3:43:23 PM GMT-3</t>
  </si>
  <si>
    <t>Ministério da Defesa e Sua Excelência Grant Shapps</t>
  </si>
  <si>
    <t>Sistema de mísseis da Marinha usado para destruir drones do Mar Vermelho será atualizado</t>
  </si>
  <si>
    <t>https://drive.google.com/u/0/open?usp=forms_web&amp;id=10t2MnGio4z2AA3FPbXru-cQwHsE9Cyah</t>
  </si>
  <si>
    <t>O trabalho incluirá funcionários da MBDA no Reino Unido, França e Itália trabalhando ao lado de colegas da BAE Systems. Mísseis de ponta da Marinha Real - recentemente usados para derrubar vários drones hostis no Mar Vermelho - receberão melhorias significativas por meio de um programa de atualização que apoia centenas de empregos no Reino Unido.</t>
  </si>
  <si>
    <t>2024/08/18 4:05:39 PM GMT-3</t>
  </si>
  <si>
    <t>Escritório de relações Exteriores - Commonwealth e Desenvolvimento e Sua Excelência Lord Cameron</t>
  </si>
  <si>
    <t>O mundo está mais seguro para uma Entente renovada: artigo do Ministro dos Negócios Estrangeiros e do Ministro francês da Europa e dos Negócios Estrangeiros</t>
  </si>
  <si>
    <t>https://drive.google.com/u/0/open?usp=forms_web&amp;id=1x4Ns64Te9HXSHuZEuoqUv8vNwqCd5d92</t>
  </si>
  <si>
    <t>Estes são mais uma vez dias sombrios. A guerra de agressão da Rússia na Ucrânia está em seu terceiro ano e está tendo um impacto profundo na segurança europeia e Euro-atlântica.</t>
  </si>
  <si>
    <t>2024/08/18 4:26:06 PM GMT-3</t>
  </si>
  <si>
    <t>O Laboratório de Ciência e Tecnologia de Defesa</t>
  </si>
  <si>
    <t>Dstl traz ciência de ponta para grande exercício da OTAN 'no mar'</t>
  </si>
  <si>
    <t>https://drive.google.com/u/0/open?usp=forms_web&amp;id=1lClxjcNMXiFO-oVbL6IA2HEXoUE8Fl4o</t>
  </si>
  <si>
    <t>O Formidable Shield 21 (ASD/FS-21) é um exercício ao vivo de 2 semanas que reúne nações aliadas em águas do Reino Unido para demonstrar defesa aérea e antimísseis integrada eficaz, incluindo interoperabilidade e comando e controle.</t>
  </si>
  <si>
    <t>2024/08/19 7:35:11 PM GMT-3</t>
  </si>
  <si>
    <t>Ministério da Defesa Finlândia</t>
  </si>
  <si>
    <t>Chefes de Defesa das Forças Expedicionárias Conjuntas se reúnem em Helsinque</t>
  </si>
  <si>
    <t>https://drive.google.com/u/0/open?usp=forms_web&amp;id=1pscc2CBFwhf8Av6TiILeS2qwd4rP5ANU</t>
  </si>
  <si>
    <t>Os chefes discutiram a segurança do Mar Báltico e do Alto Norte, o desenvolvimento futuro da força conjunta e o compromisso dos grupos com uma estabilidade regional mais ampla.</t>
  </si>
  <si>
    <t>2024/08/19 8:09:39 PM GMT-3</t>
  </si>
  <si>
    <t>Foreign &amp; Commonwealt Office e The Rt Hon Jeremy Hunt MP</t>
  </si>
  <si>
    <t>Reino Unido e Islândia assinam acordo de cooperação em defesa e segurança</t>
  </si>
  <si>
    <t>https://drive.google.com/u/0/open?usp=forms_web&amp;id=1KeEoli55XJAWC4_qtkcK1QOCSQ456eJc</t>
  </si>
  <si>
    <t>Isso foi publicado sob o governo conservador de maio de 2016 a 2019</t>
  </si>
  <si>
    <t>2024/08/19 8:34:56 PM GMT-3</t>
  </si>
  <si>
    <t>Merlins da Marinha participam de exercício anti-submarino</t>
  </si>
  <si>
    <t>https://drive.google.com/u/0/open?usp=forms_web&amp;id=1tRlKThG2q2tv1K1Kg1C2-w4z5crsf__N</t>
  </si>
  <si>
    <t>Isso foi publicado sob o governo de coalizão conservador e liberal democrata de 2010 a 2015</t>
  </si>
  <si>
    <t>2024/08/20 9:55:29 AM GMT-3</t>
  </si>
  <si>
    <t>Sua Excelência Philip Hammond</t>
  </si>
  <si>
    <t>Apaches conduzem operações sobre a Líbia</t>
  </si>
  <si>
    <t>https://drive.google.com/u/0/open?usp=forms_web&amp;id=1eS1M90xHeCVusjAK4yTfwqzZWrgA0pJA</t>
  </si>
  <si>
    <t>A missão foi cuidadosamente coordenada com outras missões aéreas aliadas pelo centro de operações aéreas da OTAN, com sede em Poggio, na Itália, e em particular.
 Obs: Isso foi publicado sob o governo de coalizão conservador e liberal democrata de 2010 a 2015</t>
  </si>
  <si>
    <t>2024/08/20 10:29:33 AM GMT-3</t>
  </si>
  <si>
    <t>Navios britânicos e franceses se encontram na costa da Líbia</t>
  </si>
  <si>
    <t>https://drive.google.com/u/0/open?usp=forms_web&amp;id=1ukES_xPJ0q6IQ61EdCmCKTGbeziMru-9</t>
  </si>
  <si>
    <t>Os navios da Marinha Real e da Marinha Nacional estiveram envolvidos em operações na Líbia. Isso foi publicado sob o governo de coalizão conservador e liberal democrata de 2010 a 2015</t>
  </si>
  <si>
    <t>2024/08/20 9:47:58 PM GMT-3</t>
  </si>
  <si>
    <t>Ministério da Defesa e Rt Hon Mark Lancaster Td</t>
  </si>
  <si>
    <t>Forças marítimas do Reino Unido concluem implantação naval francesa</t>
  </si>
  <si>
    <t>https://drive.google.com/u/0/open?usp=forms_web&amp;id=1ddZTcodBSzAEsZlGzinjI8-dTQNuLeWD</t>
  </si>
  <si>
    <t>Helicóptero Merlin Mk3A do 845 Naval Air Squadron (NAS) trabalhando no convés de vôo a bordo do FS Mistral no Extremo Oriente. Direitos autorais da coroa.</t>
  </si>
  <si>
    <t>2024/08/20 10:12:19 PM GMT-3</t>
  </si>
  <si>
    <t>Caças e helicópteros britânicos treinam para atacar alvos no mar, ao lado de aliados da OTAN na Estônia</t>
  </si>
  <si>
    <t>https://drive.google.com/u/0/open?usp=forms_web&amp;id=1h0BEvqq0mFFoX9vqeXQSltU5hkjS3z_c</t>
  </si>
  <si>
    <t>O exercício, denominado Spring Tempest, foi conduzido em conjunto com a Estônia e a França e demonstrou a capacidade do Reino Unido e seus aliados de realizar ataques de precisão enquanto operam nas profundezas do espaço de batalha inimigo.</t>
  </si>
  <si>
    <t>2024/08/21 9:42:41 AM GMT-3</t>
  </si>
  <si>
    <t>Ministério da defesa e Comando Estratégico</t>
  </si>
  <si>
    <t>Força Expedicionária Conjunta conclui destacamento histórico do Reino Unido para a Islândia</t>
  </si>
  <si>
    <t>https://drive.google.com/u/0/open?usp=forms_web&amp;id=1_p4CCcY0gru24FVL4T5E8eQ9SNIWNLNL</t>
  </si>
  <si>
    <t>A Islândia é um dos principais proponentes da paz e da estabilidade no norte da Europa e, como membro da OTAN e do JEF.</t>
  </si>
  <si>
    <t>2024/08/21 10:06:27 AM GMT-3</t>
  </si>
  <si>
    <t>Ministério da Defesa e Sua Excelência Ben Wallace</t>
  </si>
  <si>
    <t>Navios da Marinha Real Britânica serão equipados com novo sistema avançado de mísseis</t>
  </si>
  <si>
    <t>https://drive.google.com/u/0/open?usp=forms_web&amp;id=13zrIL9P4_QN_9yvqHHfmSyDRLbT5B_Vg</t>
  </si>
  <si>
    <t>O Grupo do Norte é uma iniciativa do Reino Unido que visa promover uma cooperação mais coerente, eficiente e eficaz em matéria de defesa e segurança no Norte da Europa.</t>
  </si>
  <si>
    <t>2024/08/21 10:36:07 AM GMT-3</t>
  </si>
  <si>
    <t>Secretário de Defesa se reúne com homólogos europeus para conversas na Islândia</t>
  </si>
  <si>
    <t>https://drive.google.com/u/0/open?usp=forms_web&amp;id=1zoI1g0jJlGVQsfo4qDgooZNCAfIXhpkr</t>
  </si>
  <si>
    <t>Ministros do Grupo do Norte debateram a segurança do norte da Europa na sequência da invasão da Ucrânia pela Rússia</t>
  </si>
  <si>
    <t>2024/08/21 10:56:37 AM GMT-3</t>
  </si>
  <si>
    <t>HMS Queen Elizabeth do Grupo de Ataque de Porta-Aviões do Reino Unido recebe visitantes seniores da OTAN</t>
  </si>
  <si>
    <t>https://drive.google.com/u/0/open?usp=forms_web&amp;id=1olfAIHT3k46eDu2bgAMdRWmoc-0QPYMO</t>
  </si>
  <si>
    <t>A Itália é a terceira nação a pousar um F-35B no convés do HMS Queen Elizabeth e a sétima aeronave F-35 operacional militar com a qual o CSG do Reino Unido se exercitou no CSG21.</t>
  </si>
  <si>
    <t>2024/08/21 11:30:30 AM GMT-3</t>
  </si>
  <si>
    <t>Gabinete Grã-Bretanha</t>
  </si>
  <si>
    <t>Prefácio do primeiro-ministro</t>
  </si>
  <si>
    <t>https://drive.google.com/u/0/open?usp=forms_web&amp;id=19bYDpVJZbCN-zO4MzVCxpD-bG_LEIk_m</t>
  </si>
  <si>
    <t>A visão do primeiro-ministro para o Reino Unido em 2030
 Uma União mais forte, mais segura, próspera e resiliente
 O Reino Unido será um farol de soberania democrática e um dos países mais influentes do mundo, abordando as questões que mais importam para nossos cidadãos por meio de nossas ações em casa e no exterior.</t>
  </si>
  <si>
    <t>2024/08/21 4:47:53 PM GMT-3</t>
  </si>
  <si>
    <t>Secretário de Defesa se reúne com aliados da OTAN a bordo do HMS Queen Elizabeth enquanto o Grupo de Ataque de Porta-Aviões visita a Itália</t>
  </si>
  <si>
    <t>https://drive.google.com/u/0/open?usp=forms_web&amp;id=1a7O6eBxm37SiD13owRmcLvEYDNxO43pC</t>
  </si>
  <si>
    <t>Isso ocorre depois que o primeiro-ministro anunciou em novembro um aumento no financiamento da Defesa de mais de £ 24 bilhões nos próximos quatro anos, permitindo que nossas Forças Armadas se adaptem para enfrentar ameaças futuras.</t>
  </si>
  <si>
    <t>2024/08/21 5:01:24 PM GMT-3</t>
  </si>
  <si>
    <t>Islândia se torna a 10ª nação a se juntar à Força Expedicionária Conjunta liderada pelo Reino Unido</t>
  </si>
  <si>
    <t>https://drive.google.com/u/0/open?usp=forms_web&amp;id=1ykRU1bH8oAC4FeGEKllhWGyHIpnrnO0V</t>
  </si>
  <si>
    <t>A entrada da Islândia no JEF também reflete seu crescente relacionamento bilateral com o Reino Unido em questões de defesa e segurança.</t>
  </si>
  <si>
    <t>2024/08/21 5:20:33 PM GMT-3</t>
  </si>
  <si>
    <t>Secretário de Defesa se reúne com Ministros da Defesa da Força Expedicionária Conjunta em Oslo</t>
  </si>
  <si>
    <t>https://drive.google.com/u/0/open?usp=forms_web&amp;id=1awYU3VVklK3xTJhXdF_9k5rDDmRJeqIJ</t>
  </si>
  <si>
    <t>O grupo discutiu como a invasão brutal e injustificada da Ucrânia pela Rússia afetou a segurança europeia e como o JEF pode contribuir para a capacitação e treinamento de longo prazo em toda a Europa.</t>
  </si>
  <si>
    <t>2024/08/22 11:58:36 AM GMT-3</t>
  </si>
  <si>
    <t>Secretário de Defesa reúne-se com ministros da NATO em Bruxelas</t>
  </si>
  <si>
    <t>https://drive.google.com/u/0/open?usp=forms_web&amp;id=1NGJUPauBdXMnOgjatylvB801HuiNa4Kj</t>
  </si>
  <si>
    <t>O Secretário de Defesa também assinou um Memorando de Entendimento com a França, Alemanha, Espanha, Itália, Grécia e Holanda para a Capacidade de Helicópteros de Próxima Geração da OTAN.</t>
  </si>
  <si>
    <t>2024/08/22 12:10:29 PM GMT-3</t>
  </si>
  <si>
    <t>Força Expedicionária Conjunta é implantada no Báltico</t>
  </si>
  <si>
    <t>https://drive.google.com/u/0/open?usp=forms_web&amp;id=1TIKBFmHWl05WQLKaAWgxcM1vQBZtnS4n</t>
  </si>
  <si>
    <t>A segurança da região do Mar Báltico nunca foi tão importante e este destacamento</t>
  </si>
  <si>
    <t>2024/08/22 12:20:59 PM GMT-3</t>
  </si>
  <si>
    <t>Ministério da Defesa e Sua Excelência James Heappey</t>
  </si>
  <si>
    <t>Discurso do Ministro das Forças Armadas na Primeira Conferência de Poder Marítimo do Senhor do Mar 2022</t>
  </si>
  <si>
    <t>https://drive.google.com/u/0/open?usp=forms_web&amp;id=1tjp8Y9ivzBEqAyuO2SEs_ZXIWJRJLjKx</t>
  </si>
  <si>
    <t>Marinha Real está operando em todo o mundo com enorme sucesso. Isso foi publicado sob o governo conservador de Johnson de 2019 a 2022</t>
  </si>
  <si>
    <t>2024/08/22 12:41:07 PM GMT-3</t>
  </si>
  <si>
    <t>RUSI - Vice-almirante Patrick Chevallereau</t>
  </si>
  <si>
    <t>Um ambiente internacional cada vez mais volátil abre novas frentes para as marinhas europeias</t>
  </si>
  <si>
    <t>https://drive.google.com/u/0/open?usp=forms_web&amp;id=1jACKsaCmCZnPW0n4fFdOua-jtTWliY4t</t>
  </si>
  <si>
    <t>Do Estreito de Ormuz ao Mediterrâneo oriental, as tensões marítimas estão levando os estados europeus a expandir o uso do poder naval.</t>
  </si>
  <si>
    <t>2024/08/22 6:12:01 PM GMT-3</t>
  </si>
  <si>
    <t>Vice-almirante Patrick Chevallereau</t>
  </si>
  <si>
    <t>https://drive.google.com/u/0/open?usp=forms_web&amp;id=1V2fDztyAA9qLUIK0UDi-sGK9ReLWkVYs</t>
  </si>
  <si>
    <t>O futuro porta-aviões ajudará a França a reafirmar seu status de potência marítima nas próximas seis décadas.</t>
  </si>
  <si>
    <t>2024/08/22 6:21:10 PM GMT-3</t>
  </si>
  <si>
    <t>de Estudos de Defesa do King's College London.</t>
  </si>
  <si>
    <t>https://drive.google.com/u/0/open?usp=forms_web&amp;id=1B6diqHKuvtV-PAxg-rxvHfdD9HYduSZu</t>
  </si>
  <si>
    <t>A Grécia como potência mediterrânea
 Desde o fortalecimento dos laços com Khalifa Haftar na guerra civil na Líbia até o fornecimento de ajuda após a recente explosão do porto de Beirute, a Grécia está silenciosamente presente.</t>
  </si>
  <si>
    <t>2024/08/22 6:55:01 PM GMT-3</t>
  </si>
  <si>
    <t>https://drive.google.com/u/0/open?usp=forms_web&amp;id=1TrcjBcjkRpbeub6IETaOeHo4GBRhsP95</t>
  </si>
  <si>
    <t>A recente reunião que liga a Itália, o Reino Unido e o Japão por meio do Programa Global de Combate Aéreo, juntamente com a participação do Grupo de Ataque de Porta-Aviões Cavour no Exercício Pitch Black, mostra um país com laços crescentes com o Indo-Pacífico e a vontade de agir sobre eles.</t>
  </si>
  <si>
    <t>2024/08/23 10:02:51 AM GMT-3</t>
  </si>
  <si>
    <t>RUSI - Dr. Sidharth Kaushal</t>
  </si>
  <si>
    <t>Como a OTAN pode superar o bloqueio da Rússia no Mar Negro?</t>
  </si>
  <si>
    <t>https://drive.google.com/u/0/open?usp=forms_web&amp;id=1Rans67rMJTUwTylSFflSEslmJb9zlD79</t>
  </si>
  <si>
    <t>Em última análise, a única garantia de longo prazo da liberdade de navegação no Mar Negro é um acordo com a Rússia; Qualquer coisa menos que isso não resolverá o problema dos prêmios de risco de guerra</t>
  </si>
  <si>
    <t>2024/08/23 4:38:49 PM GMT-3</t>
  </si>
  <si>
    <t>Professor Justin Bronk</t>
  </si>
  <si>
    <t>Regenerando a vantagem do poder aéreo do Reino Unido dentro da OTAN</t>
  </si>
  <si>
    <t>https://drive.google.com/u/0/open?usp=forms_web&amp;id=1-433cAOU6cCV_00u7-mz4wKKFvZht1tm</t>
  </si>
  <si>
    <t>O SDR deve priorizar o investimento em armas, capacidade de manutenção e treinamento de alto nível para regenerar o poder de combate da RAF e do Fleet Air Arm como parte da OTAN nos próximos anos</t>
  </si>
  <si>
    <t>2024/08/24 11:28:57 AM GMT-3</t>
  </si>
  <si>
    <t>RUSI - Ministério da Defesa da Federação Russa</t>
  </si>
  <si>
    <t>Base Naval de Port Sudan na Rússia: um jogo de poder no Mar Vermelho</t>
  </si>
  <si>
    <t>https://drive.google.com/u/0/open?usp=forms_web&amp;id=1JtNRmkuwyVJSA5HhuBlBPXTZqYslhP8X</t>
  </si>
  <si>
    <t>Embora as autoridades russas não tenham comentado sobre o significado geopolítico da instalação de Port Sudan, a construção de uma base russa no Mar Vermelho é um marco importante em seu ressurgimento como uma grande potência.</t>
  </si>
  <si>
    <t>2024/08/26 4:26:18 PM GMT-3</t>
  </si>
  <si>
    <t>conferência RUSI International Sea Power de 2014 Professor Peter Roberts</t>
  </si>
  <si>
    <t>Uma semana agitada para as potências marítimas: deve haver algo na água</t>
  </si>
  <si>
    <t>https://drive.google.com/u/0/open?usp=forms_web&amp;id=10ViqvfB6zBLUgiZUNi4FkEUhQktDxea7</t>
  </si>
  <si>
    <t>Os governos fizeram declarações sobre seus valores, intenções e interesses nacionais por meio do mar. Distraído pela resposta de emergência no Nepal e pelas eleições em casa, o Reino Unido esteve em grande parte ausente dessa conversa marítima global.</t>
  </si>
  <si>
    <t>2024/08/27 7:16:28 PM GMT-3</t>
  </si>
  <si>
    <t>Ministério da Defesa - Grant Shapps</t>
  </si>
  <si>
    <t>Declaração oral do Secretário de Defesa para o segundo aniversário da invasão russa em grande escala da Ucrânia - 22 de fevereiro de 2024</t>
  </si>
  <si>
    <t>https://drive.google.com/u/0/open?usp=forms_web&amp;id=1wsNzbD7GtpMF-TckHAsSvkuc8lc5jpjs</t>
  </si>
  <si>
    <t>Foi no mar que a contribuição aliada para a causa da Ucrânia foi sentida com mais intensidade.</t>
  </si>
  <si>
    <t>2024/08/28 8:25:09 PM GMT-3</t>
  </si>
  <si>
    <t>Ministério do Interior - Rt Ron James Cleverly MP</t>
  </si>
  <si>
    <t>Reino Unido e França acordam em cooperação mais estreita</t>
  </si>
  <si>
    <t>https://drive.google.com/u/0/open?usp=forms_web&amp;id=1waNmHDi5cp4F4flDuljVPiUkOBZZCE2f</t>
  </si>
  <si>
    <t>O Reino Unido e a França irão ainda mais longe e mais rápido no combate à migração ilegal e construirão laços ainda mais estreitos de cooperação policial e de segurança em 2024.</t>
  </si>
  <si>
    <t>2024/08/28 8:45:56 PM GMT-3</t>
  </si>
  <si>
    <t>Future of the Sea: Implications from Opening Arctic Sea Routes</t>
  </si>
  <si>
    <t>https://drive.google.com/u/0/open?usp=forms_web&amp;id=1dZbrkwkfb0BaBWQdgIQqng02TbUng7Et</t>
  </si>
  <si>
    <t>Rodolfo</t>
  </si>
  <si>
    <t>2024/08/29 5:43:03 PM GMT-3</t>
  </si>
  <si>
    <t>Departamento de Segurança Energética e Net Zero</t>
  </si>
  <si>
    <t>Declaração sobre a cooperação civil em combustíveis nucleares entre o Canadá, a França, o Japão, o Reino Unido e os Estados Unidos</t>
  </si>
  <si>
    <t>https://drive.google.com/u/0/open?usp=forms_web&amp;id=12TPh7OrQvDmc6zIROXorB-AUsLREECiC</t>
  </si>
  <si>
    <t>Canadá, França, Japão, Reino Unido e Estados Unidos buscam ainda explorar caminhos para colaborar em esferas multilaterais para promover a segurança energética e a resiliência econômica para parceiros em todo o mundo.</t>
  </si>
  <si>
    <t>2024/08/29 7:56:57 PM GMT-3</t>
  </si>
  <si>
    <t>Comando Estratégico</t>
  </si>
  <si>
    <t>Comando Estratégico na Conferência de Operações em Múltiplos Domínios da OTAN</t>
  </si>
  <si>
    <t>https://drive.google.com/u/0/open?usp=forms_web&amp;id=1q-thhVqQV1RGkGOGMojECvk7DKnCEpIp</t>
  </si>
  <si>
    <t>O Comando Estratégico desempenhou um papel importante no evento, compartilhando insights e perspectivas em apoio à visão da OTAN de ser uma aliança habilitada para MDO até 2030.</t>
  </si>
  <si>
    <t>2024/08/29 8:23:32 PM GMT-3</t>
  </si>
  <si>
    <t>U.S NAVAL COLLEGE NEWPORT ROAD ISLAND</t>
  </si>
  <si>
    <t>FUTURE MINE COUNTERMEASURES: No Easy Solutions</t>
  </si>
  <si>
    <t>https://drive.google.com/u/0/open?usp=forms_web&amp;id=1rAsFvAjP8YfCturTDY_GYaWbxL4f3ikc</t>
  </si>
  <si>
    <t>Refere-se à Bélgica como país com força significativa de contramedidas de minas. Analisa cenários para o desenvolvimento de requisitos para futuras embarcações e contramedidas de minas.</t>
  </si>
  <si>
    <t>2024/08/29 8:31:12 PM GMT-3</t>
  </si>
  <si>
    <t>U.S NAVAL WAR COLLEGE</t>
  </si>
  <si>
    <t>T he Bulgarian Navy after the Cold War: Challenges of Building and Modernizing an Effective Navy</t>
  </si>
  <si>
    <t>https://drive.google.com/u/0/open?usp=forms_web&amp;id=1LNrmLNgpBzJ_xvKFZotzI18Puy9_yg1u</t>
  </si>
  <si>
    <t>O relatório não menciona especificamente a palavra "sementes", mas aborda as incertezas no planejamento estratégico para a modernização da Marinha Búlgara após a Guerra Fria.</t>
  </si>
  <si>
    <t>2024/08/29 10:05:48 PM GMT-3</t>
  </si>
  <si>
    <t>European Union Insitute for Securities Studies</t>
  </si>
  <si>
    <t>FOUR SWANS OF THE BLACK SEA</t>
  </si>
  <si>
    <t>https://drive.google.com/u/0/open?usp=forms_web&amp;id=1XZySFXnXbSLAgVmgkL7Dw3ZVUyoXov0u</t>
  </si>
  <si>
    <t>Região estrategicamente importante para a OTAN. Estuda vários cenários de segurança para a região do Mar Negro.</t>
  </si>
  <si>
    <t>2024/08/29 11:01:39 PM GMT-3</t>
  </si>
  <si>
    <t>https://www.gov.uk/government/publications/international-defence-expenditure-2024/background-quality-report-international-defence-statistics-2024</t>
  </si>
  <si>
    <t>https://drive.google.com/u/0/open?usp=forms_web&amp;id=1HoWlMF2BdOm1XQht6PHYGS40ElElLfMH</t>
  </si>
  <si>
    <t>Este Boletim apresenta as despesas de defesa dos Estados membros da OTAN e as despesas em percentagem do seu PIB. Uma comparação de duas fontes de dados de gastos internacionais com defesa se concentra nos principais gastadores mundiais. As tendências dos gastos com defesa para o Reino Unido, Alemanha, França e EUA também são exibidas.</t>
  </si>
  <si>
    <t>2024/08/30 2:45:11 PM GMT-3</t>
  </si>
  <si>
    <t>Centre Operational Research and Analisys, Ottawa - Canadáw</t>
  </si>
  <si>
    <t>Modeling a naval force protection scenario in MANA</t>
  </si>
  <si>
    <t>https://drive.google.com/u/0/open?usp=forms_web&amp;id=1WXGPQK7DiOH7R7clXyeHoKukoT7pm1Eg</t>
  </si>
  <si>
    <t>O relatório demonstra o estudo que utiliza a aplicação de modelagem e simulação para avaliar a eficácia de sistemas de armas, tanto existentes quanto futuros, em um cenário naval específico.
 Relatório específico para a Marinha Canadense</t>
  </si>
  <si>
    <t>2024/08/30 4:27:47 PM GMT-3</t>
  </si>
  <si>
    <t>RAND</t>
  </si>
  <si>
    <t>Annex C: Finland | Annex to Report: Vision on Defence-Related Skills for Europe Today and Tomorrow</t>
  </si>
  <si>
    <t>https://drive.google.com/u/0/open?usp=forms_web&amp;id=1nq831huQ021NagAzoB-6hZOVMHkM5RqE</t>
  </si>
  <si>
    <t>Somente é o anexo referente ao país</t>
  </si>
  <si>
    <t>2024/08/31 12:49:13 PM GMT-3</t>
  </si>
  <si>
    <t>rand.org</t>
  </si>
  <si>
    <t>Annex I: Spain | Annex to Report: Vision on Defence-Related Skills for Europe Today and Tomorrow</t>
  </si>
  <si>
    <t>https://drive.google.com/u/0/open?usp=forms_web&amp;id=1z71fMdmzKJjWEdReJSSUCIceRXxKjxuy</t>
  </si>
  <si>
    <t>2024/08/31 12:55:27 PM GMT-3</t>
  </si>
  <si>
    <t>Center for Strategic and International Studies (CSIS)</t>
  </si>
  <si>
    <t>THE COMING STORM Insights from Ukraine about Escalation in Modern War</t>
  </si>
  <si>
    <t>https://drive.google.com/u/0/open?usp=forms_web&amp;id=1c4vZqMHKZe3Xj4uODm4Oh-_5dj80NcmB</t>
  </si>
  <si>
    <t>2024/08/31 3:15:03 PM GMT-3</t>
  </si>
  <si>
    <t>Russia Futures Three Trajectories</t>
  </si>
  <si>
    <t>https://drive.google.com/u/0/open?usp=forms_web&amp;id=1vdg3-XEu7qzExrvGAU6RttH8oj2fv3Bn</t>
  </si>
  <si>
    <t>2024/08/31 3:17:05 PM GMT-3</t>
  </si>
  <si>
    <t>Dr. Aniseh Bassiri Tabrizi</t>
  </si>
  <si>
    <t>A Itália pode se tornar um grande jogador no Irã</t>
  </si>
  <si>
    <t>https://drive.google.com/u/0/open?usp=forms_web&amp;id=1-9m4umKlsMTkH_gOR7VBwx1ArbNSvaNC</t>
  </si>
  <si>
    <t>Há um diálogo regional de segurança, potencialmente por meio da via diplomática da missão EMASOH , que visa "identificar maneiras de diminuir as tensões e promover a construção de confiança no domínio marítimo", ao se envolver com países regionais e membros participantes da EMASOH.</t>
  </si>
  <si>
    <t>2024/08/31 7:27:06 PM GMT-3</t>
  </si>
  <si>
    <t>Latvia: From Total Defense to Comprehensive Defense</t>
  </si>
  <si>
    <t>https://drive.google.com/u/0/open?usp=forms_web&amp;id=1fSzWjDdDlYwb9rmQlLLspRYRU7eH8trE</t>
  </si>
  <si>
    <t>O documento descreve os métodos de defesa da Letônia, especificamente sua estratégia de defesa abrangente contra ameaças híbridas da Rússia</t>
  </si>
  <si>
    <t>2024/09/01 11:59:21 AM GMT-3</t>
  </si>
  <si>
    <t>Maritime Spatial Planning</t>
  </si>
  <si>
    <t>https://drive.google.com/u/0/open?usp=forms_web&amp;id=1sUKvwqNmQc9gEdGYhlWKMlHBGO0S7mqV</t>
  </si>
  <si>
    <t>O estudo se concentra em descrever a estratégia de defesa abrangente da Letônia e seus componentes, mas não entra em detalhes sobre a metodologia de pesquisa empregada para coletar as informações e chegar às conclusões apresentadas.</t>
  </si>
  <si>
    <t>2024/09/01 12:18:29 PM GMT-3</t>
  </si>
  <si>
    <t>Center for Strategic and International Studies</t>
  </si>
  <si>
    <t>Future NATO Enlargement: Force Requirements and Budget Costs</t>
  </si>
  <si>
    <t>https://drive.google.com/u/0/open?usp=forms_web&amp;id=1PfCKp6lb80Dq1W-TZG3E1zLNXem8qsHz</t>
  </si>
  <si>
    <t>O report traz requisitos da estrutura de forças militares e custos orçamentais potenciais da expansão da OTAN</t>
  </si>
  <si>
    <t>Gabrielly</t>
  </si>
  <si>
    <t>2024/09/02 12:45:34 AM GMT-3</t>
  </si>
  <si>
    <t>Integrated Naval Deterrence in the Arctic Region</t>
  </si>
  <si>
    <t>https://drive.google.com/u/0/open?usp=forms_web&amp;id=1NtNmzM2maLVsGe3-aouKxVgRVcvpRtAo</t>
  </si>
  <si>
    <t>2024/09/02 1:01:07 AM GMT-3</t>
  </si>
  <si>
    <t>International Defence Cooperation: Efficiency, Solidarity, Sovereignty</t>
  </si>
  <si>
    <t>https://drive.google.com/u/0/open?usp=forms_web&amp;id=1R-4RWGivZIbsN3TogtTyhOnuqclhICwt</t>
  </si>
  <si>
    <t>Embora defesa marítima e forças navais em detalhes, menciona como é importante sua estratégia global de defesa, dada a sua localização geográfica e a importância do Mar Báltico para a segurança regional. Explicita a importância da cooperação com os países da OTAN para manutenção da segurança.</t>
  </si>
  <si>
    <t>2024/09/02 1:20:29 AM GMT-3</t>
  </si>
  <si>
    <t>Reino Unido assume a liderança da Força de Resposta Rápida da OTAN</t>
  </si>
  <si>
    <t>https://drive.google.com/u/0/open?usp=forms_web&amp;id=1GoVl2Tvc5yH_3P6W_w-4j9qPLW81BkeS</t>
  </si>
  <si>
    <t>Em 2024, nove Aliados da OTAN – Reino Unido, Espanha, Polônia, Hungria, Turquia, Letônia, Macedônia do Norte, Romênia e Albânia – contribuirão para a Força de Resposta da OTAN. A Aliança fará a transição da Força de Reacção da OTAN para a nova Força de Reacção Aliada em meados de 2024.</t>
  </si>
  <si>
    <t>2024/09/02 6:51:08 PM GMT-3</t>
  </si>
  <si>
    <t>Gabinete do Primeiro Ministro</t>
  </si>
  <si>
    <t>Novas sanções do Reino Unido para reprimir a máquina de guerra de Putin</t>
  </si>
  <si>
    <t>https://drive.google.com/u/0/open?usp=forms_web&amp;id=1kFJ1WPA9LwDrPwoGDgiaBrwyEM0xDWAn</t>
  </si>
  <si>
    <t>Essas novas sanções, anunciadas enquanto o primeiro-ministro participa da Cúpula de Líderes do G7 na Itália, afetarão a capacidade da Rússia de financiar e equipar sua máquina de guerra e mostrarão o apoio inabalável do Reino Unido à Ucrânia.</t>
  </si>
  <si>
    <t>2024/09/02 7:22:45 PM GMT-3</t>
  </si>
  <si>
    <t>Escritório das Relações Exteriores, commonwealth e Desenvolvimento</t>
  </si>
  <si>
    <t>Segunda revisão anual do quadro Estratégico Bilateral do Reino Unido - Grécia, 30 janeiro de 2024</t>
  </si>
  <si>
    <t>https://drive.google.com/u/0/open?usp=forms_web&amp;id=1wuwOkTGuYfm4iisJPzNIUvfiVoELurHz</t>
  </si>
  <si>
    <t>A Grécia e o Reino Unido assumiram uma posição robusta em resposta à situação em Israel e Gaza.</t>
  </si>
  <si>
    <t>2024/09/02 7:46:41 PM GMT-3</t>
  </si>
  <si>
    <t>Rand Europe</t>
  </si>
  <si>
    <t>https://drive.google.com/u/0/open?usp=forms_web&amp;id=1GC2l35K5SFTTYaXklXaVZGQuUguuSgft</t>
  </si>
  <si>
    <t>2024/09/03 5:09:42 PM GMT-3</t>
  </si>
  <si>
    <t>UK government’s Foresight Future of the Sea project.</t>
  </si>
  <si>
    <t>Future of the sea: impacts of sea level rise on the UK</t>
  </si>
  <si>
    <t>https://drive.google.com/u/0/open?usp=forms_web&amp;id=1zBcCsLLH0-3FyUIb4GWtWLFeldNtjomj</t>
  </si>
  <si>
    <t>2024/09/03 5:33:52 PM GMT-3</t>
  </si>
  <si>
    <t>Determination and Development of Definitions and Concepts of Hybrid Threats and Hybrid Wars: Comparison of Solutions at the Level of the European Union, NATO and Croatia</t>
  </si>
  <si>
    <t>https://drive.google.com/u/0/open?usp=forms_web&amp;id=1Oz8icDMpQVsfIAqpnYA4zLlf6lcBx1QJ</t>
  </si>
  <si>
    <t>O relatório refere-se à importância da região geográfica da Croácia para o desenvolvimento de estratégias futuras para o combate às guerras e ameaças híbridas. Considera a importância da Marinha Croata para o estudo, em relação, também à União Europeia e OTAN.</t>
  </si>
  <si>
    <t>2024/09/03 6:41:08 PM GMT-3</t>
  </si>
  <si>
    <t>Escritório das Relações Exteriores</t>
  </si>
  <si>
    <t>Primeira Conferência de Poder Marítimo do Senhor do Mar 2024: discurso de abertura do Ministro Trevelyan</t>
  </si>
  <si>
    <t>https://drive.google.com/u/0/open?usp=forms_web&amp;id=1_EBFntlDF9mxL0e60aj77GcSQCL6gt0Z</t>
  </si>
  <si>
    <t>O Fórum da Indústria AUKUS, a Rede de Investidores em Defesa e o Desafio de Inovação em Guerra Eletrônica estão agora em funcionamento para ajudar a melhorar e fortalecer o engajamento e o entendimento real entre o governo e a indústria.</t>
  </si>
  <si>
    <t>2024/09/03 8:03:35 PM GMT-3</t>
  </si>
  <si>
    <t>Foresight Project</t>
  </si>
  <si>
    <t>Future of the Sea: Cyber Security</t>
  </si>
  <si>
    <t>https://drive.google.com/u/0/open?usp=forms_web&amp;id=12BuT1m-fBBFsAVNf4TTCRC5eS1UaBLJh</t>
  </si>
  <si>
    <t>2024/09/04 5:49:56 PM GMT-3</t>
  </si>
  <si>
    <t>Rishi Sunak -- Membro do Parlamento do Reino Unido</t>
  </si>
  <si>
    <t>Declaração de Grupos de Diretores de não Proliferação do G7, G7 Itália 2024</t>
  </si>
  <si>
    <t>https://drive.google.com/u/0/open?usp=forms_web&amp;id=1PCLFlrSuOHM_nhNpAaurpO0qTx7sFzLj</t>
  </si>
  <si>
    <t>Entre os esforços em andamento para fortalecer o controle de armas está o trabalho realizado pela Parceria Internacional para Verificação do Desarmamento Nuclear (IPNDV), da qual participam todos os membros do G7.</t>
  </si>
  <si>
    <t>2024/09/04 7:31:03 PM GMT-3</t>
  </si>
  <si>
    <t>Finding direction with a Strategic Compass? Reflections on the future of EU security and defence</t>
  </si>
  <si>
    <t>https://drive.google.com/u/0/open?usp=forms_web&amp;id=1wsksO5NKO0T3fPaxJP78gd0ev0mJpYMI</t>
  </si>
  <si>
    <t>The report outlines the main conclusions of a high-level conference held in February 2021, focusing on the future of EU security and defence. The conference, co-organized by the EU Institute for Security Studies and the Portuguese Presidency of the Council of the EU, aimed to discuss the Strategic Compass, a proposed framework designed to provide direction and improve the effectiveness of the Union's security and defence policies. The report highlights the key themes and challenges surrounding the Strategic Compass, emphasizing the need for a bold and ambitious approach to address geopolitical threats while ensuring inclusivity and strong national ownership among member states. It further underscores the importance of strengthening partnerships with key actors such as NATO, the UN, and third states, as well as developing new capabilities, such as cyber defense and crisis management to navigate the evolving security landscape.</t>
  </si>
  <si>
    <t>2024/09/06 4:09:37 PM GMT-3</t>
  </si>
  <si>
    <t>Escritório de Relações Exteriores commonwealth e Desenvolvimento</t>
  </si>
  <si>
    <t>Reino Unido/França: Acordo de Cooperação em Matéria de Segurança Marítima e Portuária e, especificamente, em relação aos Navios de Passageiros no Canal [CS France No.3/2022]</t>
  </si>
  <si>
    <t>https://drive.google.com/u/0/open?usp=forms_web&amp;id=1CSa1WOLKndSiSy9DW3oXkhdoCaFsyzz6</t>
  </si>
  <si>
    <t>Este tratado foi apresentado ao Parlamento em maio de 2022.</t>
  </si>
  <si>
    <t>2024/09/07 6:00:18 AM GMT-3</t>
  </si>
  <si>
    <t>The Conference on the Future of Europe – a View from Slovenia</t>
  </si>
  <si>
    <t>https://drive.google.com/u/0/open?usp=forms_web&amp;id=1nYNGGcnzv9zi_UyDPGdo1UtsRNQTfzOA</t>
  </si>
  <si>
    <t>Na terceira parte, há análise sobre security e defesa</t>
  </si>
  <si>
    <t>2024/09/08 12:12:44 PM GMT-3</t>
  </si>
  <si>
    <t>The Clingendael Institute</t>
  </si>
  <si>
    <t>The future of Arctic security: The geopolitical pressure cooker and the consequences for the Netherlands</t>
  </si>
  <si>
    <t>https://drive.google.com/u/0/open?usp=forms_web&amp;id=1YO9pXyq_HstTyA5S2Jgszvf6FReoUBWS</t>
  </si>
  <si>
    <t>2024/09/08 4:42:13 PM GMT-3</t>
  </si>
  <si>
    <t>Selling the 'Near-Arctic' State - China's Information and Influence operations in the Arctic</t>
  </si>
  <si>
    <t>https://drive.google.com/u/0/open?usp=forms_web&amp;id=1d9C11gOEdyzGzluzonmld5d04k_xv1Fh</t>
  </si>
  <si>
    <t>Relatório abrange interação da China com os países que compõem a região árctica, notadamente não apenas, mas incluindo nações da OTAN. Países mencionados: Islândia, Canadá, Dinamarca, Noruega, Suécia, Finlândia, EUA, Rússia.</t>
  </si>
  <si>
    <t>2024/09/09 5:19:14 PM GMT-3</t>
  </si>
  <si>
    <t>wilsoncenter.org</t>
  </si>
  <si>
    <t>Activity Report: Workshop on Information and Influence Operations and Hybrid Threats in the Arctic</t>
  </si>
  <si>
    <t>https://drive.google.com/u/0/open?usp=forms_web&amp;id=1zV8ESLakYiklxoVC6zAvjMOVzkCaUCGg</t>
  </si>
  <si>
    <t>Trata da região do Ártico, envolvendo principalmente Canadá, EUA, Noruega, no que tange à ameaça da China e Rússia. O assunto central é o de ameaças híbridas; posicionamento estratégico da OTAN diretamente abordado.</t>
  </si>
  <si>
    <t>2024/09/09 5:46:11 PM GMT-3</t>
  </si>
  <si>
    <t>Secretário de Defesa Grant Shapps Comentários da Conferência de Defesa do Conselho Franco-Britânico</t>
  </si>
  <si>
    <t>https://drive.google.com/u/0/open?usp=forms_web&amp;id=1U80AY0Ykmo5kq9rybcGvUPIHpWAdq64t</t>
  </si>
  <si>
    <t>Para grande desgosto de Putin, a OTAN agora está mais forte do que era antes de ele invadir, com a adição da Finlândia e em breve, esperamos muito, da Suécia também.</t>
  </si>
  <si>
    <t>2024/09/09 6:48:46 PM GMT-3</t>
  </si>
  <si>
    <t>A NATO e os desafios até 2030</t>
  </si>
  <si>
    <t>https://drive.google.com/u/0/open?usp=forms_web&amp;id=1X2b9UMZdCJXA_n1AuUtl75icH05g3Q82</t>
  </si>
  <si>
    <t>Este é um documento de trabalho do Grupo de Pesquisa em Relações Internacionais, Segurança e Defesa do Centro de Investigação do Instituto de Estudos Políticos (CIEP), com foco no futuro da OTAN em um cenário geopolítico em rápida mudança. O artigo defende uma abordagem de "dupla via" para a OTAN, enfatizando tanto o papel tradicional da Aliança na defesa coletiva e na dissuasão, quanto um foco maior na cooperação e diplomacia internacionais. Os autores analisam os principais fatores que condicionam a dinâmica global, incluindo o declínio da unipolaridade dos EUA e a ascensão da China em parceria com a Rússia, destacando a necessidade de um vínculo transatlântico mais forte e uma nova estrutura para as relações OTAN-UE. O artigo também aborda preocupações emergentes de segurança, como guerra cibernética, militarização espacial e a necessidade de uma resposta mais proativa a ameaças híbridas. Em última análise, o artigo defende que a OTAN se torne um ator mais central na segurança global, promovendo estabilidade e diplomacia juntamente com suas funções militares tradicionais.</t>
  </si>
  <si>
    <t>2024/09/10 12:57:15 PM GMT-3</t>
  </si>
  <si>
    <t>O paradigma do Flanco Sul da nato e a relevância geoestratégica para Portugal</t>
  </si>
  <si>
    <t>https://drive.google.com/u/0/open?usp=forms_web&amp;id=1JMrKLfm9vAZpmeQvv0oxcr9aHiHsff9g</t>
  </si>
  <si>
    <t>Este trecho de um artigo de jornal português examina o relacionamento de Portugal com a OTAN, focando especificamente na importância estratégica do flanco sul da OTAN. O autor traça o envolvimento de Portugal na OTAN desde sua fundação em 1949, destacando os desafios e oportunidades enfrentados pelas forças armadas portuguesas à medida que se adaptavam às prioridades estratégicas em evolução da OTAN. Ele enfatiza a crescente relevância do flanco sul devido à instabilidade regional, terrorismo, crime organizado e migração, argumentando que a posição geográfica de Portugal o torna um ator-chave na proteção desta região. O autor então detalha os compromissos operacionais de Portugal com a OTAN no flanco sul, particularmente no Mar Mediterrâneo e na África, e conclui sugerindo um futuro curso de ação para o envolvimento militar de Portugal na região, enfatizando a necessidade de cooperação contínua com a OTAN e outros atores internacionais.</t>
  </si>
  <si>
    <t>2024/09/11 5:24:41 PM GMT-3</t>
  </si>
  <si>
    <t>Romania: 20 years in NATO</t>
  </si>
  <si>
    <t>https://drive.google.com/u/0/open?usp=forms_web&amp;id=1Kl8yGSNzITI7O8m8V0rHjEGgbM24N3a0</t>
  </si>
  <si>
    <t>2024/09/14 12:22:44 AM GMT-3</t>
  </si>
  <si>
    <t>What Political Science Tells Us About the Risk of Civil War in Spain</t>
  </si>
  <si>
    <t>https://drive.google.com/u/0/open?usp=forms_web&amp;id=1AIOMQuIy56uhmaW252sBztfytRZSVDuK</t>
  </si>
  <si>
    <t>2024/09/15 1:49:12 PM GMT-3</t>
  </si>
  <si>
    <t>The EU and Finland’s security of supply: A ‘turn’ in EU thinking provides new opportunities, but significant differences remain</t>
  </si>
  <si>
    <t>https://drive.google.com/u/0/open?usp=forms_web&amp;id=1Q0JFg8illRiIaBo08sTKqZ5FWGpLf4qF</t>
  </si>
  <si>
    <t>2024/09/15 1:53:32 PM GMT-3</t>
  </si>
  <si>
    <t>Finnish-Swedish defence cooperation: What history suggests about future scenarios</t>
  </si>
  <si>
    <t>https://drive.google.com/u/0/open?usp=forms_web&amp;id=1JL-I1tq1-R2UdWik615fpPxjKF-y8OLX</t>
  </si>
  <si>
    <t>2024/09/15 1:58:17 PM GMT-3</t>
  </si>
  <si>
    <t>Declaração conjunta entre o Reino Unido e a Itália: 16 de setembro de 2024</t>
  </si>
  <si>
    <t>https://drive.google.com/u/0/open?usp=forms_web&amp;id=1qdEt1q8WFtkV6V0SU10mdWHGeHD0iyXc</t>
  </si>
  <si>
    <t>O primeiro-ministro Keir Starmer e a primeira-ministra Giorgia Meloni divulgaram uma declaração conjunta hoje.</t>
  </si>
  <si>
    <t>2024/09/17 8:54:24 AM GMT-3</t>
  </si>
  <si>
    <t>Cooperação em defesa entre o Reino Unido e a França</t>
  </si>
  <si>
    <t>https://drive.google.com/u/0/open?usp=forms_web&amp;id=1tQJGs-4p0WUq9N5iKd7_eRaqlkVQ11wJ</t>
  </si>
  <si>
    <t>Cooperação de defesa do Reino Unido e da França, destacando nossas conexões militares, de equipamentos e de história compartilhada.</t>
  </si>
  <si>
    <t>2024/09/17 1:06:41 PM GMT-3</t>
  </si>
  <si>
    <t>NATO’s Forward Presence</t>
  </si>
  <si>
    <t>https://drive.google.com/u/0/open?usp=forms_web&amp;id=1j47Bs4A6XR3wgMwBeQA-YMMpyFwTyQiH</t>
  </si>
  <si>
    <t>O relatório da OTAN sobre a Presença Avançada oferece um panorama detalhado da composição das forças-tarefa da OTAN na Europa Oriental</t>
  </si>
  <si>
    <t>2024/09/20 2:15:03 PM GMT-3</t>
  </si>
  <si>
    <t>nato.int</t>
  </si>
  <si>
    <t>Latvia-Defense-Cooperation</t>
  </si>
  <si>
    <t>https://drive.google.com/u/0/open?usp=forms_web&amp;id=17c9vezjmHtwKDBL3rGmFViSKUXSnAtPj</t>
  </si>
  <si>
    <t>O "relatório" em questão é, na verdade, um acordo de cooperação de defesa entre os Estados Unidos e a Letônia assinado em 2015</t>
  </si>
  <si>
    <t>2024/09/20 3:18:11 PM GMT-3</t>
  </si>
  <si>
    <t>state.gov</t>
  </si>
  <si>
    <t>GLOBSEC Trends 2024</t>
  </si>
  <si>
    <t>https://drive.google.com/u/0/open?usp=forms_web&amp;id=1G4Zc9SjvC3yjaC6y_UaribvSKy16XgnR</t>
  </si>
  <si>
    <t>O documento "GLOBSEC TRENDS 2024.pdf" tem um forte foco em segurança e defesa, particularmente no contexto da guerra na Ucrânia e suas implicações para a Europa Central e Oriental. Ele examina as percepções públicas sobre a OTAN, o apoio à Ucrânia, a ameaça representada pela Rússia, a necessidade de os países da ECO desenvolverem suas capacidades de defesa, bem como as percepções de outras ameaças à segurança, incluindo a crescente influência da China.
 Uma parte significativa do relatório é dedicada a analisar o apoio público à OTAN e seu papel na garantia da segurança regional. A invasão da Ucrânia pela Rússia fortaleceu a aliança e aumentou o apoio à adesão, além de destacar a importância dos esforços de comunicação estratégica para combater a desinformação russa. O documento também sublinha a necessidade de os países da ECO desenvolverem suas próprias capacidades de defesa, seja no âmbito da OTAN ou em coordenação com um exército europeu.
 Embora o relatório não tenha uma parte dedicada à Marinha especificamente, ele aborda questões amplas de defesa e segurança, além de discussões prospectivas, tratando de tendências e incertezas que podem moldar a segurança na ECO. Ele oferece uma análise detalhada sobre a influência da Rússia, o papel estratégico da Alemanha, a crescente conscientização sobre a China, e a vulnerabilidade democrática da região, fornecendo uma base sólida para futuras análises e decisões estratégicas.</t>
  </si>
  <si>
    <t>Morghanna</t>
  </si>
  <si>
    <t>2024/09/21 6:21:30 PM GMT-3</t>
  </si>
  <si>
    <t>The Illusion of Germany’s Zeitenwende</t>
  </si>
  <si>
    <t>https://drive.google.com/u/0/open?usp=forms_web&amp;id=1iFOZ8UejIOBi3B_5ehbNKKGp0zsU9UCN</t>
  </si>
  <si>
    <t>O documento "The Illusion of Germany’s Zeitenwende", de Rafał Ulatowski, está diretamente relacionado à temática de segurança e defesa. Ele aborda a política de defesa da Alemanha, incluindo as mudanças prometidas pelo chanceler Olaf Scholz após a invasão da Ucrânia pela Rússia, bem como os desafios da Alemanha em se tornar um "garantidor da segurança europeia". Além disso, o artigo discute cenários prospectivos, como a modernização das forças armadas alemãs, e explora as tendências estratégicas e limitações financeiras que podem afetar o futuro da política de defesa do país. 
 Ele apresenta várias sementes de futuro relevantes para segurança e defesa. O artigo explora tendências e incertezas críticas, como a capacidade da Alemanha de realmente cumprir suas promessas de modernização militar, a estratégia de atores no contexto de alianças da OTAN e o papel da Alemanha na segurança europeia. Além disso, o texto discute questões estruturais que podem moldar o futuro da defesa alemã, incluindo o conceito de "buck-passing", ou seja, a transferência de responsabilidades de defesa para aliados, o impacto econômico de um aumento nos gastos militares, e a incerteza sobre se a Alemanha conseguirá sustentar o aumento de seu orçamento militar.</t>
  </si>
  <si>
    <t>2024/09/21 6:35:34 PM GMT-3</t>
  </si>
  <si>
    <t>United States Naval Forces Europe and Africa</t>
  </si>
  <si>
    <t>BALTOPS 24 concludes in Kiel, Germany</t>
  </si>
  <si>
    <t>https://drive.google.com/u/0/open?usp=forms_web&amp;id=12n5pIUx2U_oyOFhprtkg0t4klUDwxuLF</t>
  </si>
  <si>
    <t>Uma observação importante sobre o relatório é que ele mostra como a OTAN está funcionando na prática, promovendo a colaboração e a interoperabilidade entre as forças armadas em uma região que é crucial para a segurança. O exercício BALTOPS-24 não só destaca a força militar conjunta dos aliados, mas também reforça a importância de garantir a segurança no Mar Báltico, especialmente com as recentes adesões da Finlândia e da Suécia.
 Incluir este relatório no estudo da OTAN é relevante porque: 
 1. Compromisso Coletivo: O exercício evidencia o compromisso dos países aliados em manter a segurança mútua, que é fundamental para a OTAN.
 2. Estratégias de Defesa: As lições aprendidas durante o exercício podem ajudar a moldar futuras estratégias de defesa e o planejamento de operações conjuntas.
 3. Adaptação a Novos Desafios: O relatório reflete como a OTAN se adapta a um ambiente de segurança em mudança, destacando a importância de uma abordagem que integre diferentes dimensões, como as operações marítimas, terrestres e aéreas.</t>
  </si>
  <si>
    <t>2024/09/21 6:44:42 PM GMT-3</t>
  </si>
  <si>
    <t>The Central and Eastern European Online Library</t>
  </si>
  <si>
    <t>Perspectives on future trends and opportunities in a changing world –with a special focus on the Visegrad Countries</t>
  </si>
  <si>
    <t>https://drive.google.com/u/0/open?usp=forms_web&amp;id=1CG8wQkAJSZ12V1T5Oq2iipKzhT5Qz3Qc</t>
  </si>
  <si>
    <t>O artigo aborda as perspectivas e direções para as economias das nações de Visegrad. Há uma seção com abordagem na área de Defesa.</t>
  </si>
  <si>
    <t>2024/09/22 12:45:57 PM GMT-3</t>
  </si>
  <si>
    <t>OVENSKA VOJSKA DO LETA 2025 IN NAPREJ . In: Sodobni vojaški izzivi</t>
  </si>
  <si>
    <t>https://drive.google.com/u/0/open?usp=forms_web&amp;id=1CD-oyZfbeBLVOnF9FG3jM5zjUFH6t0QO</t>
  </si>
  <si>
    <t>FORÇAS ARMADAS ESLOVENIANAS ATÉ 2025 E ALÉM. Palavras-Chave: Forças Armadas Eslovenas, OTAN, DOTMLPF-I, guerra do futuro, ambiente de segurança. Páginas 17-54.</t>
  </si>
  <si>
    <t>2024/09/22 1:05:46 PM GMT-3</t>
  </si>
  <si>
    <t>MANAGEMENT OF RISKS AND THREATS IN THE BLACK SEA: FUTURE SCENARIOS AND ROMANIA'S INVOLVEMENT</t>
  </si>
  <si>
    <t>https://drive.google.com/u/0/open?usp=forms_web&amp;id=1d6856sqwo1cCnTHjCRFYNMw_U4OKCQpv</t>
  </si>
  <si>
    <t>Apresentação de cenários. Palavras-chave: Segurança do Mar Negro; avaliação de risco; análise de ameaças; cooperação regional; segurança futura;</t>
  </si>
  <si>
    <t>2024/09/22 10:26:59 PM GMT-3</t>
  </si>
  <si>
    <t>Naval News</t>
  </si>
  <si>
    <t>https://www.navalnews.com/</t>
  </si>
  <si>
    <t>https://drive.google.com/u/0/open?usp=forms_web&amp;id=1z5rckab0ClgXUjJhK6GOWtyP3bUhFtgK</t>
  </si>
  <si>
    <t>Fala sobre o esforço do país para o desenvolvimento naval do país para se tornar um membro contribuinte e valioso para OTAN</t>
  </si>
  <si>
    <t>2024/09/23 7:26:37 PM GMT-3</t>
  </si>
  <si>
    <t>Svenska marinen in NATO: Opportunities and Challenges</t>
  </si>
  <si>
    <t>https://drive.google.com/u/0/open?usp=forms_web&amp;id=1JlRC3rvQUWenbUVQ0jr4NqsMy3OmSpEu</t>
  </si>
  <si>
    <t>Indica as principais desafios e oportunidades para o país na OTAN, além de possíveis estratégias</t>
  </si>
  <si>
    <t>2024/09/23 7:35:11 PM GMT-3</t>
  </si>
  <si>
    <t>Government Office of Sweden</t>
  </si>
  <si>
    <t>Statement of Government Policy Following Sweden’s Accession to NATO</t>
  </si>
  <si>
    <t>https://drive.google.com/u/0/open?usp=forms_web&amp;id=1cBrJhwxgNGUl_oYqPh_wMp3-e8ifUyjW</t>
  </si>
  <si>
    <t>Discurso de ascensão ao NATO. Importantes aspectos de Policy abordados e atuação abordados</t>
  </si>
  <si>
    <t>2024/09/23 7:48:12 PM GMT-3</t>
  </si>
  <si>
    <t>SWEDISH DEFENCE COMMISSION</t>
  </si>
  <si>
    <t>The Swedish Defence Commission’s report on the development of the military defence</t>
  </si>
  <si>
    <t>https://drive.google.com/u/0/open?usp=forms_web&amp;id=1nedtK3kWGUjHP_PqmsIwfuqDZgePK0Dr</t>
  </si>
  <si>
    <t>Discursa sobre o papel do país como aliada. Por volta da página 24, é sugerido que a Marinha deve ser elegida como uma força combatente, dispondo sobre outras estratégias de meio naval</t>
  </si>
  <si>
    <t>2024/09/23 7:55:02 PM GMT-3</t>
  </si>
  <si>
    <t>Sweden as an Ally: Implications for the Royal Swedish Navy and NATO​</t>
  </si>
  <si>
    <t>https://drive.google.com/u/0/open?usp=forms_web&amp;id=1KiN3fESVGsuwNtsx2S57bMcq23htgm4s</t>
  </si>
  <si>
    <t>Discursa, sobretudo, acerca do futuro da Marinha sueca</t>
  </si>
  <si>
    <t>2024/09/23 8:00:16 PM GMT-3</t>
  </si>
  <si>
    <t>Ministry of Defence of the Republic of Latvia</t>
  </si>
  <si>
    <t>THE NATIONAL DEFENCE CONCEPT</t>
  </si>
  <si>
    <t>https://drive.google.com/u/0/open?usp=forms_web&amp;id=1ee05NC_ObK9_MYJrDlTJKJNwBW5G1k21</t>
  </si>
  <si>
    <t>Documento que fala sobre estratégias de defesa nacional da Letônia e descreve a estratégia de defesa nacional da Letônia em um contexto de crescentes preocupações com a postura da Rússia na região do Mar Báltico</t>
  </si>
  <si>
    <t>2024/09/24 2:59:16 AM GMT-3</t>
  </si>
  <si>
    <t>Ministério da Defesa Nacional da Lituânia</t>
  </si>
  <si>
    <t>The-Lithuanian-armed-forces</t>
  </si>
  <si>
    <t>https://drive.google.com/u/0/open?usp=forms_web&amp;id=1xnZJrpaJAn3uG1WOdihWvzCa4ESDSpLG</t>
  </si>
  <si>
    <t>É um relatório oficial publicado pelo Ministério da Defesa Nacional da Lituânia</t>
  </si>
  <si>
    <t>2024/09/24 3:51:17 AM GMT-3</t>
  </si>
  <si>
    <t>Military Cartography Centre of the Lithuanian Armed Forces</t>
  </si>
  <si>
    <t>Naval Flotilla</t>
  </si>
  <si>
    <t>https://drive.google.com/u/0/open?usp=forms_web&amp;id=1dUCsFySfF6f2YNNiuyTx1GPF_O4x0Z7F</t>
  </si>
  <si>
    <t>O documento se concentra em apresentar a Flotilha Naval Lituana de forma abrangente</t>
  </si>
  <si>
    <t>2024/09/24 4:00:27 AM GMT-3</t>
  </si>
  <si>
    <t>Exercito real da Holanda</t>
  </si>
  <si>
    <t>NATO Force Integration Unit: The Permanent Bridge Between NATO and Lithuania’s Armed F orces</t>
  </si>
  <si>
    <t>https://drive.google.com/u/0/open?usp=forms_web&amp;id=1_wXXSXDcZ-7raeeV4PhoCYry8sTRqLVg</t>
  </si>
  <si>
    <t>O documento em questão é um artigo intitulado "Unidade de Integração das Forças da OTAN: A Ponte Permanente Entre a OTAN e as Forças Armadas da Lituânia"</t>
  </si>
  <si>
    <t>2024/09/24 4:11:57 AM GMT-3</t>
  </si>
  <si>
    <t>Ministério da Defesa Nacional da República da Lituânia</t>
  </si>
  <si>
    <t>Lithuania: Defence Policy of Lithuania 2002</t>
  </si>
  <si>
    <t>https://drive.google.com/u/0/open?usp=forms_web&amp;id=1G82Ewii6sEdkDTvceFffFnmZJ3uq8map</t>
  </si>
  <si>
    <t>O documento em questão é o "Livro Branco" da Lituânia, publicado em 2002 pelo Ministério da Defesa Nacional da República da Lituânia.</t>
  </si>
  <si>
    <t>2024/09/24 4:39:17 AM GMT-3</t>
  </si>
  <si>
    <t>University of Zagreb, Croatia</t>
  </si>
  <si>
    <t>Seakeeping Performance of a New Coastal Patrol Ship for the Croatian Navy</t>
  </si>
  <si>
    <t>https://drive.google.com/u/0/open?usp=forms_web&amp;id=1_IZQdfzFfiTptq9EXO9icOYQ8QSPFz5n</t>
  </si>
  <si>
    <t>O relatório aborda o estudo de protótipos que possibilitam a navegabilidade para vigilância, monitoramento e comunicação em várias condições marítimas, como a capacidade do navio ser manobrado em diferentes condições e a navegabilidade quanto ao seu desempenho em relação a movimentos, acelerações e outros comportamentos em mar aberto.</t>
  </si>
  <si>
    <t>2024/09/24 10:45:54 AM GMT-3</t>
  </si>
  <si>
    <t>Real Instituto Elcano.</t>
  </si>
  <si>
    <t>Choreographing a pas de deux: a Dutch perspective on NATO’s (and the EU’s) near future</t>
  </si>
  <si>
    <t>https://drive.google.com/u/0/open?usp=forms_web&amp;id=18wQe8w8hYLOT5CQhAaFM3HxLb2uFRPjN</t>
  </si>
  <si>
    <t>Estudo sobre atuação dos Países Baixos na Otan.</t>
  </si>
  <si>
    <t>2024/09/24 1:37:13 PM GMT-3</t>
  </si>
  <si>
    <t>THE NETHERLANDS AND THE FUTURE OF NATO. THREE VISIONS FOR NATO Mapping National Debates on the Future of the Atlantic Alliance.</t>
  </si>
  <si>
    <t>https://drive.google.com/u/0/open?usp=forms_web&amp;id=1Oby7fDs4HPPri06bh7DhltWFjptiHwgs</t>
  </si>
  <si>
    <t>2024/09/24 1:46:42 PM GMT-3</t>
  </si>
  <si>
    <t>CINAV, Escola Naval, Instituto Universitário Militar, Base Naval de Lisboa, Portugal</t>
  </si>
  <si>
    <t>Conceptual Design of an Unmanned Electrical Amphibious Vehicle for Ocean and Land Surveillance</t>
  </si>
  <si>
    <t>https://drive.google.com/u/0/open?usp=forms_web&amp;id=1zHNNtjPpr5uriIoHFHLQaH-3q642O28F</t>
  </si>
  <si>
    <t>Podemos perceber que o desenvolvimento do A-UGV, embora motivado por necessidades específicas de Portugal, também possui uma dimensão relevante para a OTAN. A participação em exercícios conjuntos e o desenvolvimento de capacidades militares interoperáveis são aspetos importantes da colaboração entre os membros da OTAN.</t>
  </si>
  <si>
    <t>2024/09/24 2:16:20 PM GMT-3</t>
  </si>
  <si>
    <t>Netaji Institute for Asian Studies</t>
  </si>
  <si>
    <t>India, ASEAN and indo-pacific geopolitics; [India, ASEAN y la geopolítica del Indo-Pacífico]</t>
  </si>
  <si>
    <t>https://drive.google.com/u/0/open?usp=forms_web&amp;id=1RmXBMzEvLdr5Tcf86XtgTek5Dd-lWfzO</t>
  </si>
  <si>
    <t>O artigo argumenta que a região do Indo-Pacífico está se tornando cada vez mais importante para a segurança e defesa, tanto da Índia quanto dos países da ASEAN. Essa importância se deve a diversos fatores, incluindo: Ascensão da China; 
 Interesses econômicos; Disputas territoriais; Cooperação em segurança. O artigo se concentra em analisar a situação geopolítica atual e histórica, sem se aprofundar em previsões futuras ou cenários prospectivos. A pesquisa utiliza eventos passados e presentes para contextualizar a situação geopolítica atual e as relações entre os países mencionados</t>
  </si>
  <si>
    <t>2024/09/25 10:16:03 AM GMT-3</t>
  </si>
  <si>
    <t>Universidade de Coventry</t>
  </si>
  <si>
    <t>Preventing Catastrophic Cyber–Physical Attacks on the Global Maritime Transportation System: A Case Study of Hybrid Maritime Security in the Straits of Malacca and Singapore</t>
  </si>
  <si>
    <t>https://drive.google.com/u/0/open?usp=forms_web&amp;id=1PEUv3r1bnEMOYd8n5DhIBa6ms2xyqAFE</t>
  </si>
  <si>
    <t>O documento se concentra na segurança do sistema de transporte marítimo global, especificamente na prevenção de ataques ciberfísicos. O foco principal é a segurança, com a defesa sendo um componente crucial dentro desse contexto.
 Vejamos alguns pontos importantes: Ameaças Híbridas; Atores Não Estatais; Medidas de Governança; Prevenção; Mitigação e Resposta. Em resumo, o documento demonstra uma abordagem prospectiva ao analisar tendências e fatores emergentes para antecipar riscos e desafios futuros na segurança cibernética marítima.</t>
  </si>
  <si>
    <t>2024/09/25 10:38:56 AM GMT-3</t>
  </si>
  <si>
    <t>Jawaharlal Nehru University</t>
  </si>
  <si>
    <t>India's maritime diplomacy in South West Indian Ocean: Evaluating strategic partnerships</t>
  </si>
  <si>
    <t>https://drive.google.com/u/0/open?usp=forms_web&amp;id=1ZzV1inX3NtsmZPryMZCRzueVFD5TyzyX</t>
  </si>
  <si>
    <t>Ações da Índia como "Sementes de Futuro": Parcerias estratégicas; Investimento em infraestrutura; Cooperação com a França. Métodos Prospectivos Implícitos: Análise do contexto geopolítico Diversificação de parcerias;</t>
  </si>
  <si>
    <t>2024/09/25 11:00:08 AM GMT-3</t>
  </si>
  <si>
    <t>Romania’s Naval Forces at crossroads</t>
  </si>
  <si>
    <t>https://drive.google.com/u/0/open?usp=forms_web&amp;id=1R1M5RjQW9nlEdoutzWtZZFwx1csnNuLs</t>
  </si>
  <si>
    <t>Policy Paper acerca do papel da Marinha do país, possibilidades e recomendações de desenvolvimento visto ameaças estratégicas</t>
  </si>
  <si>
    <t>2024/09/25 6:18:47 PM GMT-3</t>
  </si>
  <si>
    <t>Future Scenarios Concept: Trends and Implications for Security and Defence</t>
  </si>
  <si>
    <t>https://drive.google.com/u/0/open?usp=forms_web&amp;id=1buIBIINhCPa4J1g5WvMVWj8z_NMB7xFS</t>
  </si>
  <si>
    <t>Relatório elaborado sobre Segurança e Defesa do Governo italiano para seu país.</t>
  </si>
  <si>
    <t>2024/09/25 7:35:02 PM GMT-3</t>
  </si>
  <si>
    <t>How High? The Future of European Naval Power and the High-End Challenge</t>
  </si>
  <si>
    <t>https://drive.google.com/u/0/open?usp=forms_web&amp;id=1Srcw1Q9cdTjhEOIZNJkQG5zi9e1OPXJo</t>
  </si>
  <si>
    <t>2024/09/25 7:39:19 PM GMT-3</t>
  </si>
  <si>
    <t>PiracyAnalyzer: Spatial temporal patterns analysis of global piracy incidents</t>
  </si>
  <si>
    <t>https://drive.google.com/u/0/open?usp=forms_web&amp;id=15DeKTlctY2NEskDHgMx8XGdu4RpZoep5</t>
  </si>
  <si>
    <t>A OTAN poderia usar este tipo de relatório para informar as suas operações de segurança marítima, nomeadamente a Operação Ocean Shield, que foi conduzida no Chifre de África de 2009 a 2016. Adicionalmente, a OTAN tem parcerias com outras organizações internacionais que lidam com a pirataria marítima, como a União Europeia, e este relatório pode ser um recurso valioso para essas colaborações.</t>
  </si>
  <si>
    <t>Patricia</t>
  </si>
  <si>
    <t>2024/09/26 10:25:56 AM GMT-3</t>
  </si>
  <si>
    <t>Towards automated ship detection and category recognition from high-resolution aerial images</t>
  </si>
  <si>
    <t>https://drive.google.com/u/0/open?usp=forms_web&amp;id=11i2MQohtVa_mwZY0peqzsqFkKIJjbD83</t>
  </si>
  <si>
    <t>O artigo descreve uma estrutura inovadora para a detecção e classificação de navios em imagens aéreas de alta resolução. Essa tecnologia tem o potencial de ser aplicada em áreas de interesse da OTAN, como: vigilância Marítima; Inteligência Geoespacial; Operações de Busca e Resgate:</t>
  </si>
  <si>
    <t>2024/09/26 10:41:35 AM GMT-3</t>
  </si>
  <si>
    <t>Efficient Size and Heading Angle Estimation of Ships in SAR and ISAR Images</t>
  </si>
  <si>
    <t>https://drive.google.com/u/0/open?usp=forms_web&amp;id=1ezUcFza3uaXirqI8QexOKpkxYOqp-UrV</t>
  </si>
  <si>
    <t>A tecnologia apresentada tem o potencial de aprimorar significativamente as capacidades da organização em áreas como vigilância marítima, rastreamento de embarcações e avaliação de ameaças.O artigo apresenta um novo método, o "Eigen-Based", para a estimativa de tamanho e ângulo de proa de navios em imagens SAR e ISAR, com potencial para aplicações em tempo real. Essa característica se encaixa na definição de modelagem prospectiva, que busca antecipar cenários futuros e propor soluções inovadoras.</t>
  </si>
  <si>
    <t>2024/09/26 11:00:49 AM GMT-3</t>
  </si>
  <si>
    <t>Geoinformation support of the Mediterranean branch of the Silk Road; [ГЕОИНФОРМАЦИОННОЕ СОПРОВОЖДЕНИЕ СРЕДИЗЕМНОМОРСКОЙ ВЕТВИ ШЁЛКОВОГО ПУТИ]</t>
  </si>
  <si>
    <t>https://drive.google.com/u/0/open?usp=forms_web&amp;id=1deRsznHOKXlTz_ZXz5q1YwL-wXI1pnWJ</t>
  </si>
  <si>
    <t>A crescente presença da China no domínio marítimo, sua expansão na infraestrutura digital e a dinâmica complexa de cooperação e competição com a Europa apresentam desafios e oportunidades importantes para a OTAN, exigindo que a aliança adapte suas estratégias e políticas para enfrentar a mudança da paisagem geopolítica.</t>
  </si>
  <si>
    <t>2024/09/26 11:36:36 AM GMT-3</t>
  </si>
  <si>
    <t>Looking under the hood of joint naval exercises: motives and perceived benefits for Japan</t>
  </si>
  <si>
    <t>https://drive.google.com/u/0/open?usp=forms_web&amp;id=1c1t1DvNbu6e_rqMRPaFjJ4GbcRXXuo72</t>
  </si>
  <si>
    <t>Em resumo, embora as fontes fornecidas não discutam a OTAN, a análise dos JNEs no Indo-Pacífico oferece insights relevantes sobre a importância dos exercícios militares conjuntos para alianças militares em geral. Os JNEs são ferramentas importantes para fortalecer alianças, dissuadir adversários e melhorar a interoperabilidade entre as forças armadas.</t>
  </si>
  <si>
    <t>2024/09/26 11:47:19 AM GMT-3</t>
  </si>
  <si>
    <t>Assessment of threats related to maritime crimes in the Arctic</t>
  </si>
  <si>
    <t>https://drive.google.com/u/0/open?usp=forms_web&amp;id=16jYMwnjTsT1m1vQidMjbNlCpsoi-MX45</t>
  </si>
  <si>
    <t>Alguns pontos relevantes a partir da análise do conteúdo dos textos em relação à OTAN, considerando que: - O Ártico é uma área de interesse geopolítico crescente; -A Rússia é um ator central no Ártico; - A OTAN tem se mostrado preocupada com a atividade russa no Ártico. Podemos inferir que a crescente importância estratégica do Ártico, combinada com a crescente presença e atividade militar da Rússia na região, pode tornar a área um ponto de atenção para a OTAN.</t>
  </si>
  <si>
    <t>2024/09/27 4:19:38 PM GMT-3</t>
  </si>
  <si>
    <t>NATO 2030 Towards a New Strategic Concept and Beyond Jason Blessin</t>
  </si>
  <si>
    <t>https://drive.google.com/u/0/open?usp=forms_web&amp;id=1CTYaQ1aPyOD4sR83fGBcZ5hZLbHEa1MW</t>
  </si>
  <si>
    <t>Embora as fontes não usem o termo exato "cenários prospectivos", elas exploram cenários futuros e ameaças potenciais, enfatizando a importância da prontidão e adaptação, especialmente no contexto de tecnologias em rápida evolução como a IA no contexto da OTAN.</t>
  </si>
  <si>
    <t>2024/09/28 2:45:59 AM GMT-3</t>
  </si>
  <si>
    <t>U.S NAVAL COLLEGE, NEWPORT, RHODE ISLAND</t>
  </si>
  <si>
    <t>NATO’S SELECTIVE SEA BLINDNESS Assessing the Alliance’s New Navie</t>
  </si>
  <si>
    <t>https://drive.google.com/u/0/open?usp=forms_web&amp;id=1flac4JUO3jc6ToVHV4Ecy9X2HwJwV4Xs</t>
  </si>
  <si>
    <t>O relatório menciona a Croácia, Bélgica, Dinamarca e Bulgária. As fontes discutem a Croácia e a Bulgária em relação às suas marinhas. Especificamente, as fontes concentram-se na modernização e nos desafios enfrentados pelas marinhas dos novos membros da NATO.</t>
  </si>
  <si>
    <t>2024/09/28 8:08:37 PM GMT-3</t>
  </si>
  <si>
    <t>Sensor control in anti-submarine warfare-A digital twin and random finite sets based approach</t>
  </si>
  <si>
    <t>https://drive.google.com/u/0/open?usp=forms_web&amp;id=1vT4KXhNBQ2OtBDc8zSClGmMRwdqIrHFM</t>
  </si>
  <si>
    <t>É importante ressaltar que a pesquisa foi realizada por uma instituição ligada ao exército chinês. A China é frequentemente considerada uma rival estratégica da OTAN, especialmente no domínio marítimo.</t>
  </si>
  <si>
    <t>2024/10/01 9:45:34 AM GMT-3</t>
  </si>
  <si>
    <t>Disturbance-Observer-Based Sliding Mode Control Design for Nonlinear Unmanned Surface Vessel with Uncertainties</t>
  </si>
  <si>
    <t>https://drive.google.com/u/0/open?usp=forms_web&amp;id=1ftpR0xQZS9cfW2XNS_ukZjnhzQ-808QW</t>
  </si>
  <si>
    <t>O artigo destaca a capacidade do sistema de controle em lidar com distúrbios e incertezas, tornando-o adequado para ambientes marítimos desafiadores. Essa robustez é crucial para operações navais da OTAN e menciona a capacidade de rastreamento preciso de trajetória do sistema de controle, permitindo que USVs sigam rotas complexas. Essa característica é valiosa para missões de vigilância e patrulha, onde a discrição e a capacidade de manobra são essenciais.</t>
  </si>
  <si>
    <t>2024/10/01 10:18:49 AM GMT-3</t>
  </si>
  <si>
    <t>Analysis of risk factors influencing the safety of maritime container supply chains</t>
  </si>
  <si>
    <t>https://drive.google.com/u/0/open?usp=forms_web&amp;id=1s_ebn5Jt4aue2vZFCmcIqcQw2PSNP3Jj</t>
  </si>
  <si>
    <t>As fontes fornecidas discutem fatores de risco em cadeias de suprimentos de contêineres marítimos, com foco particular na China.</t>
  </si>
  <si>
    <t>2024/10/01 10:42:16 AM GMT-3</t>
  </si>
  <si>
    <t>CLINGENDAEL</t>
  </si>
  <si>
    <t>Nato Future Worlds Long Term Requirements Study</t>
  </si>
  <si>
    <t>https://drive.google.com/u/0/open?usp=forms_web&amp;id=1cj8rsRkuIHTrp-xAqafN-6BrMfCwqx9u</t>
  </si>
  <si>
    <t>2024/10/01 5:34:42 PM GMT-3</t>
  </si>
  <si>
    <t>The Norwegian Defence Pledge Long-term Defence Plan 2025–2036</t>
  </si>
  <si>
    <t>https://drive.google.com/u/0/open?usp=forms_web&amp;id=14Xm6uEUrVGGxKjY4tCs7bWwPARxkR3VM</t>
  </si>
  <si>
    <t>Plano de Defesa de Longo Prazo em Conjunto com a OTAN</t>
  </si>
  <si>
    <t>2024/10/01 5:40:17 PM GMT-3</t>
  </si>
  <si>
    <t>Geopolitics of the Sea: The Idea of Ocean Control in the Political Discourse of Independent India</t>
  </si>
  <si>
    <t>https://drive.google.com/u/0/open?usp=forms_web&amp;id=1v0MRX5SbZ9W_6ezLFyzD4gA8GGklkS9E</t>
  </si>
  <si>
    <t>Alguns pontos que podem ser relevantes para a OTAN no contexto do Oceano Índico:●
 Segurança energética: Muitos países da OTAN dependem do petróleo e gás natural que transitam pelo Oceano Índico. ● Combate ao terrorismo e pirataria: A região tem sido palco de atividades terroristas e de pirataria marítima. ● Ascensão da China: A crescente influência da China no Oceano Índico, mencionada nas fontes no contexto da estratégia indiana, também representa um ponto de atenção para a OTAN. A organização pode ter interesse em conter a expansão da influência chinesa na região.</t>
  </si>
  <si>
    <t>2024/10/02 4:50:47 PM GMT-3</t>
  </si>
  <si>
    <t>Enhancing maritime transportation security: A data-driven Bayesian network analysis of terrorist attack risks</t>
  </si>
  <si>
    <t>https://drive.google.com/u/0/open?usp=forms_web&amp;id=1R_RayDDjsscG_rrqIlDHkydogJyx4vS8</t>
  </si>
  <si>
    <t>O estudo apresenta uma abordagem prospectiva robusta que, além de analisar dados históricos, fornece uma estrutura sólida para a previsão e prevenção de terrorismo marítimo. As sementes de futuro identificadas abrem caminho para pesquisas e ações adicionais para mitigar esse risco global em constante evolução. Pontos importantes para a OTAN.</t>
  </si>
  <si>
    <t>2024/10/02 4:59:44 PM GMT-3</t>
  </si>
  <si>
    <t>LITHUANIAN ARMED FORCES NAVY e Naval Flotilla</t>
  </si>
  <si>
    <t>https://drive.google.com/u/0/open?usp=forms_web&amp;id=1pHMRPKXAauyq0iXgzdEV4QQvpkOOTu_x</t>
  </si>
  <si>
    <t>Este documento é um panfleto que fornece uma visão geral da Flotilha Naval, que é o principal componente da Marinha das Forças Armadas da Lituânia.</t>
  </si>
  <si>
    <t>2024/10/03 10:23:02 AM GMT-3</t>
  </si>
  <si>
    <t>Summary of the National Reports of NATO Member and Partner Nations to the NATO Committee on Gender Perspectives</t>
  </si>
  <si>
    <t>https://drive.google.com/u/0/open?usp=forms_web&amp;id=1bgVVnDliHAbva70beCmugaAxQQ9rW2aS</t>
  </si>
  <si>
    <t>Este documento é um relatório abrangente que resume os relatórios nacionais dos estados membros e parceiros da OTAN sobre a implementação da Resolução 1325 do Conselho de Segurança das Nações Unidas (RCSNU 1325) sobre Mulheres, Paz e Segurança (WPS)</t>
  </si>
  <si>
    <t>2024/10/03 10:34:46 AM GMT-3</t>
  </si>
  <si>
    <t>Summary of National Reports 2020</t>
  </si>
  <si>
    <t>https://drive.google.com/u/0/open?usp=forms_web&amp;id=1hwCWyn-DGDtCsmQWKpT34-4pYTjW7U2_</t>
  </si>
  <si>
    <t>Este documento, "Resumo dos Relatórios Nacionais de 2020", analisa os esforços dos estados membros e parceiros da OTAN para integrar a perspectiva de gênero em suas Forças Armadas. O relatório compila dados voluntários fornecidos por 29 países membros e 11 parceiros, demonstrando o compromisso contínuo com a implementação da Resolução 1325 do Conselho de Segurança das Nações Unidas (RCSNU 1325)</t>
  </si>
  <si>
    <t>2024/10/03 10:50:19 AM GMT-3</t>
  </si>
  <si>
    <t>https://drive.google.com/u/0/open?usp=forms_web&amp;id=1kcTEGv1_rDs6lWFkkk-Q8TuDiKX0KN02</t>
  </si>
  <si>
    <t>A relevância do relatório reside em sua análise da transição da Lituânia de um modelo de defesa territorial para um modelo de defesa coletiva no contexto da OTAN.</t>
  </si>
  <si>
    <t>2024/10/03 11:14:36 AM GMT-3</t>
  </si>
  <si>
    <t>prif.org</t>
  </si>
  <si>
    <t>Uma publicação do Exército dos Estados Unidos, mais especificamente, da Army University Press.</t>
  </si>
  <si>
    <t>NATO’s Most Vulnerable Flank, but Not for the Reasons We Think</t>
  </si>
  <si>
    <t>https://drive.google.com/u/0/open?usp=forms_web&amp;id=1z-GvTSKBu29SmmtDej7D7Qt5HeRpR2Q8</t>
  </si>
  <si>
    <t>O foco principal do documento é analisar a vulnerabilidade dos estados bálticos (Estônia, Letônia e Lituânia) em relação à segurança alimentar em um possível conflito com a Rússia.</t>
  </si>
  <si>
    <t>2024/10/03 11:41:55 AM GMT-3</t>
  </si>
  <si>
    <t>www.armyupress.army.mil</t>
  </si>
  <si>
    <t>Gunboats and butter: The two percent guideline and NATO burden shifting in the maritime domain</t>
  </si>
  <si>
    <t>https://drive.google.com/u/0/open?usp=forms_web&amp;id=13IPnFEWgTjsfXVs5MMj2_vLcJ5s87yE-</t>
  </si>
  <si>
    <t>O estudo analisa a OTAN, e especificamente, o impacto da promessa feita na Cúpula do País de Gales de 2014 sobre o poder naval dos seus membros.</t>
  </si>
  <si>
    <t>2024/10/03 11:42:50 AM GMT-3</t>
  </si>
  <si>
    <t>NATIONAL THREAT ASSESSMENT</t>
  </si>
  <si>
    <t>https://drive.google.com/u/0/open?usp=forms_web&amp;id=1dNawnwl45ugwkgpqq1JazFbAIz9ksS_H</t>
  </si>
  <si>
    <t>O documento em questão é o "NATIONAL THREAT ASSESSMENT" (Avaliação Nacional de Ameaças) de 2024, produzido pelo Departamento de Segurança do Estado da República da Lituânia em colaboração com o Serviço de Inteligência e Segurança de Defesa sob o Ministério da Defesa Nacional da Lituânia. O relatório oferece uma análise detalhada das ameaças e riscos à segurança nacional da Lituânia, com base em informações coletadas até 25 de fevereiro de 2024.</t>
  </si>
  <si>
    <t>2024/10/03 11:53:04 AM GMT-3</t>
  </si>
  <si>
    <t>Sea blindness in grey zone preparations</t>
  </si>
  <si>
    <t>https://drive.google.com/u/0/open?usp=forms_web&amp;id=1H3JcuiPgTpdvLYueaxVRHIVbF1TrkQ8Y</t>
  </si>
  <si>
    <t>O estudo destaca a importância crítica da segurança marítima para os países da OTAN no contexto das ameaças híbridas em evolução, defendendo uma maior conscientização sobre a importância do domínio marítimo, o fortalecimento das capacidades de segurança marítima e a cooperação internacional para proteger a infraestrutura marítima crítica e garantir o acesso seguro aos oceanos e mares.</t>
  </si>
  <si>
    <t>2024/10/03 11:55:29 AM GMT-3</t>
  </si>
  <si>
    <t>LITHUANIA IN THE GLOBAL CONTEXT: NATIONAL SECURITY AND DEFENCE POLICY DILEMMAS</t>
  </si>
  <si>
    <t>https://drive.google.com/u/0/open?usp=forms_web&amp;id=1MWhKLLeq9mhZ0tLX_wNXtLmwKPpIsMjF</t>
  </si>
  <si>
    <t>O Relatório "NATIONAL THREAT ASSESSMENT" (Avaliação Nacional de Ameaças) de 2024, elaborado pelo Departamento de Segurança do Estado da República da Lituânia e o Serviço de Inteligência e Segurança de Defesa, é extremamente relevante para a segurança nacional da Lituânia. Ele fornece uma análise abrangente e atualizada das ameaças e riscos que o país enfrenta, servindo como base para a formulação de políticas e estratégias de defesa.
 Embora o relatório não descreva em detalhes o método específico utilizado para produzir o estudo, ele esclarece alguns aspectos da metodologia na seção "Introdução" (página 32)</t>
  </si>
  <si>
    <t>2024/10/03 12:02:55 PM GMT-3</t>
  </si>
  <si>
    <t>kam.lt</t>
  </si>
  <si>
    <t>Towards a secure automatic identification system (AIS)</t>
  </si>
  <si>
    <t>https://drive.google.com/u/0/open?usp=forms_web&amp;id=1zxCxvRJ9jelDc1NHxV0OMcGmwLfD7Yui</t>
  </si>
  <si>
    <t>O estudo sobre a segurança do AIS tem implicações significativas para os países da OTAN, pois destaca vulnerabilidades e propõe soluções para melhorar a segurança de um sistema crucial para a segurança marítima, vigilância, inteligência e gestão de crises.</t>
  </si>
  <si>
    <t>2024/10/03 12:13:52 PM GMT-3</t>
  </si>
  <si>
    <t>The application of CBA and SUG model for improving the quality of indonesian navy human resources</t>
  </si>
  <si>
    <t>https://drive.google.com/u/0/open?usp=forms_web&amp;id=1J5iXTGhEcs8fI9AF2G-2uDZa-UIy971b</t>
  </si>
  <si>
    <t>O estudo em questão foca na melhoria das capacidades de segurança marítima da Marinha Indonésia o que pode ter relevância indireta para os países da OTAN, seja na Segurança Marítima Global: Uma Marinha Indonésia mais eficaz em suas funções de segurança marítima pode contribuir para a estabilidade regional e, por consequência, impactar positivamente o comércio internacional e a segurança global, áreas de interesse da OTAN. E também na Cooperação Internacional: o desenvolvimento de capacidades da Marinha Indonésia poderia, hipoteticamente, abrir caminho para futuras colaborações em treinamentos ou exercícios conjuntos com países da OTAN, caso haja interesse mútuo.</t>
  </si>
  <si>
    <t>2024/10/03 12:24:52 PM GMT-3</t>
  </si>
  <si>
    <t>Special Warfare: JULY - SEPTEMBER 2019 VOLUME 32 | ISSUE 3</t>
  </si>
  <si>
    <t>https://drive.google.com/u/0/open?usp=forms_web&amp;id=1YqNp3Ka1Jpd0Wemjm-7sInZjYO3xcNhg</t>
  </si>
  <si>
    <t>A revista "Special Warfare" dedica uma edição inteira ao tema da "Resistência", com foco específico na Lituânia, Letônia e Estônia e em seus esforços para se preparar para uma possível agressão russa. Essa edição analisa a história, as estratégias e os desafios da resistência no contexto dos países bálticos, tornando-se uma fonte valiosa para a análise da situação geopolítica da região.</t>
  </si>
  <si>
    <t>2024/10/03 3:14:11 PM GMT-3</t>
  </si>
  <si>
    <t>Departament of State - United States of America</t>
  </si>
  <si>
    <t>Integrated Country Strategy Lithuania</t>
  </si>
  <si>
    <t>https://drive.google.com/u/0/open?usp=forms_web&amp;id=1SwiHe0oXEPZjdnmu0g6Sf82_W41cht7g</t>
  </si>
  <si>
    <t>Em resumo, o documento "Integrated Country Strategy: Lithuania" apresenta um plano detalhado para fortalecer a parceria estratégica entre os EUA e a Lituânia, com foco na segurança regional, desenvolvimento econômico e promoção de valores democráticos. Ele demonstra o compromisso contínuo dos EUA em apoiar a Lituânia como um aliado fundamental na região do Báltico</t>
  </si>
  <si>
    <t>2024/10/03 3:26:42 PM GMT-3</t>
  </si>
  <si>
    <t>Universidade de Cádiz (Espanha) e Escola Superior de Guerra (Colômbia)</t>
  </si>
  <si>
    <t>MUTUAL ASSISTANCE IN THE FRAMEWORK OF THE INTERNATIONAL LAW OF THE SEA AGAINST ILLICIT DRUG TRAFFICKING BY SEA: THE CASE OF SPAIN AND COLOMBIA</t>
  </si>
  <si>
    <t>https://drive.google.com/u/0/open?usp=forms_web&amp;id=10MV4v2judBhgv3EAG72ss_7C4HEyQbm0</t>
  </si>
  <si>
    <t>Os acordos bilaterais assinados pela Espanha, Itália e Portugal, assim como o acordo entre a Colômbia e os Estados Unidos, ilustram diferentes cenários de cooperação internacional na luta contra o tráfico de drogas por mar. As nuances de cada acordo revelam as complexidades e desafios inerentes a esta área do direito internacional.</t>
  </si>
  <si>
    <t>2024/10/04 11:04:26 AM GMT-3</t>
  </si>
  <si>
    <t>www.reei.org</t>
  </si>
  <si>
    <t>Universidade de St. Andrews, Reino Unido; Universidade da Nigéria, Nsukka, Nigéria.</t>
  </si>
  <si>
    <t>De quem é a segurança? O elitismo e a abordagem global à segurança marítima em África</t>
  </si>
  <si>
    <t>https://drive.google.com/u/0/open?usp=forms_web&amp;id=1F6G2OtgvYgcITgsDoUaRuI1mNU27Bxo7</t>
  </si>
  <si>
    <t>A OTAN é mencionada especificamente no contexto da resposta global à pirataria na costa da Somália, pois liderou a coalizão internacional, que incluiu os EUA e outras forças navais, em esforços coordenados para combater a pirataria no Golfo de Aden. Essa ação foi uma resposta às resoluções da ONU sobre o tema. Apesar da presença da OTAN ter contribuído para a redução da pirataria na região, a pesca ilegal, não declarada e não regulamentada (INN) continua a ser um problema significativo.</t>
  </si>
  <si>
    <t>2024/10/04 11:46:04 AM GMT-3</t>
  </si>
  <si>
    <t>Migrant rescue as organized hypocrisy: EU maritime missions offshore Libya between humanitarianism and border control</t>
  </si>
  <si>
    <t>https://drive.google.com/u/0/open?usp=forms_web&amp;id=1MiPxvuI84jF0vKIdawwmsqUaBPVmXcxD</t>
  </si>
  <si>
    <t>A análise se concentra na "hipocrisia organizada" dentro da UE, explorando o descompasso entre o discurso humanitário e as ações de controle de fronteiras. É plausível inferir que as missões, ao buscarem reduzir o fluxo de migrantes irregulares para a Europa, poderiam indiretamente afetar os países da OTAN</t>
  </si>
  <si>
    <t>2024/10/04 12:27:34 PM GMT-3</t>
  </si>
  <si>
    <t>Maritime border formalities, facilitation and security nexus: Reconstructing immigration clearance in Indonesia</t>
  </si>
  <si>
    <t>https://drive.google.com/u/0/open?usp=forms_web&amp;id=1ckUhHzogB1_NrGNCCgoF88QiY9Pu8TKC</t>
  </si>
  <si>
    <t>O artigo registra pesquisa sobre as melhores práticas de segurança marítima, como o uso de tecnologia e a necessidade de coordenação interinstitucional, podendo ter relevância geral para os países da OTAN</t>
  </si>
  <si>
    <t>2024/10/04 12:40:53 PM GMT-3</t>
  </si>
  <si>
    <t>OSINT Combine, Sydney, Nova Gales do Sul, Austrália</t>
  </si>
  <si>
    <t>Shining a light on AIS Blackouts with maritime OSINT</t>
  </si>
  <si>
    <t>https://drive.google.com/u/0/open?usp=forms_web&amp;id=1E-MF_BsUVLnvMPwhtQGS5M0N96G-b1L_</t>
  </si>
  <si>
    <t>Embora o artigo não mencione a OTAN diretamente, a sua relevância para a organização pode ser inferida a partir da discussão sobre as vulnerabilidades do Sistema de Identificação Automática (AIS) e o valor da OSINT marítima na segurança marítima.</t>
  </si>
  <si>
    <t>2024/10/04 12:47:26 PM GMT-3</t>
  </si>
  <si>
    <t>The Black Sea Thread in Russian Foreign Policy and How the United States Can Respond</t>
  </si>
  <si>
    <t>https://drive.google.com/u/0/open?usp=forms_web&amp;id=1FS7eyFAHdDTNHXRKgQIIVEtmwygGGidI</t>
  </si>
  <si>
    <t>O artigo propõe uma solução sustentável para conter a agressão russa por meio do apoio dos EUA à tendência atual de aumento da "autonomia estratégica" europeia dentro dos limites da aliança da OTAN.</t>
  </si>
  <si>
    <t>2024/10/04 1:44:34 PM GMT-3</t>
  </si>
  <si>
    <t>Universidade Politécnica de Hong Kong, em Hung Hom, Kowloon, Hong Kong, China.</t>
  </si>
  <si>
    <t>OntheK-MeansClustering Model for Performance Enhancement of Port State Control</t>
  </si>
  <si>
    <t>https://drive.google.com/u/0/open?usp=forms_web&amp;id=15tBUEHsAYT35B2mT5aPA5Rciao16xghm</t>
  </si>
  <si>
    <t>Embora o artigo não aborde diretamente a OTAN, a segurança marítima e a prevenção da poluição marinha são tópicos relevantes para a organização. A OTAN reconhece a importância da segurança marítima para a segurança geral dos seus membros, e a capacidade de identificar e inspecionar navios de alto risco poderia ser considerada útil nesse contexto. No entanto, é importante notar que esta é uma inferência que vai além do escopo do artigo, e seria necessário consultar outras fontes para determinar a importância deste artigo para a OTAN de forma mais completa.</t>
  </si>
  <si>
    <t>2024/10/04 2:51:01 PM GMT-3</t>
  </si>
  <si>
    <t>Universidade de Coventry, Coventry, Reino Unido</t>
  </si>
  <si>
    <t>Ships without crews: IMO and UK responses to cybersecurity, technology, law and regulation of maritime autonomous surface ships (MASS)</t>
  </si>
  <si>
    <t>https://drive.google.com/u/0/open?usp=forms_web&amp;id=1U6t8bQY97n9jHXVbWI8vlzoicMl2rB47</t>
  </si>
  <si>
    <t>Embora o artigo não aborde diretamente a defesa marítima, ele explora a ciber segurança em navios convencionais e não tripulados, um aspecto crucial para a defesa marítima na era digital. O artigo levanta uma série de incertezas relacionadas à implementação e regulamentação de navios autônomos, destacando a necessidade de um trabalho conjunto da comunidade internacional para garantir que esta tecnologia seja integrada de forma segura, responsável e sustentável no transporte marítimo internacional.</t>
  </si>
  <si>
    <t>2024/10/04 3:05:18 PM GMT-3</t>
  </si>
  <si>
    <t>Intelectual Economics</t>
  </si>
  <si>
    <t>AN EMPIRICAL ANALYSIS OF LUXEMBOURG’S POST-COLD WAR DEFENCE EXPENDITURE</t>
  </si>
  <si>
    <r>
      <rPr>
        <u/>
        <sz val="11"/>
        <color rgb="FF1155CC"/>
        <rFont val="Arial, sans-serif"/>
      </rPr>
      <t>https://drive.google.com/u/0/open?usp=forms_web&amp;id=1-ntpL6fxb1IhnDYRywDwKKCAd1nB8TOT</t>
    </r>
  </si>
  <si>
    <t>Sim, o documento discute os métodos utilizados na pesquisa sobre os gastos de defesa de Luxemburgo no período pós-Guerra Fria.</t>
  </si>
  <si>
    <t>2024/10/04 6:04:55 PM GMT-3</t>
  </si>
  <si>
    <t>Department of Computer Science, Memorial University of Newfoundland, St. John's, Canada</t>
  </si>
  <si>
    <t>A Study on the Geometric and Kinematic Descriptors of Trajectories in the Classification of Ship Types</t>
  </si>
  <si>
    <t>https://drive.google.com/u/0/open?usp=forms_web&amp;id=1P8o2sbN-Ks_u-mxR3Km49nHeNhbIB__v</t>
  </si>
  <si>
    <t>Este artigo, apesar de não mencionar a OTAN diretamente, apresenta conceitos com potencial relevância para as atividades da organização no domínio marítimo. Concentra-se na classificação de navios e análise de trajetórias, elementos cruciais para a segurança e defesa marítima, áreas de interesse da OTAN.</t>
  </si>
  <si>
    <t>2024/10/04 7:15:41 PM GMT-3</t>
  </si>
  <si>
    <t>An operational organisation for WEU: naval and maritime co-operation</t>
  </si>
  <si>
    <t>https://drive.google.com/u/0/open?usp=forms_web&amp;id=1Wn1E7TyfH_Smb1SLC-aFdjy9gv1V6OfH</t>
  </si>
  <si>
    <t>Embora o relatório detalhe a composição das marinhas dos estados membros da WEU (Apêndice I), Luxemburgo não é listado. Isso ocorre porque, na época da publicação do documento, Luxemburgo não possuía uma força naval. O país, por ser sem litoral, sempre teve uma participação limitada em operações navais.</t>
  </si>
  <si>
    <t>2024/10/04 8:49:38 PM GMT-3</t>
  </si>
  <si>
    <t>An Operational Organisation for WEU: Naval and Maritime Cooperation</t>
  </si>
  <si>
    <t>https://drive.google.com/u/0/open?usp=forms_web&amp;id=1lmDYGPjEPdyVaRFUi3LX4iqveTu5Gx9u</t>
  </si>
  <si>
    <t>apresenta um panorama abrangente das atividades e prioridades da organização naquele ano, com foco em ações, políticas e cooperação internacional. Embora a revista não se concentre em métodos de pesquisa, ela oferece insights valiosos sobre as estratégias e os desafios enfrentados pela OTAN no período pós-Guerra Fria</t>
  </si>
  <si>
    <t>2024/10/04 9:34:33 PM GMT-3</t>
  </si>
  <si>
    <t>Universidade Innlandet Noruega, Instituto Norueguês de Assuntos Internacionais (NUPI) e Instituto de Estudos Europeus da UC Berkeley, Elverum, Noruega</t>
  </si>
  <si>
    <t>The EU and the governance of the Maritime Global Space</t>
  </si>
  <si>
    <t>https://drive.google.com/u/0/open?usp=forms_web&amp;id=1x_qAuer7EON_ZWo_DNG1AY4R_BbaWKED</t>
  </si>
  <si>
    <t>O relatório se concentra nas políticas da União Europeia (UE) em relação ao domínio marítimo global, buscando entender como essas políticas contribuem para a governança desse espaço. Embora não se destine diretamente à OTAN, o artigo apresenta informações relevantes para a organização.</t>
  </si>
  <si>
    <t>2024/10/05 10:42:59 AM GMT-3</t>
  </si>
  <si>
    <t>Fundação Nacional de Ciências Naturais da China; Programa de Pesquisa Prioritária Estratégica da Academia Chinesa de Ciências.</t>
  </si>
  <si>
    <t>A Complete YOLO-Based Ship Detection Method for Thermal Infrared Remote Sensing Images under Complex Backgrounds</t>
  </si>
  <si>
    <t>https://drive.google.com/u/0/open?usp=forms_web&amp;id=13SO2IpEvpF36Q-n8RVLstQ5RZeWk99Vy</t>
  </si>
  <si>
    <t>O artigo demonstra ser altamente relevante para a área de defesa. Apesar de não mencionar a OTAN diretamente, ele apresenta avanços significativos na detecção de navios por meio de imagens térmicas, o que possui diversas aplicações militares.</t>
  </si>
  <si>
    <t>2024/10/05 10:55:45 AM GMT-3</t>
  </si>
  <si>
    <t>Centro de Segurança Cibernética, WMG, Universidade de Warwick; Coventry CV4 7AL, Reino Unido; Plymouth Business School, Universidade de Plymouth, Plymouth, Reino Unido; Instituto Allan Turing, Reino Unido; Marinha Helênica, Cholargos, Grécia</t>
  </si>
  <si>
    <t>A Vulnerability Centric System of Systems Analysis on the Maritime Transportation Sector Most Valuable Assets: Recommendations for Port Facilities and Ships</t>
  </si>
  <si>
    <t>https://drive.google.com/u/0/open?usp=forms_web&amp;id=1T9-tujDDT3TH5--hIsQEaZa16m-zbyYe</t>
  </si>
  <si>
    <t>Este relatório é importante para a defesa marítima, pois discute como a crescente digitalização do setor marítimo, embora traga muitos benefícios, também aumenta a vulnerabilidade a ataques cibernéticos.</t>
  </si>
  <si>
    <t>2024/10/05 11:07:42 AM GMT-3</t>
  </si>
  <si>
    <t>MGIMO University; Moscow Academy of the Investigative Committee of the Russian Federation,</t>
  </si>
  <si>
    <t>International legal framework on maritime piracy</t>
  </si>
  <si>
    <t>https://drive.google.com/u/0/open?usp=forms_web&amp;id=1hZxR54OQaXKQQXEJbaZxWQ0B67wZ4Xe6</t>
  </si>
  <si>
    <t>O relatório aborda como a Organização Marítima Internacional (IMO) contribui para combater a pirataria marítima, enfatizando seu papel na criação de medidas e recomendações para a segurança marítima.</t>
  </si>
  <si>
    <t>2024/10/05 11:39:23 AM GMT-3</t>
  </si>
  <si>
    <t>Force Multiplier US-Japan Alliance Modernization and Maritime Southeast Asia</t>
  </si>
  <si>
    <t>https://drive.google.com/u/0/open?usp=forms_web&amp;id=1JwXOkn9VnVT4yzgUQ0nR3AD17rG2ZeI5</t>
  </si>
  <si>
    <t>O relatório aborda as possíveis trajetórias futuras da Aliança EUA-Japão no contexto da segurança marítima no Sudeste Asiático. Elas destacam tanto oportunidades quanto desafios para a Aliança, sugerindo um futuro complexo e dinâmico.</t>
  </si>
  <si>
    <t>2024/10/05 11:54:53 AM GMT-3</t>
  </si>
  <si>
    <t>Inglaterra</t>
  </si>
  <si>
    <t>Universidade de Essex, UK</t>
  </si>
  <si>
    <t>Playing Pac-Man in Portville: Policing the dilution and fragmentation of drug importations through major seaports</t>
  </si>
  <si>
    <t>https://drive.google.com/u/0/open?usp=forms_web&amp;id=1SnMK0cebtEXW3NxDeg7ZH9pL58p6_UOr</t>
  </si>
  <si>
    <t>O artigo, embora não se concentre explicitamente em cenários futuros, fornece informações que podem formar uma imagem dos desafios emergentes e potenciais soluções para a defesa e segurança marítima, particularmente no contexto do tráfico de drogas.</t>
  </si>
  <si>
    <t>2024/10/05 12:10:43 PM GMT-3</t>
  </si>
  <si>
    <t>Autonomy and asymmetry: The future of Norway’s defense 2022-2042</t>
  </si>
  <si>
    <t>https://drive.google.com/u/0/open?usp=forms_web&amp;id=1geahQbGvBb2mEjdYvgbsxUsa0KvTdZci</t>
  </si>
  <si>
    <t>2024/10/05 12:11:19 PM GMT-3</t>
  </si>
  <si>
    <t>Academia Naval Polonesa, Faculdade de Comando e Operações Navais, Polônia</t>
  </si>
  <si>
    <t>Maritime safety in the approach of L. von Bertalanffy’s general system theory</t>
  </si>
  <si>
    <t>https://drive.google.com/u/0/open?usp=forms_web&amp;id=1hiudCBZMi2ExoRGVz4w2lSwwYIAEKCL8</t>
  </si>
  <si>
    <t>O artigo define a segurança marítima não como um conjunto de elementos isolados, mas sim como um "sistema de ação eficiente", composto por diversos elementos interdependentes. Demonstra como os conceitos da teoria geral dos sistemas, como elementos, relações, estrutura, entradas e saídas, ambiente externo e hierarquia, podem ser aplicados para analisar o Sistema de Segurança Marítima (SSM).</t>
  </si>
  <si>
    <t>2024/10/05 3:53:07 PM GMT-3</t>
  </si>
  <si>
    <t>Universitas Muhammadiyah Malang, Indonesia; Alfred Deakin Institute for Citizenship and Globalization Deakin University, Australia</t>
  </si>
  <si>
    <t>Islam and Maritime Security Cooperation Zone for Combating Terrorism: An Overview of Islamic Legal Thought</t>
  </si>
  <si>
    <t>https://drive.google.com/u/0/open?usp=forms_web&amp;id=1cUupwD81JNv-8NvIOEtcauWZBMc8FVJy</t>
  </si>
  <si>
    <t>O artigo destaca a tensão entre a soberania nacional e a necessidade de cooperação internacional na defesa marítima. Enquanto os Estados se apegam à sua soberania, a natureza transnacional das ameaças, como o terrorismo marítimo, exige ação conjunta.</t>
  </si>
  <si>
    <t>2024/10/05 4:22:12 PM GMT-3</t>
  </si>
  <si>
    <t>Laboratório de Segurança de Sistemas, Departamento de Sistemas Digitais, Universidade de Pireu, Grécia; Departamento de Segurança da Informação e Tecnologia da Comunicação, Universidade Norueguesa de Ciência e Tecnologia, Gjøvik, Noruega</t>
  </si>
  <si>
    <t>Secure Automatic Identification System (SecAIS): Proof-of-Concept Implementation</t>
  </si>
  <si>
    <t>https://drive.google.com/u/0/open?usp=forms_web&amp;id=1tF4wUcNoxhBdCBzNFoHEsSoutqDVFDUv</t>
  </si>
  <si>
    <t>O artigo demonstra como o SecAIS (Sistema de Identificação Automática Seguro) pode aumentar a segurança do Sistema de Identificação Automática (AIS), crucial para a navegação marítima, o que tem implicações significativas para a área de defesa.
 A capacidade de autenticar mensagens AIS e garantir a confidencialidade das informações de localização é particularmente relevante em cenários de defesa, onde a desinformação e a espionagem podem ter consequências graves.</t>
  </si>
  <si>
    <t>2024/10/05 4:56:11 PM GMT-3</t>
  </si>
  <si>
    <t>King’s College London, UK</t>
  </si>
  <si>
    <t>Battleships, D-Day, and naval strategy</t>
  </si>
  <si>
    <t>https://drive.google.com/u/0/open?usp=forms_web&amp;id=1sp6mA1UXHx-b-iiHnVWHLdLAVUPorIta</t>
  </si>
  <si>
    <t>Embora o artigo se concentre no papel dos navios de guerra durante a Segunda Guerra Mundial, ele oferece insights valiosos que podem ser úteis para o estudo de cenários futuros, particularmente no que diz respeito à guerra naval e à estratégia militar.</t>
  </si>
  <si>
    <t>2024/10/05 5:08:51 PM GMT-3</t>
  </si>
  <si>
    <t>Universidade La Sapienza de Roma</t>
  </si>
  <si>
    <t>O legado do Almirante von Tirpitz: uma compreensão geopolítica da construção naval da China por meio de estratégias de negação do mar.</t>
  </si>
  <si>
    <t>https://drive.google.com/u/0/open?usp=forms_web&amp;id=16x74-XLPuyezORBLfZVWmFORcahj_2Ck</t>
  </si>
  <si>
    <t>Este artigo é importante para a defesa naval global porque fornece uma análise comparativa da construção naval da China contemporânea e da Alemanha Wilhelmina antes da Primeira Guerra Mundial. O autor argumenta que a China está a seguir uma estratégia semelhante à "teoria do risco" do almirante alemão Alfred von Tirpitz, que se concentrava na dissuasão regional e não na hegemonia naval global.</t>
  </si>
  <si>
    <t>2024/10/05 5:20:12 PM GMT-3</t>
  </si>
  <si>
    <t>China Ocean Institute e Universidade de Washington, Seattle, Estados Unidos</t>
  </si>
  <si>
    <t>China's ocean culture and consciousness: Constructing a maritime great power narrative</t>
  </si>
  <si>
    <t>https://drive.google.com/u/0/open?usp=forms_web&amp;id=1dQ-5DI47S78vIP6fbLvvcjXseeIUqKrb</t>
  </si>
  <si>
    <t>O relatório não aborda a relação entre a China e a OTAN, porém a estratégia marítima chinesa descrita, com sua ênfase na projeção de poder e influência global, possui o potencial de impactar indiretamente a OTAN e suas áreas de atuação, sendo a evolução da postura chinesa e suas interações com a comunidade internacional cruciais para as implicações para a OTAN e a segurança global.</t>
  </si>
  <si>
    <t>2024/10/05 5:40:59 PM GMT-3</t>
  </si>
  <si>
    <t>Wuhan University of Technology, Wuhan, China; John Moores University, Liverpool, UK</t>
  </si>
  <si>
    <t>Evaluating recovery strategies for the disruptions in liner shipping networks: a resilience approach</t>
  </si>
  <si>
    <t>https://drive.google.com/u/0/open?usp=forms_web&amp;id=1bJN_4C40Ckj1PYI1ncZDBNiEIQUwhesY</t>
  </si>
  <si>
    <t>Embora o relatório não forneça informações específicas sobre a OTAN, os princípios de resiliência enfatizados são relevantes para qualquer organização que dependa de redes marítimas. A capacidade de se preparar para interrupções, garantir uma recuperação rápida e manter uma rede marítima robusta é essencial para o sucesso das operações da OTAN em um ambiente global complexo e em constante mudança.</t>
  </si>
  <si>
    <t>2024/10/06 11:24:16 AM GMT-3</t>
  </si>
  <si>
    <t>Research Associate at the Research and Development Centre of the Military University Institute (Portugal)</t>
  </si>
  <si>
    <t>AN ANALYSIS OF THE ISSUE OF PIRACY IN THE HORN OF AFRICA THROUGH THE LENS OF THE SECURITIZATION THEORY OF THE COPENHAGEN SCHOOL</t>
  </si>
  <si>
    <t>https://drive.google.com/u/0/open?usp=forms_web&amp;id=1cBnkpECcoYHPrkOh__YYVCwqeptJVGXN</t>
  </si>
  <si>
    <t>Embora o relatório não forneça uma análise abrangente sobre a importância da OTAN, podemos inferir que a organização desempenhou um papel significativo na resposta internacional à pirataria somali. A OTAN, através de suas operações navais e cooperação com outras entidades, contribuiu para os esforços para proteger as rotas marítimas e combater a ameaça representada pela pirataria.</t>
  </si>
  <si>
    <t>2024/10/06 11:40:13 AM GMT-3</t>
  </si>
  <si>
    <t>Defence Institute of Advanced Technology,India</t>
  </si>
  <si>
    <t>Detection of Abnormal Vessel Behaviours Based on AIS Data Features Using HDBSCAN+</t>
  </si>
  <si>
    <t>https://drive.google.com/u/0/open?usp=forms_web&amp;id=1quTFnPFUcwbKCPEwK9MMy30P1RgYEUdT</t>
  </si>
  <si>
    <t>O relatório não menciona explicitamente a defesa naval militar, mas a aplicação do modelo descrito demonstra sua relevância para a proteção das águas territoriais, prevenção de atividades ilegais e garantia da segurança nacional.</t>
  </si>
  <si>
    <t>2024/10/06 12:00:39 PM GMT-3</t>
  </si>
  <si>
    <t>Departamento de Estudos de Guerra do King's College Londres, Reino Unido, Instituto Alemão de Defesa e Estudos Estratégicos, Hamburgo, Alemanha.</t>
  </si>
  <si>
    <t>Interpreting Russian aims to control the Black Sea region through naval geostrategy (Part One): ‘The Azov-Black Sea basin as a whole […] This is, in fact, a zone of our strategic interests’</t>
  </si>
  <si>
    <t>https://drive.google.com/u/0/open?usp=forms_web&amp;id=1rwpfo_LvIZ6c5jWDEUdK2VijiShuAFC0</t>
  </si>
  <si>
    <t>O relatório aborda a preocupação da Rússia em relação á expansão geopolítica da OTAN.</t>
  </si>
  <si>
    <t>2024/10/06 12:24:04 PM GMT-3</t>
  </si>
  <si>
    <t>Universidad de Cádiz, Espanha</t>
  </si>
  <si>
    <t>“Defending the Ports of those Indies”: Deployment and Operations of the Spanish Navy During the War 1796-1802; [«Defender los puertos o puertas en aquellas Indias»: despliegue y operatividad de la Real Armada en América durante la guerra 1796-1802]</t>
  </si>
  <si>
    <t>https://drive.google.com/u/0/open?usp=forms_web&amp;id=1llPtpfminskseeOOfu7UqyDQu9shG5p5</t>
  </si>
  <si>
    <t>O relatório aponta que a defesa naval militar eficaz requer não apenas um número suficiente de navios e pessoal, mas também uma estratégia naval coerente e eficaz, bem como comunicação e coordenação eficazes. A incapacidade da Espanha de atender a esses requisitos contribuiu para suas dificuldades na proteção de seus interesses coloniais durante esse período. Embora o relatório não se concentre em cenários futuros, demonstra que as lições aprendidas com as dificuldades da Espanha durante a guerra de 1796-1802 reforçam a importância crítica do planejamento estratégico e da capacidade de adaptação no contexto da guerra naval. A análise de cenários futuros pode fornecer informações valiosas para orientar a tomada de decisões estratégicas e garantir a prontidão naval em um ambiente geopolítico em constante mudança.</t>
  </si>
  <si>
    <t>2024/10/06 6:49:50 PM GMT-3</t>
  </si>
  <si>
    <t>Faculdade de Religião, Cultura e Sociedade da Universidade de Groningen, Holanda; Departamento de Ciências Sociais da Universidade Técnica de Mombasa, Quênia</t>
  </si>
  <si>
    <t>Crimes on the edge? Criminal activities and the crime-terror nexus in the Kenyan peripheries of the Indian Ocean</t>
  </si>
  <si>
    <t>https://drive.google.com/u/0/open?usp=forms_web&amp;id=1lgSm4CFDmNOVDI9YFSZzBCtHdRuOU0Hn</t>
  </si>
  <si>
    <t>O artigo explora a complexa relação entre crime organizado e terrorismo, focando em como eventos passados e condições presentes nas comunidades costeiras do Quênia moldam as trajetórias futuras dessas comunidades e as possibilidades de intervenção.</t>
  </si>
  <si>
    <t>2024/10/06 7:04:52 PM GMT-3</t>
  </si>
  <si>
    <t>Universidade de Ciências Sociais e Humanas, Universidade Nacional do Vietname, Cidade de Ho Chi Minh (USSH-VNUHCM)</t>
  </si>
  <si>
    <t>U.S.-Vietnam maritime security cooperation in the South China Sea: From the Obama administration to the current Biden administration</t>
  </si>
  <si>
    <t>https://drive.google.com/u/0/open?usp=forms_web&amp;id=13WlSVe0w46mmIuUsl-6RZ-BqfXKhIeyC</t>
  </si>
  <si>
    <t>O argumento central apresentado no artigo "U.S.-Vietnam maritime security cooperation in the South China Sea: From the Obama administration to the current Biden administration" é que a cooperação em segurança marítima entre os EUA e o Vietname tem se intensificado desde a administração Obama, impulsionada por interesses mútuos e preocupações compartilhadas com a ameaça da China no Mar da China Meridional. O artigo argumenta que a defesa naval militar é crucial para o Vietnã se defender das crescentes ameaças no Mar da China Meridional. A modernização militar e as parcerias estratégicas com potências como os EUA são vistas como essenciais para o Vietnã proteger os seus interesses marítimos.</t>
  </si>
  <si>
    <t>2024/10/06 7:19:34 PM GMT-3</t>
  </si>
  <si>
    <t>Universidade de Tromsø , Noruega; Faculdade de Direito da Universidade de Tartu, Estônia.</t>
  </si>
  <si>
    <t>Maritime Security in the Baltic and Japanese Straits From the Perspective of EEZ Corridors</t>
  </si>
  <si>
    <t>https://drive.google.com/u/0/open?usp=forms_web&amp;id=1K6Hl0HPZZvrLCJRjuIMsM-G909ZQOXzn</t>
  </si>
  <si>
    <t>O artigo discute a importância estratégica dos corredores de ZEE em estreitos para a segurança marítima, particularmente no contexto da defesa naval. Embora não aprofunde especificamente sobre a importância para a OTAN, a discussão sobre a potencial entrada da Suécia na OTAN e seu impacto nos Estreitos Dinamarqueses é importante para a defesa naval de forma ampla.</t>
  </si>
  <si>
    <t>2024/10/06 7:45:42 PM GMT-3</t>
  </si>
  <si>
    <t>Defence Expenditure of NATO Countries (2014-2024)</t>
  </si>
  <si>
    <t>https://drive.google.com/u/0/open?usp=forms_web&amp;id=1Fwo6qXUMtfwuE0QrxyyAW9u6qhQ4PAhD</t>
  </si>
  <si>
    <t>O documento fala sobre os paises da otan, o que inclui o país luxemburgo. Como Luxemburgo não possui uma região de MAR, não existem documentos falando sobre a atuação de uma Marinha da OTAN em Luxemburgo. Entretanto, esse documento anexado fala sobre métodos e também possui algumas sementes de futuro acerca de finanças e economias.</t>
  </si>
  <si>
    <t>2024/10/07 3:27:42 PM GMT-3</t>
  </si>
  <si>
    <t>LUXEMBOURG DEFENCE GUIDELINES 2035</t>
  </si>
  <si>
    <t>https://drive.google.com/u/0/open?usp=forms_web&amp;id=1UIfWGn52mVQ5JevJBQulKANviqBEiL-n</t>
  </si>
  <si>
    <t>Documento fala sobre a visão de futuro do País para até 2035</t>
  </si>
  <si>
    <t>2024/10/07 3:57:33 PM GMT-3</t>
  </si>
  <si>
    <t>DEFENCE SPACE STRATEGY</t>
  </si>
  <si>
    <t>https://drive.google.com/u/0/open?usp=forms_web&amp;id=1ZAwqWxKLvLFEr3ecdgQZ0Gu8voUrzwof</t>
  </si>
  <si>
    <t>Documento fala sobre o planejamento de estratégia de defesa espacial de Luxemburgo</t>
  </si>
  <si>
    <t>2024/10/07 4:08:00 PM GMT-3</t>
  </si>
  <si>
    <t>LEGAL ENFORCEMENT OF INNOCENT PASSAGE IMPLEMENTATION IN INDONESIAN WATERS</t>
  </si>
  <si>
    <t>https://drive.google.com/u/0/open?usp=forms_web&amp;id=14-OBkkzjH7gNWv70186peFAf4SpBFxUr</t>
  </si>
  <si>
    <t>Trata de Defesa e Segurança Marítima.</t>
  </si>
  <si>
    <t>2024/10/07 4:13:48 PM GMT-3</t>
  </si>
  <si>
    <t>Country Brief of Montenegro</t>
  </si>
  <si>
    <t>https://drive.google.com/u/0/open?usp=forms_web&amp;id=1OH05vDTWy8Vkl6EzDMwfNTFuxohg8KZq</t>
  </si>
  <si>
    <t>É um documento abrangente sobre Montenegro e identifica áreas onde há um risco elevado</t>
  </si>
  <si>
    <t>2024/10/07 4:21:59 PM GMT-3</t>
  </si>
  <si>
    <t>Montenegro 2023 Report</t>
  </si>
  <si>
    <t>https://drive.google.com/u/0/open?usp=forms_web&amp;id=1luDnFViVHg3LIJni2g7nCYq6g0wHFykH</t>
  </si>
  <si>
    <t>Relatório elaborado pela comissão europeia sobre o país Montenegro. O relatório da Comissão Europeia sobre Montenegro fornece uma avaliação abrangente do progresso do país na reforma e integração na UE, mas não se concentra nos detalhes metodológicos de como realizar essas reformas. O relatório prioriza a avaliação do progresso, a identificação de áreas problemáticas e a formulação de recomendações gerais para melhorias.</t>
  </si>
  <si>
    <t>2024/10/07 4:31:21 PM GMT-3</t>
  </si>
  <si>
    <t>Combatting Terrorism at Sea: Assessing NATO’S Maritime Operations in the Mediterranean</t>
  </si>
  <si>
    <t>https://drive.google.com/u/0/open?usp=forms_web&amp;id=1mzrlkuB2gG-prhAL-mzOCM20eK4o2FI7</t>
  </si>
  <si>
    <t>Trata diretamente sobre segurança marítima da OTAN.</t>
  </si>
  <si>
    <t>2024/10/07 4:32:07 PM GMT-3</t>
  </si>
  <si>
    <t>ANSWERS TO THE QUESTIONNAIRE ON THE CODE OF CONDUCT ON POLITICO-MILITARY ASPECTS OF SECURITY</t>
  </si>
  <si>
    <t>https://drive.google.com/u/0/open?usp=forms_web&amp;id=1_fgM5eB03wrgVPRml8xe0Cv-7OoakH4y</t>
  </si>
  <si>
    <t>O relatório da Comissão Europeia sobre o Montenegro analisa o progresso do país em direção à adesão à UE, mas não se concentra em métodos específicos usados ​​para atingir esses objetivos. Em vez disso, o relatório adota uma abordagem ampla, avaliando o progresso em diferentes áreas políticas e fornecendo recomendações para áreas que precisam de melhorias</t>
  </si>
  <si>
    <t>2024/10/07 4:39:34 PM GMT-3</t>
  </si>
  <si>
    <t>UKTI DSO MARKET BRIEF: MONTENEGRO</t>
  </si>
  <si>
    <t>https://drive.google.com/u/0/open?usp=forms_web&amp;id=1Bh7EoJcotFozO5dUBHLT-5lzMC-FoZFV</t>
  </si>
  <si>
    <t>O documento também inclui um anexo com informações adicionais sobre o mercado de defesa e segurança de Montenegro.
 Em resumo, o documento fornece uma visão geral abrangente do mercado de defesa e segurança de Montenegro, com o objetivo de ajudar as empresas do Reino Unido a identificar e aproveitar as oportunidades de negócios nesse mercado.</t>
  </si>
  <si>
    <t>2024/10/07 4:47:23 PM GMT-3</t>
  </si>
  <si>
    <t>Macedonia’s alignment to the NATO Security Community: Discussing Current implications</t>
  </si>
  <si>
    <t>https://drive.google.com/u/0/open?usp=forms_web&amp;id=1hbQQ8979dRTSXl4pleQ2BcH0eSOgSh7_</t>
  </si>
  <si>
    <t>Estudo produzido pela University of Twente e fala sobre a visão do autor acerca de como a Macedonia está alinhada com a OTAN. Com o título: O alinhamento da Macedônia à Comunidade de Segurança da OTAN: discutindo as implicações atuais</t>
  </si>
  <si>
    <t>2024/10/07 4:59:23 PM GMT-3</t>
  </si>
  <si>
    <t>Departament Of State - United States of America</t>
  </si>
  <si>
    <t>Integrated Country Strategy - North Macedonia</t>
  </si>
  <si>
    <t>https://drive.google.com/u/0/open?usp=forms_web&amp;id=1NUe8a-senA21V9gMEzWXlq0NPBci1qPa</t>
  </si>
  <si>
    <t>O documento fala sobre uma Estratégia Integrada do País para a Macedônia do Norte, publicada pelo governo dos EUA em julho de 2022.</t>
  </si>
  <si>
    <t>2024/10/07 5:17:37 PM GMT-3</t>
  </si>
  <si>
    <t>The Indian Ocean Naval Symposium</t>
  </si>
  <si>
    <t>https://drive.google.com/u/0/open?usp=forms_web&amp;id=1YF6wt8Y5_xZATsmGp-DOIERvqAV72rxS</t>
  </si>
  <si>
    <t>O relatório expressa, dentre outros temas, suposto desinteresse de dois países-chave, China e Estados Unidos, sobre a região marítima do Oceano Índico. Por sua menção aos interesses dos EUA, e consequentemente, da OTAN, optou-se por incluir o relatório como de interesse indireto.</t>
  </si>
  <si>
    <t>2024/10/07 5:25:26 PM GMT-3</t>
  </si>
  <si>
    <t>North Macedonia external relations briefing: Counting the Costs: Macedonia's 4-year NATO Membership in Review</t>
  </si>
  <si>
    <t>https://drive.google.com/u/0/open?usp=forms_web&amp;id=11aPs1RrUKlQOkvzaVxezdq-O1ImnBtEG</t>
  </si>
  <si>
    <t>O documento, "Counting the Costs: Macedonia's 4-year NATO Membership in Review", examina os primeiros quatro anos da Macedônia do Norte como membro da OTAN, destacando os custos e benefícios da adesão. O documento argumenta que, embora o establishment político celebre o aniversário da adesão, existe um crescente ceticismo entre a população em relação à aliança.</t>
  </si>
  <si>
    <t>2024/10/07 5:26:33 PM GMT-3</t>
  </si>
  <si>
    <t>Identity Dynamics and Diplomatic Narratives: Malaysian Chinese Perspectives</t>
  </si>
  <si>
    <t>https://drive.google.com/u/0/open?usp=forms_web&amp;id=1dxNFCu0C2ow75nvtlmFLhgwv7jPDFR49</t>
  </si>
  <si>
    <t>Trata de assuntos diretamente ligados à segurança marítima e disputas territoriais no Mar do Sul da China, tema de interesse da OTAN.</t>
  </si>
  <si>
    <t>2024/10/07 5:35:58 PM GMT-3</t>
  </si>
  <si>
    <t>Maritime Security and Threat Assessments</t>
  </si>
  <si>
    <t>https://drive.google.com/u/0/open?usp=forms_web&amp;id=1jMobbfxKducfYUeqXO1tUDjlVvBmobpG</t>
  </si>
  <si>
    <t>Trata especificamente da relação e percepção de segurança marítima por parte de empresas privadas de navegação norueguesas, e embora sua abordagem não seja pelo prisma militar estatal, certamente tem conexão com o mesmo.</t>
  </si>
  <si>
    <t>2024/10/07 5:55:15 PM GMT-3</t>
  </si>
  <si>
    <t>Marine accidents as potential crisis situations on the Baltic sea</t>
  </si>
  <si>
    <t>https://drive.google.com/u/0/open?usp=forms_web&amp;id=1WNL00t40Mf3K-yM_Z_ku6dYhkL9sHL9Q</t>
  </si>
  <si>
    <t>Todos os países-objeto aplicáveis do estudo (países banhados pelo Mar Báltico) são membros da OTAN, e embora o tema esteja ligado à navegação comercial, civil, trata-se de assunto de interesse das marinhas dos países relacionados em razão das suas atividades de fiscalização e prevenção a acidentes.</t>
  </si>
  <si>
    <t>2024/10/07 6:08:53 PM GMT-3</t>
  </si>
  <si>
    <t>University of Copenhagen, University of Bristol</t>
  </si>
  <si>
    <t>Blue crime: Conceptualising transnational organised crime at sea</t>
  </si>
  <si>
    <t>https://drive.google.com/u/0/open?usp=forms_web&amp;id=1EE8M69VxpbF7DDhglklNeAEBrudAdtYi</t>
  </si>
  <si>
    <t>Embora não cite diretamente as marinhas de guerra dos países-membro da OTAN, trata de tema relacionado a segurança marítima que potencialmente desaguam no envolvimento das mesmas.</t>
  </si>
  <si>
    <t>2024/10/07 6:40:18 PM GMT-3</t>
  </si>
  <si>
    <t>Maritime security guidelines: a study of Swedish ports’ perceivedbarriers to compliance</t>
  </si>
  <si>
    <t>https://drive.google.com/u/0/open?usp=forms_web&amp;id=1MCHxmaIDaRrn6kpmkvxUHoLTj2qb1pZ7</t>
  </si>
  <si>
    <t>Relação indireta e excessivamente fraca com a OTAN para ser considerado. Fora do estudo.</t>
  </si>
  <si>
    <t>2024/10/07 6:49:06 PM GMT-3</t>
  </si>
  <si>
    <t>Universidade Autonoma de Lisboa</t>
  </si>
  <si>
    <t>O IMPACTO DA CIBERSEGURANÇA NO QUADRO JURÍDICO REGULATÓRIO DA SEGURANÇA MARÍTIMA</t>
  </si>
  <si>
    <t>https://drive.google.com/u/0/open?usp=forms_web&amp;id=19gxndGsn3c5OU94kFpo_sPsQvlS9l-67</t>
  </si>
  <si>
    <t>Embora não trate especificamente de defesa naval - conceito mais conectado à OTAN -, o tema de cibersegurança também é de interesse da OTAN, e sua doutrina é mencionada ao longo do estudo.</t>
  </si>
  <si>
    <t>2024/10/07 6:55:39 PM GMT-3</t>
  </si>
  <si>
    <t>A New Maritime Security Architecture for the 21st Century Maritime Silk Road: The South China Sea and the Persian Gulf</t>
  </si>
  <si>
    <t>https://drive.google.com/u/0/open?usp=forms_web&amp;id=1rR7Z0tJzrCI5Lrqw_IQRwd8_FX6BcHMk</t>
  </si>
  <si>
    <t>Visão ou narrativa de desinformação por parte de atores antagônicos à OTAN sobre os Estados Unidos.</t>
  </si>
  <si>
    <t>2024/10/08 12:34:37 AM GMT-3</t>
  </si>
  <si>
    <t>Le régionalisme sécuritaire maritime des petits et micro-Etats de la grande région caraïbe : entre vulnérabilités, autonomisation, et dépendances</t>
  </si>
  <si>
    <t>https://drive.google.com/u/0/open?usp=forms_web&amp;id=1HtAChECCCp1_92T1rwq_VXFgcdLvnQW_</t>
  </si>
  <si>
    <t>Interesse direto ou potencial de diversos países da OTAN em torno da segurança e rotas marítimas que passam pelo Caribe, sob área de atuação do SOUTHCOM dos EUA.</t>
  </si>
  <si>
    <t>2024/10/08 12:55:44 AM GMT-3</t>
  </si>
  <si>
    <t>THE OPERATION OF UNMANNED VESSEL IN LIGHT OF ARTICLE 94 OF THE LAW OF THE SEA CONVENTION: SEAMANNING REQUIREMENT</t>
  </si>
  <si>
    <t>https://drive.google.com/u/0/open?usp=forms_web&amp;id=1s_iQZGOmmLU4b2S8ur6mh-zuAB2J9Kod</t>
  </si>
  <si>
    <t>A navegação de embarcações não-tripuladas é tema que certamente compõe a estratégia da OTAN em nível, se não estratégico, tático; ademais, a leitura do arcabouço legal relacionado de países-chave da OTAN, como Estados Unidos e Reino Unido, é capaz de conduzir a uma leitura de tendência sobre a postura atual ou futura da Organização neste sentido.</t>
  </si>
  <si>
    <t>2024/10/08 1:07:41 AM GMT-3</t>
  </si>
  <si>
    <t>Collateral damage? Small-scale fisheries in the global fight against IUU fishing</t>
  </si>
  <si>
    <t>https://drive.google.com/u/0/open?usp=forms_web&amp;id=1iiRku9hZ59e1OrFQBrYnvVyBjdhXXJp9</t>
  </si>
  <si>
    <t>Questão de importância global e que afeta inúmeros estados da própria OTAN; potencial ponto de atrito com nações antagônicas aos integrantes do Tratado.</t>
  </si>
  <si>
    <t>2024/10/08 1:21:00 AM GMT-3</t>
  </si>
  <si>
    <t>Charting waters: the private sector’s evolving governancerole in Southeast Asian maritime security</t>
  </si>
  <si>
    <t>https://drive.google.com/u/0/open?usp=forms_web&amp;id=1WhYxPJPPDUDg4Df5UpL8c0wkVv3F0Jtv</t>
  </si>
  <si>
    <t>Conexão muito fraca para constar. Adicionado apenas ao repositório principal.</t>
  </si>
  <si>
    <t>2024/10/08 2:18:47 AM GMT-3</t>
  </si>
  <si>
    <t>Defining Success: does the US need an "End State" for its China Policy?</t>
  </si>
  <si>
    <t>https://drive.google.com/u/0/open?usp=forms_web&amp;id=16m5GIqqtqRPbbG-WxDos_Jd453P733rO</t>
  </si>
  <si>
    <t>Motivações dos Estados Unidos no contexto geopolítico em relação à China, em diversas análises independentes, neste compêndio. Forte tendência das considerações insertas, atualizadas e embasadas, a darem pistas dos rumos da OTAN perante o país asiático, embora não exista aprofundamento específico sobre o caso da Organização em si neste volume.</t>
  </si>
  <si>
    <t>2024/10/08 2:49:14 AM GMT-3</t>
  </si>
  <si>
    <t>China–Pakistan economic corridor and maritime security collaboration: A growing bilateral interests</t>
  </si>
  <si>
    <t>https://drive.google.com/u/0/open?usp=forms_web&amp;id=16N0oR3blE-4e7Ab-9uYuicyi-8ZmSBlp</t>
  </si>
  <si>
    <t>As fontes fornecidas discutem a colaboração de segurança marítima entre a China e o Paquistão no contexto do Corredor Econômico China-Paquistão (CPEC), com foco específico no Porto de Gwadar.</t>
  </si>
  <si>
    <t>2024/10/08 10:51:49 AM GMT-3</t>
  </si>
  <si>
    <t>Tackling Maritime Security in the Gulf of Guinea: Interactions Between Global Shipping and Ghanaian State Agents</t>
  </si>
  <si>
    <t>https://drive.google.com/u/0/open?usp=forms_web&amp;id=1crunkBeD_k926bPA1Gtuuj7LlTgpvdLt</t>
  </si>
  <si>
    <t>O artigo destaca a importância estratégica do Golfo da Guiné para a economia global e a segurança marítima internacional. As ameaças transnacionais na região, o impacto potencial sobre os interesses dos países da OTAN e a influência das narrativas da indústria naval global convergem para tornar a segurança marítima no Golfo da Guiné uma questão relevante para a OTAN.</t>
  </si>
  <si>
    <t>2024/10/08 11:02:50 AM GMT-3</t>
  </si>
  <si>
    <t>Discrepancies in the newsworthiness of maritime security in Chinese and US media outlets: a corpus-based discursive news values analysis</t>
  </si>
  <si>
    <t>https://drive.google.com/u/0/open?usp=forms_web&amp;id=1rT2bCmdQNlsQzmipepn0ahAjHR0Gllp1</t>
  </si>
  <si>
    <t>As fontes fornecidas analisam a construção da noticiabilidade da segurança marítima na mídia chinesa e americana. Pode-se extrair alguns insights relevantes para a OTAN a partir dos resultados da análise: a) Percepções Divergentes sobre Segurança Marítima: O estudo destaca como a mídia chinesa e americana constroem a questão da segurança marítima de maneiras distintas. b) Implicações para a Estratégia da OTAN: A análise da mídia chinesa sugere que a China busca projetar uma imagem de ator responsável e colaborativo em relação à segurança marítima. c) Importância da Comunicação Estratégica: O estudo demonstra o poder da mídia na construção de narrativas e na influência da opinião pública sobre temas de segurança</t>
  </si>
  <si>
    <t>2024/10/08 11:15:42 AM GMT-3</t>
  </si>
  <si>
    <t>Analysis from a policy perspective: The importance of strengthening in maritime axis policy design in Indonesia</t>
  </si>
  <si>
    <t>https://drive.google.com/u/0/open?usp=forms_web&amp;id=1g5ACQ1R7pMyP02yRbKyiBnjvBmzggKP9</t>
  </si>
  <si>
    <t>As fontes fornecidas analisam a política do Eixo Marítimo Global (GMA) da Indonésia</t>
  </si>
  <si>
    <t>2024/10/08 11:23:41 AM GMT-3</t>
  </si>
  <si>
    <t>The German Aerospace Center (DRL)</t>
  </si>
  <si>
    <t>Embedded 3D reconstruction of dynamic objects in real time for maritime situational awareness pictures</t>
  </si>
  <si>
    <t>https://drive.google.com/u/0/open?usp=forms_web&amp;id=1ME8fJ_5sxswgrs5Uw8DjVFZLB6qYP4_X</t>
  </si>
  <si>
    <t>O estudo aborda a importância da tecnologia de reconstrução 3D em tempo real para objetos marítimos dinâmicos apresenta um potencial significativo para os países da OTAN. A implementação e o desenvolvimento contínuo dessa tecnologia fortalecerão a segurança marítima, a consciência situacional e as capacidades de defesa da aliança.</t>
  </si>
  <si>
    <t>2024/10/08 11:36:40 AM GMT-3</t>
  </si>
  <si>
    <t>New Dutch Navy Support Vessels Will Be Missile-Toting Wingmen To Frigates</t>
  </si>
  <si>
    <t>https://drive.google.com/u/0/open?usp=forms_web&amp;id=1YyhBThr8JSYfAdVorAuxVMpUe9GwLAOE</t>
  </si>
  <si>
    <t>Análise sobre a nova adaptação da Marinha Holandesa.</t>
  </si>
  <si>
    <t>2024/10/08 11:45:08 AM GMT-3</t>
  </si>
  <si>
    <t>Forsvarets forskningsintitutt</t>
  </si>
  <si>
    <t>Maritime Security 2030: A Strategic Overview</t>
  </si>
  <si>
    <t>https://drive.google.com/u/0/open?usp=forms_web&amp;id=1kDbKQRl4dFvtNVhJ6mk3z61NmL4YqOBo</t>
  </si>
  <si>
    <t>2024/10/08 12:56:20 PM GMT-3</t>
  </si>
  <si>
    <t>U.S. Arctic Messaging in an Era of Renewed Great Power Competition</t>
  </si>
  <si>
    <t>https://drive.google.com/u/0/open?usp=forms_web&amp;id=1bALRgshcK5vOKohkaNespNu0oS_-eiem</t>
  </si>
  <si>
    <t>A defesa do Ártico é assunto de interesse para muitos dos países da OTAN.</t>
  </si>
  <si>
    <t>2024/10/08 3:44:05 PM GMT-3</t>
  </si>
  <si>
    <t>Arctic Ironies: American Shaping of an Arctic Regime</t>
  </si>
  <si>
    <t>https://drive.google.com/u/0/open?usp=forms_web&amp;id=1IvdVQM8DI3DxD1uCRmzNFD-DkFa-Z4XT</t>
  </si>
  <si>
    <t>A política de atuação no Ártico é debatida no relatório em questão, assunto de grande interesse para diversos países-membro da OTAN.</t>
  </si>
  <si>
    <t>2024/10/08 3:48:50 PM GMT-3</t>
  </si>
  <si>
    <t>North American and Arctic Defense and Security Network</t>
  </si>
  <si>
    <t>U.S. Arctic Policy: Threats, Actors, and Outcomes</t>
  </si>
  <si>
    <t>https://drive.google.com/u/0/open?usp=forms_web&amp;id=1Nl_tfeqq04JrWptnvol5xGWml4LPeV8n</t>
  </si>
  <si>
    <t>Interesse direto da OTAN, contendo novas posturas e políticas desenhadas por e no interesse dos EUA para a região do Ártico, mencionando aspectos ligados à marinha de guerra americana e canadense.</t>
  </si>
  <si>
    <t>2024/10/08 4:18:07 PM GMT-3</t>
  </si>
  <si>
    <t>Democracy, Donald Trump, and the Canada-US Security Environment</t>
  </si>
  <si>
    <t>https://drive.google.com/u/0/open?usp=forms_web&amp;id=1lThEkwAjuTgSTebxvjfuiiPsIva0HCbk</t>
  </si>
  <si>
    <t>Ponto de vista de analista sobre como a política externa do Governo Donald Trump alterou a visão americana sobre a região do Ártico, com potenciais reflexos em organismos internacionais, bi ou multilaterais decorrentes, como a OTAN.</t>
  </si>
  <si>
    <t>2024/10/08 4:26:41 PM GMT-3</t>
  </si>
  <si>
    <t>North American Arctic Security Expectations in a New U.S. Administration</t>
  </si>
  <si>
    <t>https://drive.google.com/u/0/open?usp=forms_web&amp;id=1q3PE0OnXsMMULV7I1D_gS-p1biz0Muht</t>
  </si>
  <si>
    <t>A exemplo de outro relatório imputado, este desenha as expectativas para o Governo Biden, após outra análise, realizada em outro relatório da NAADSN, sobre o Governo Trump. Consequências diretas para as políticas de organismos multilaterais como NATO.</t>
  </si>
  <si>
    <t>2024/10/08 4:32:15 PM GMT-3</t>
  </si>
  <si>
    <t>The Global Impact of the 2024 U.S. Presidential Election</t>
  </si>
  <si>
    <t>Diversos artigos aplicáveis para o levantamento de consequências eleitorais para políticas da OTAN, em especial o da página 39.</t>
  </si>
  <si>
    <t>#VALOR!</t>
  </si>
  <si>
    <r>
      <rPr>
        <u/>
        <sz val="10"/>
        <color rgb="FF1155CC"/>
        <rFont val="Arial, sans-serif"/>
      </rPr>
      <t>https://www.csis.org/</t>
    </r>
  </si>
  <si>
    <t>WHITE PAPER 2024</t>
  </si>
  <si>
    <r>
      <rPr>
        <u/>
        <sz val="10"/>
        <color rgb="FF1155CC"/>
        <rFont val="Arial, sans-serif"/>
      </rPr>
      <t>https://drive.google.com/open?id=1REpN7QoKOe4x8os2fTO5TAiYXyM6_NXU</t>
    </r>
  </si>
  <si>
    <t>Pesperctiva da Guerra do Futuro e Future Proof de todos os aspectos do Setor da Defesa.</t>
  </si>
  <si>
    <r>
      <rPr>
        <u/>
        <sz val="10"/>
        <color rgb="FF1155CC"/>
        <rFont val="Arial, sans-serif"/>
      </rPr>
      <t>https://english.defensie.nl/downloads/publications/2024/09/05/defence-white-paper-2024</t>
    </r>
  </si>
  <si>
    <t>AMO Vision and Strategy 2030</t>
  </si>
  <si>
    <r>
      <rPr>
        <u/>
        <sz val="10"/>
        <color rgb="FF1155CC"/>
        <rFont val="Arial, sans-serif"/>
      </rPr>
      <t>https://drive.google.com/open?id=1uOlXEC80MRJAb3IWAIq41MLA9pzCSWtc</t>
    </r>
  </si>
  <si>
    <t>Relatório recomendado pelo Comdt Correa</t>
  </si>
  <si>
    <r>
      <rPr>
        <u/>
        <sz val="10"/>
        <color rgb="FF1155CC"/>
        <rFont val="Arial, sans-serif"/>
      </rPr>
      <t>https://www.cbp.gov/</t>
    </r>
  </si>
  <si>
    <t>Paratus Futurum Strategic Gaming: Priming the U.S. Coast Guard for the Future</t>
  </si>
  <si>
    <r>
      <rPr>
        <u/>
        <sz val="10"/>
        <color rgb="FF1155CC"/>
        <rFont val="Arial, sans-serif"/>
      </rPr>
      <t>https://drive.google.com/open?id=1kCFDLpiurhelVGhvsCNVkO34rormoKqA</t>
    </r>
  </si>
  <si>
    <t>Relatório indicado pelo Cmdt Correa</t>
  </si>
  <si>
    <r>
      <rPr>
        <u/>
        <sz val="10"/>
        <color rgb="FF1155CC"/>
        <rFont val="Arial, sans-serif"/>
      </rPr>
      <t>www.rand.org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</si>
</sst>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 mmm\ yyyy"/>
    <numFmt numFmtId="165" formatCode="dd\ mmmm\.\ yyyy"/>
    <numFmt numFmtId="166" formatCode="d/m/yyyy"/>
    <numFmt numFmtId="167" formatCode="dd\ mmm\ yyyy"/>
    <numFmt numFmtId="168" formatCode="d\ mmmyyyy"/>
    <numFmt numFmtId="169" formatCode="dmmmyyyy"/>
  </numFmts>
  <fonts count="74">
    <font>
      <sz val="10"/>
      <color rgb="FF000000"/>
      <name val="Arial"/>
      <scheme val="minor"/>
    </font>
    <font>
      <sz val="10"/>
      <color theme="1"/>
      <name val="Arial"/>
      <scheme val="minor"/>
    </font>
    <font>
      <sz val="11"/>
      <color theme="1"/>
      <name val="Arial"/>
      <scheme val="minor"/>
    </font>
    <font>
      <b/>
      <sz val="10"/>
      <color theme="1"/>
      <name val="Arial"/>
      <scheme val="minor"/>
    </font>
    <font>
      <sz val="10"/>
      <color rgb="FF000000"/>
      <name val="Arial"/>
    </font>
    <font>
      <sz val="10"/>
      <color theme="1"/>
      <name val="Arial"/>
    </font>
    <font>
      <sz val="10"/>
      <color theme="1"/>
      <name val="Arial"/>
      <scheme val="minor"/>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sz val="10"/>
      <color rgb="FFFF0000"/>
      <name val="Arial"/>
    </font>
    <font>
      <u/>
      <sz val="10"/>
      <color rgb="FF1155CC"/>
      <name val="Arial"/>
    </font>
    <font>
      <u/>
      <sz val="10"/>
      <color rgb="FF1155CC"/>
      <name val="Arial"/>
    </font>
    <font>
      <sz val="10"/>
      <color rgb="FFFF0000"/>
      <name val="Arial"/>
      <scheme val="minor"/>
    </font>
    <font>
      <u/>
      <sz val="12"/>
      <color rgb="FF1155CC"/>
      <name val="&quot;Times New Roman&quot;"/>
    </font>
    <font>
      <b/>
      <sz val="10"/>
      <color theme="1"/>
      <name val="Arial"/>
    </font>
    <font>
      <u/>
      <sz val="10"/>
      <color rgb="FF1155CC"/>
      <name val="Arial"/>
    </font>
    <font>
      <u/>
      <sz val="10"/>
      <color rgb="FF1155CC"/>
      <name val="Arial"/>
    </font>
    <font>
      <u/>
      <sz val="10"/>
      <color rgb="FF1155CC"/>
      <name val="Arial"/>
    </font>
    <font>
      <u/>
      <sz val="10"/>
      <color rgb="FF000000"/>
      <name val="Arial"/>
    </font>
    <font>
      <u/>
      <sz val="10"/>
      <color rgb="FF000000"/>
      <name val="Arial"/>
      <scheme val="minor"/>
    </font>
    <font>
      <u/>
      <sz val="10"/>
      <color rgb="FF1155CC"/>
      <name val="Arial"/>
    </font>
    <font>
      <u/>
      <sz val="10"/>
      <color rgb="FF000000"/>
      <name val="Arial"/>
    </font>
    <font>
      <sz val="10"/>
      <color rgb="FF0000FF"/>
      <name val="Arial"/>
      <scheme val="minor"/>
    </font>
    <font>
      <u/>
      <sz val="10"/>
      <color rgb="FF1155CC"/>
      <name val="Arial"/>
    </font>
    <font>
      <u/>
      <sz val="10"/>
      <color rgb="FF0000FF"/>
      <name val="Arial"/>
    </font>
    <font>
      <u/>
      <sz val="10"/>
      <color rgb="FF1155CC"/>
      <name val="Arial"/>
    </font>
    <font>
      <u/>
      <sz val="10"/>
      <color rgb="FF1155CC"/>
      <name val="Arial"/>
    </font>
    <font>
      <u/>
      <sz val="10"/>
      <color rgb="FF1155CC"/>
      <name val="Arial"/>
    </font>
    <font>
      <sz val="10"/>
      <color rgb="FF000000"/>
      <name val="Arial"/>
      <scheme val="minor"/>
    </font>
    <font>
      <sz val="11"/>
      <color rgb="FF000000"/>
      <name val="Inconsolata"/>
    </font>
    <font>
      <u/>
      <sz val="10"/>
      <color rgb="FF0000FF"/>
      <name val="Arial"/>
    </font>
    <font>
      <u/>
      <sz val="10"/>
      <color rgb="FF0000FF"/>
      <name val="Arial"/>
    </font>
    <font>
      <u/>
      <sz val="10"/>
      <color rgb="FF000000"/>
      <name val="Arial"/>
    </font>
    <font>
      <sz val="10"/>
      <color rgb="FFFF0000"/>
      <name val="Arial"/>
      <scheme val="minor"/>
    </font>
    <font>
      <u/>
      <sz val="10"/>
      <color rgb="FF1155CC"/>
      <name val="Arial"/>
    </font>
    <font>
      <u/>
      <sz val="10"/>
      <color rgb="FF000000"/>
      <name val="Arial"/>
    </font>
    <font>
      <u/>
      <sz val="10"/>
      <color rgb="FF0000FF"/>
      <name val="Arial"/>
    </font>
    <font>
      <u/>
      <sz val="10"/>
      <color rgb="FF000000"/>
      <name val="Arial"/>
    </font>
    <font>
      <u/>
      <sz val="10"/>
      <color rgb="FF000000"/>
      <name val="Arial"/>
    </font>
    <font>
      <u/>
      <sz val="10"/>
      <color rgb="FFFF0000"/>
      <name val="Arial"/>
    </font>
    <font>
      <u/>
      <sz val="10"/>
      <color rgb="FFFF0000"/>
      <name val="Arial"/>
    </font>
    <font>
      <u/>
      <sz val="10"/>
      <color rgb="FF1155CC"/>
      <name val="Arial"/>
    </font>
    <font>
      <u/>
      <sz val="10"/>
      <color rgb="FF0000FF"/>
      <name val="Arial"/>
    </font>
    <font>
      <u/>
      <sz val="10"/>
      <color rgb="FF1155CC"/>
      <name val="Arial"/>
    </font>
    <font>
      <u/>
      <sz val="10"/>
      <color rgb="FF1155CC"/>
      <name val="Arial"/>
    </font>
    <font>
      <u/>
      <sz val="10"/>
      <color rgb="FF4285F4"/>
      <name val="Arial"/>
    </font>
    <font>
      <u/>
      <sz val="10"/>
      <color rgb="FF0000FF"/>
      <name val="Arial"/>
    </font>
    <font>
      <u/>
      <sz val="10"/>
      <color rgb="FF0000FF"/>
      <name val="Arial"/>
    </font>
    <font>
      <u/>
      <sz val="10"/>
      <color rgb="FF0000FF"/>
      <name val="Arial"/>
    </font>
    <font>
      <sz val="10"/>
      <color rgb="FFEA4335"/>
      <name val="Arial"/>
    </font>
    <font>
      <sz val="10"/>
      <color theme="1"/>
      <name val="Arial"/>
    </font>
    <font>
      <u/>
      <sz val="10"/>
      <color rgb="FF1155CC"/>
      <name val="Arial"/>
    </font>
    <font>
      <u/>
      <sz val="10"/>
      <color rgb="FF1155CC"/>
      <name val="Arial"/>
    </font>
    <font>
      <sz val="10"/>
      <color rgb="FF000000"/>
      <name val="Roboto"/>
    </font>
    <font>
      <sz val="10"/>
      <color rgb="FF000000"/>
      <name val="Roboto"/>
    </font>
    <font>
      <u/>
      <sz val="10"/>
      <color rgb="FF000000"/>
      <name val="Arial"/>
    </font>
    <font>
      <u/>
      <sz val="10"/>
      <color rgb="FF000000"/>
      <name val="Arial"/>
    </font>
    <font>
      <u/>
      <sz val="10"/>
      <color rgb="FF000000"/>
      <name val="Arial"/>
    </font>
    <font>
      <u/>
      <sz val="10"/>
      <color rgb="FF000000"/>
      <name val="Arial"/>
    </font>
    <font>
      <u/>
      <sz val="11"/>
      <color rgb="FF0000FF"/>
      <name val="Arial"/>
    </font>
    <font>
      <u/>
      <sz val="10"/>
      <color rgb="FF0000FF"/>
      <name val="Arial"/>
    </font>
    <font>
      <u/>
      <sz val="10"/>
      <color rgb="FF0000FF"/>
      <name val="Arial"/>
    </font>
    <font>
      <sz val="10"/>
      <name val="Arial"/>
    </font>
    <font>
      <u/>
      <sz val="10"/>
      <name val="Arial"/>
    </font>
    <font>
      <u/>
      <sz val="10"/>
      <color rgb="FF1155CC"/>
      <name val="Arial, sans-serif"/>
    </font>
    <font>
      <u/>
      <sz val="11"/>
      <color rgb="FF1155CC"/>
      <name val="Arial, sans-serif"/>
    </font>
  </fonts>
  <fills count="10">
    <fill>
      <patternFill patternType="none"/>
    </fill>
    <fill>
      <patternFill patternType="gray125"/>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DAF1F3"/>
        <bgColor rgb="FFDAF1F3"/>
      </patternFill>
    </fill>
    <fill>
      <patternFill patternType="solid">
        <fgColor rgb="FFCCCCCC"/>
        <bgColor rgb="FFCCCCCC"/>
      </patternFill>
    </fill>
    <fill>
      <patternFill patternType="solid">
        <fgColor rgb="FFFFFF00"/>
        <bgColor rgb="FFFFFF00"/>
      </patternFill>
    </fill>
    <fill>
      <patternFill patternType="solid">
        <fgColor rgb="FF00B050"/>
        <bgColor rgb="FF00B050"/>
      </patternFill>
    </fill>
    <fill>
      <patternFill patternType="solid">
        <fgColor rgb="FFF4C7C3"/>
        <bgColor rgb="FFF4C7C3"/>
      </patternFill>
    </fill>
  </fills>
  <borders count="5">
    <border>
      <left/>
      <right/>
      <top/>
      <bottom/>
      <diagonal/>
    </border>
    <border>
      <left/>
      <right/>
      <top style="thin">
        <color rgb="FF8ED7DD"/>
      </top>
      <bottom style="thin">
        <color rgb="FF8ED7DD"/>
      </bottom>
      <diagonal/>
    </border>
    <border>
      <left/>
      <right/>
      <top/>
      <bottom style="thin">
        <color rgb="FF8ED7DD"/>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1">
    <xf numFmtId="0" fontId="0" fillId="0" borderId="0" xfId="0"/>
    <xf numFmtId="0" fontId="1" fillId="0" borderId="0" xfId="0" applyFont="1"/>
    <xf numFmtId="0" fontId="2" fillId="0" borderId="0" xfId="0" applyFont="1" applyAlignment="1">
      <alignment textRotation="90" wrapText="1"/>
    </xf>
    <xf numFmtId="0" fontId="1" fillId="2" borderId="0" xfId="0" applyFont="1" applyFill="1"/>
    <xf numFmtId="0" fontId="3" fillId="2" borderId="0" xfId="0" applyFont="1" applyFill="1" applyAlignment="1">
      <alignment horizontal="center" vertical="center"/>
    </xf>
    <xf numFmtId="0" fontId="1" fillId="0" borderId="0" xfId="0" applyFont="1" applyAlignment="1">
      <alignment textRotation="90" wrapText="1"/>
    </xf>
    <xf numFmtId="0" fontId="3" fillId="2" borderId="0" xfId="0" applyFont="1" applyFill="1" applyAlignment="1">
      <alignment horizontal="center" vertical="center" wrapText="1"/>
    </xf>
    <xf numFmtId="0" fontId="1" fillId="0" borderId="0" xfId="0" applyFont="1" applyAlignment="1">
      <alignment horizontal="left" vertical="center"/>
    </xf>
    <xf numFmtId="2" fontId="1" fillId="2" borderId="0" xfId="0" applyNumberFormat="1" applyFont="1" applyFill="1"/>
    <xf numFmtId="0" fontId="3" fillId="2" borderId="0" xfId="0" applyFont="1" applyFill="1" applyAlignment="1">
      <alignment horizontal="center" vertical="center" textRotation="90"/>
    </xf>
    <xf numFmtId="10" fontId="1" fillId="0" borderId="0" xfId="0" applyNumberFormat="1" applyFont="1"/>
    <xf numFmtId="0" fontId="4" fillId="2" borderId="0" xfId="0" applyFont="1" applyFill="1"/>
    <xf numFmtId="0" fontId="5" fillId="3" borderId="0" xfId="0" applyFont="1" applyFill="1"/>
    <xf numFmtId="2" fontId="5" fillId="3" borderId="0" xfId="0" applyNumberFormat="1" applyFont="1" applyFill="1" applyAlignment="1">
      <alignment horizontal="right"/>
    </xf>
    <xf numFmtId="0" fontId="6" fillId="3" borderId="0" xfId="0" applyFont="1" applyFill="1"/>
    <xf numFmtId="0" fontId="6" fillId="3" borderId="0" xfId="0" applyFont="1" applyFill="1" applyAlignment="1">
      <alignment wrapText="1"/>
    </xf>
    <xf numFmtId="0" fontId="4" fillId="3" borderId="0" xfId="0" applyFont="1" applyFill="1"/>
    <xf numFmtId="0" fontId="5" fillId="3" borderId="0" xfId="0" applyFont="1" applyFill="1" applyAlignment="1">
      <alignment horizontal="right"/>
    </xf>
    <xf numFmtId="0" fontId="7" fillId="3" borderId="0" xfId="0" applyFont="1" applyFill="1"/>
    <xf numFmtId="0" fontId="8" fillId="3" borderId="0" xfId="0" applyFont="1" applyFill="1"/>
    <xf numFmtId="0" fontId="6" fillId="3" borderId="0" xfId="0" applyFont="1" applyFill="1" applyAlignment="1">
      <alignment horizontal="center"/>
    </xf>
    <xf numFmtId="0" fontId="1" fillId="3" borderId="0" xfId="0" applyFont="1" applyFill="1"/>
    <xf numFmtId="0" fontId="5" fillId="4" borderId="0" xfId="0" applyFont="1" applyFill="1"/>
    <xf numFmtId="2" fontId="5" fillId="4" borderId="0" xfId="0" applyNumberFormat="1" applyFont="1" applyFill="1" applyAlignment="1">
      <alignment horizontal="right"/>
    </xf>
    <xf numFmtId="0" fontId="6" fillId="3" borderId="0" xfId="0" applyFont="1" applyFill="1" applyAlignment="1">
      <alignment horizontal="left"/>
    </xf>
    <xf numFmtId="164" fontId="6" fillId="3" borderId="0" xfId="0" applyNumberFormat="1" applyFont="1" applyFill="1"/>
    <xf numFmtId="0" fontId="5" fillId="4" borderId="0" xfId="0" applyFont="1" applyFill="1" applyAlignment="1">
      <alignment horizontal="right"/>
    </xf>
    <xf numFmtId="0" fontId="9" fillId="4" borderId="0" xfId="0" applyFont="1" applyFill="1"/>
    <xf numFmtId="0" fontId="1" fillId="4" borderId="0" xfId="0" applyFont="1" applyFill="1"/>
    <xf numFmtId="0" fontId="6" fillId="4" borderId="0" xfId="0" applyFont="1" applyFill="1"/>
    <xf numFmtId="0" fontId="6" fillId="4" borderId="0" xfId="0" applyFont="1" applyFill="1" applyAlignment="1">
      <alignment wrapText="1"/>
    </xf>
    <xf numFmtId="0" fontId="10" fillId="3" borderId="0" xfId="0" applyFont="1" applyFill="1"/>
    <xf numFmtId="0" fontId="11" fillId="4" borderId="0" xfId="0" applyFont="1" applyFill="1"/>
    <xf numFmtId="0" fontId="6" fillId="4" borderId="0" xfId="0" applyFont="1" applyFill="1" applyAlignment="1">
      <alignment horizontal="center"/>
    </xf>
    <xf numFmtId="0" fontId="6" fillId="4" borderId="0" xfId="0" applyFont="1" applyFill="1" applyAlignment="1">
      <alignment horizontal="left"/>
    </xf>
    <xf numFmtId="0" fontId="12" fillId="4" borderId="0" xfId="0" applyFont="1" applyFill="1"/>
    <xf numFmtId="0" fontId="13" fillId="3" borderId="0" xfId="0" applyFont="1" applyFill="1"/>
    <xf numFmtId="0" fontId="0" fillId="4" borderId="0" xfId="0" applyFill="1"/>
    <xf numFmtId="0" fontId="14" fillId="4" borderId="0" xfId="0" applyFont="1" applyFill="1"/>
    <xf numFmtId="0" fontId="0" fillId="3" borderId="0" xfId="0" applyFill="1"/>
    <xf numFmtId="0" fontId="15" fillId="4" borderId="0" xfId="0" applyFont="1" applyFill="1"/>
    <xf numFmtId="0" fontId="16" fillId="3" borderId="0" xfId="0" applyFont="1" applyFill="1"/>
    <xf numFmtId="0" fontId="5" fillId="2" borderId="0" xfId="0" applyFont="1" applyFill="1"/>
    <xf numFmtId="0" fontId="6" fillId="0" borderId="0" xfId="0" applyFont="1"/>
    <xf numFmtId="0" fontId="17" fillId="3" borderId="0" xfId="0" applyFont="1" applyFill="1"/>
    <xf numFmtId="0" fontId="17" fillId="4" borderId="0" xfId="0" applyFont="1" applyFill="1"/>
    <xf numFmtId="0" fontId="18" fillId="4" borderId="0" xfId="0" applyFont="1" applyFill="1"/>
    <xf numFmtId="0" fontId="19" fillId="3" borderId="0" xfId="0" applyFont="1" applyFill="1"/>
    <xf numFmtId="0" fontId="4" fillId="4" borderId="0" xfId="0" applyFont="1" applyFill="1"/>
    <xf numFmtId="0" fontId="4" fillId="5" borderId="1" xfId="0" applyFont="1" applyFill="1" applyBorder="1"/>
    <xf numFmtId="0" fontId="4" fillId="5" borderId="0" xfId="0" applyFont="1" applyFill="1"/>
    <xf numFmtId="0" fontId="4" fillId="0" borderId="0" xfId="0" applyFont="1" applyAlignment="1">
      <alignment horizontal="right"/>
    </xf>
    <xf numFmtId="0" fontId="4" fillId="0" borderId="0" xfId="0" applyFont="1"/>
    <xf numFmtId="0" fontId="4" fillId="5" borderId="2" xfId="0" applyFont="1" applyFill="1" applyBorder="1"/>
    <xf numFmtId="0" fontId="5" fillId="0" borderId="0" xfId="0" applyFont="1"/>
    <xf numFmtId="164" fontId="0" fillId="3" borderId="0" xfId="0" applyNumberFormat="1" applyFill="1"/>
    <xf numFmtId="164" fontId="0" fillId="4" borderId="0" xfId="0" applyNumberFormat="1" applyFill="1"/>
    <xf numFmtId="0" fontId="17" fillId="4" borderId="0" xfId="0" applyFont="1" applyFill="1" applyAlignment="1">
      <alignment horizontal="right"/>
    </xf>
    <xf numFmtId="0" fontId="20" fillId="0" borderId="0" xfId="0" applyFont="1"/>
    <xf numFmtId="164" fontId="6" fillId="4" borderId="0" xfId="0" applyNumberFormat="1" applyFont="1" applyFill="1"/>
    <xf numFmtId="165" fontId="6" fillId="3" borderId="0" xfId="0" applyNumberFormat="1" applyFont="1" applyFill="1"/>
    <xf numFmtId="0" fontId="21" fillId="3" borderId="0" xfId="0" applyFont="1" applyFill="1"/>
    <xf numFmtId="0" fontId="22" fillId="2" borderId="0" xfId="0" applyFont="1" applyFill="1" applyAlignment="1">
      <alignment horizontal="center"/>
    </xf>
    <xf numFmtId="0" fontId="23" fillId="4" borderId="0" xfId="0" applyFont="1" applyFill="1"/>
    <xf numFmtId="0" fontId="17" fillId="3" borderId="0" xfId="0" applyFont="1" applyFill="1" applyAlignment="1">
      <alignment horizontal="right"/>
    </xf>
    <xf numFmtId="0" fontId="0" fillId="4" borderId="0" xfId="0" applyFill="1" applyAlignment="1">
      <alignment wrapText="1"/>
    </xf>
    <xf numFmtId="0" fontId="24" fillId="4" borderId="0" xfId="0" applyFont="1" applyFill="1"/>
    <xf numFmtId="0" fontId="25" fillId="3" borderId="0" xfId="0" applyFont="1" applyFill="1"/>
    <xf numFmtId="0" fontId="22" fillId="0" borderId="0" xfId="0" applyFont="1"/>
    <xf numFmtId="0" fontId="22" fillId="2" borderId="3" xfId="0" applyFont="1" applyFill="1" applyBorder="1" applyAlignment="1">
      <alignment horizontal="center"/>
    </xf>
    <xf numFmtId="0" fontId="22" fillId="6" borderId="3" xfId="0" applyFont="1" applyFill="1" applyBorder="1" applyAlignment="1">
      <alignment horizontal="center" textRotation="90"/>
    </xf>
    <xf numFmtId="0" fontId="5" fillId="0" borderId="0" xfId="0" applyFont="1" applyAlignment="1">
      <alignment horizontal="right"/>
    </xf>
    <xf numFmtId="0" fontId="5" fillId="3" borderId="3" xfId="0" applyFont="1" applyFill="1" applyBorder="1"/>
    <xf numFmtId="0" fontId="5" fillId="4" borderId="3" xfId="0" applyFont="1" applyFill="1" applyBorder="1"/>
    <xf numFmtId="0" fontId="17" fillId="3" borderId="3" xfId="0" applyFont="1" applyFill="1" applyBorder="1"/>
    <xf numFmtId="0" fontId="5" fillId="3" borderId="3" xfId="0" applyFont="1" applyFill="1" applyBorder="1" applyAlignment="1">
      <alignment horizontal="right"/>
    </xf>
    <xf numFmtId="0" fontId="26" fillId="3" borderId="0" xfId="0" applyFont="1" applyFill="1"/>
    <xf numFmtId="0" fontId="5" fillId="4" borderId="3" xfId="0" applyFont="1" applyFill="1" applyBorder="1" applyAlignment="1">
      <alignment horizontal="right"/>
    </xf>
    <xf numFmtId="0" fontId="27" fillId="4" borderId="0" xfId="0" applyFont="1" applyFill="1"/>
    <xf numFmtId="0" fontId="28" fillId="4" borderId="0" xfId="0" applyFont="1" applyFill="1"/>
    <xf numFmtId="0" fontId="0" fillId="3" borderId="0" xfId="0" applyFill="1" applyAlignment="1">
      <alignment wrapText="1"/>
    </xf>
    <xf numFmtId="0" fontId="29" fillId="4" borderId="0" xfId="0" applyFont="1" applyFill="1"/>
    <xf numFmtId="0" fontId="30" fillId="4" borderId="0" xfId="0" applyFont="1" applyFill="1" applyAlignment="1">
      <alignment horizontal="center"/>
    </xf>
    <xf numFmtId="0" fontId="30" fillId="3" borderId="0" xfId="0" applyFont="1" applyFill="1" applyAlignment="1">
      <alignment horizontal="center"/>
    </xf>
    <xf numFmtId="0" fontId="0" fillId="4" borderId="0" xfId="0" applyFill="1" applyAlignment="1">
      <alignment horizontal="left"/>
    </xf>
    <xf numFmtId="0" fontId="31" fillId="4" borderId="0" xfId="0" applyFont="1" applyFill="1"/>
    <xf numFmtId="0" fontId="32" fillId="3" borderId="0" xfId="0" applyFont="1" applyFill="1"/>
    <xf numFmtId="0" fontId="5" fillId="3" borderId="4" xfId="0" applyFont="1" applyFill="1" applyBorder="1"/>
    <xf numFmtId="0" fontId="33" fillId="3" borderId="0" xfId="0" applyFont="1" applyFill="1"/>
    <xf numFmtId="0" fontId="34" fillId="4" borderId="0" xfId="0" applyFont="1" applyFill="1"/>
    <xf numFmtId="0" fontId="35" fillId="4" borderId="4" xfId="0" applyFont="1" applyFill="1" applyBorder="1"/>
    <xf numFmtId="0" fontId="36" fillId="4" borderId="0" xfId="0" applyFont="1" applyFill="1"/>
    <xf numFmtId="0" fontId="37" fillId="3" borderId="0" xfId="0" applyFont="1" applyFill="1"/>
    <xf numFmtId="2" fontId="4" fillId="3" borderId="0" xfId="0" applyNumberFormat="1" applyFont="1" applyFill="1" applyAlignment="1">
      <alignment horizontal="right"/>
    </xf>
    <xf numFmtId="0" fontId="4" fillId="7" borderId="0" xfId="0" applyFont="1" applyFill="1" applyAlignment="1">
      <alignment horizontal="right"/>
    </xf>
    <xf numFmtId="0" fontId="4" fillId="3" borderId="0" xfId="0" applyFont="1" applyFill="1" applyAlignment="1">
      <alignment horizontal="right"/>
    </xf>
    <xf numFmtId="0" fontId="17" fillId="7" borderId="0" xfId="0" applyFont="1" applyFill="1" applyAlignment="1">
      <alignment horizontal="right"/>
    </xf>
    <xf numFmtId="0" fontId="38" fillId="7" borderId="0" xfId="0" applyFont="1" applyFill="1" applyAlignment="1">
      <alignment horizontal="right"/>
    </xf>
    <xf numFmtId="0" fontId="5" fillId="7" borderId="0" xfId="0" applyFont="1" applyFill="1" applyAlignment="1">
      <alignment horizontal="right"/>
    </xf>
    <xf numFmtId="0" fontId="4" fillId="4" borderId="0" xfId="0" applyFont="1" applyFill="1" applyAlignment="1">
      <alignment horizontal="right"/>
    </xf>
    <xf numFmtId="0" fontId="39" fillId="4" borderId="0" xfId="0" applyFont="1" applyFill="1" applyAlignment="1">
      <alignment horizontal="right"/>
    </xf>
    <xf numFmtId="166" fontId="6" fillId="3" borderId="0" xfId="0" applyNumberFormat="1" applyFont="1" applyFill="1"/>
    <xf numFmtId="0" fontId="40" fillId="4" borderId="0" xfId="0" applyFont="1" applyFill="1"/>
    <xf numFmtId="0" fontId="0" fillId="4" borderId="0" xfId="0" applyFill="1" applyAlignment="1">
      <alignment horizontal="center"/>
    </xf>
    <xf numFmtId="166" fontId="0" fillId="4" borderId="0" xfId="0" applyNumberFormat="1" applyFill="1" applyAlignment="1">
      <alignment horizontal="right"/>
    </xf>
    <xf numFmtId="0" fontId="41" fillId="4" borderId="0" xfId="0" applyFont="1" applyFill="1"/>
    <xf numFmtId="0" fontId="41" fillId="3" borderId="0" xfId="0" applyFont="1" applyFill="1"/>
    <xf numFmtId="0" fontId="42" fillId="3" borderId="0" xfId="0" applyFont="1" applyFill="1"/>
    <xf numFmtId="0" fontId="0" fillId="3" borderId="0" xfId="0" applyFill="1" applyAlignment="1">
      <alignment horizontal="center"/>
    </xf>
    <xf numFmtId="166" fontId="0" fillId="3" borderId="0" xfId="0" applyNumberFormat="1" applyFill="1" applyAlignment="1">
      <alignment horizontal="right"/>
    </xf>
    <xf numFmtId="0" fontId="43" fillId="3" borderId="0" xfId="0" applyFont="1" applyFill="1"/>
    <xf numFmtId="0" fontId="0" fillId="3" borderId="0" xfId="0" applyFill="1" applyAlignment="1">
      <alignment horizontal="left"/>
    </xf>
    <xf numFmtId="0" fontId="44" fillId="3" borderId="0" xfId="0" applyFont="1" applyFill="1" applyAlignment="1">
      <alignment horizontal="right"/>
    </xf>
    <xf numFmtId="0" fontId="45" fillId="3" borderId="0" xfId="0" applyFont="1" applyFill="1"/>
    <xf numFmtId="0" fontId="46" fillId="4" borderId="0" xfId="0" applyFont="1" applyFill="1"/>
    <xf numFmtId="2" fontId="1" fillId="3" borderId="0" xfId="0" applyNumberFormat="1" applyFont="1" applyFill="1"/>
    <xf numFmtId="2" fontId="1" fillId="4" borderId="0" xfId="0" applyNumberFormat="1" applyFont="1" applyFill="1"/>
    <xf numFmtId="2" fontId="1" fillId="0" borderId="0" xfId="0" applyNumberFormat="1" applyFont="1"/>
    <xf numFmtId="0" fontId="30" fillId="3" borderId="0" xfId="0" applyFont="1" applyFill="1"/>
    <xf numFmtId="0" fontId="41" fillId="3" borderId="0" xfId="0" applyFont="1" applyFill="1" applyAlignment="1">
      <alignment wrapText="1"/>
    </xf>
    <xf numFmtId="0" fontId="47" fillId="3" borderId="0" xfId="0" applyFont="1" applyFill="1"/>
    <xf numFmtId="0" fontId="41" fillId="3" borderId="0" xfId="0" applyFont="1" applyFill="1" applyAlignment="1">
      <alignment horizontal="left"/>
    </xf>
    <xf numFmtId="0" fontId="41" fillId="4" borderId="0" xfId="0" applyFont="1" applyFill="1" applyAlignment="1">
      <alignment wrapText="1"/>
    </xf>
    <xf numFmtId="0" fontId="48" fillId="4" borderId="0" xfId="0" applyFont="1" applyFill="1"/>
    <xf numFmtId="0" fontId="41" fillId="4" borderId="0" xfId="0" applyFont="1" applyFill="1" applyAlignment="1">
      <alignment horizontal="left"/>
    </xf>
    <xf numFmtId="164" fontId="0" fillId="3" borderId="0" xfId="0" applyNumberFormat="1" applyFill="1" applyAlignment="1">
      <alignment horizontal="right"/>
    </xf>
    <xf numFmtId="164" fontId="0" fillId="4" borderId="0" xfId="0" applyNumberFormat="1" applyFill="1" applyAlignment="1">
      <alignment horizontal="right"/>
    </xf>
    <xf numFmtId="167" fontId="0" fillId="3" borderId="0" xfId="0" applyNumberFormat="1" applyFill="1" applyAlignment="1">
      <alignment horizontal="right"/>
    </xf>
    <xf numFmtId="0" fontId="49" fillId="4" borderId="0" xfId="0" applyFont="1" applyFill="1"/>
    <xf numFmtId="167" fontId="0" fillId="4" borderId="0" xfId="0" applyNumberFormat="1" applyFill="1" applyAlignment="1">
      <alignment horizontal="right"/>
    </xf>
    <xf numFmtId="0" fontId="50" fillId="4" borderId="0" xfId="0" applyFont="1" applyFill="1"/>
    <xf numFmtId="164" fontId="6" fillId="3" borderId="0" xfId="0" applyNumberFormat="1" applyFont="1" applyFill="1" applyAlignment="1">
      <alignment horizontal="right"/>
    </xf>
    <xf numFmtId="0" fontId="6" fillId="3" borderId="0" xfId="0" applyFont="1" applyFill="1" applyAlignment="1">
      <alignment horizontal="right"/>
    </xf>
    <xf numFmtId="0" fontId="6" fillId="4" borderId="0" xfId="0" applyFont="1" applyFill="1" applyAlignment="1">
      <alignment horizontal="right"/>
    </xf>
    <xf numFmtId="164" fontId="6" fillId="4" borderId="0" xfId="0" applyNumberFormat="1" applyFont="1" applyFill="1" applyAlignment="1">
      <alignment horizontal="right"/>
    </xf>
    <xf numFmtId="167" fontId="6" fillId="3" borderId="0" xfId="0" applyNumberFormat="1" applyFont="1" applyFill="1" applyAlignment="1">
      <alignment horizontal="right"/>
    </xf>
    <xf numFmtId="167" fontId="6" fillId="4" borderId="0" xfId="0" applyNumberFormat="1" applyFont="1" applyFill="1" applyAlignment="1">
      <alignment horizontal="right"/>
    </xf>
    <xf numFmtId="0" fontId="51" fillId="3" borderId="0" xfId="0" applyFont="1" applyFill="1"/>
    <xf numFmtId="0" fontId="52" fillId="4" borderId="0" xfId="0" applyFont="1" applyFill="1"/>
    <xf numFmtId="0" fontId="37" fillId="4" borderId="0" xfId="0" applyFont="1" applyFill="1"/>
    <xf numFmtId="0" fontId="5" fillId="3" borderId="0" xfId="0" applyFont="1" applyFill="1" applyAlignment="1">
      <alignment wrapText="1"/>
    </xf>
    <xf numFmtId="0" fontId="5" fillId="3" borderId="0" xfId="0" applyFont="1" applyFill="1" applyAlignment="1">
      <alignment horizontal="center"/>
    </xf>
    <xf numFmtId="164" fontId="5" fillId="3" borderId="0" xfId="0" applyNumberFormat="1" applyFont="1" applyFill="1" applyAlignment="1">
      <alignment horizontal="right"/>
    </xf>
    <xf numFmtId="0" fontId="5" fillId="4" borderId="0" xfId="0" applyFont="1" applyFill="1" applyAlignment="1">
      <alignment wrapText="1"/>
    </xf>
    <xf numFmtId="0" fontId="53" fillId="4" borderId="0" xfId="0" applyFont="1" applyFill="1"/>
    <xf numFmtId="0" fontId="5" fillId="4" borderId="0" xfId="0" applyFont="1" applyFill="1" applyAlignment="1">
      <alignment horizontal="center"/>
    </xf>
    <xf numFmtId="168" fontId="5" fillId="4" borderId="0" xfId="0" applyNumberFormat="1" applyFont="1" applyFill="1" applyAlignment="1">
      <alignment horizontal="right"/>
    </xf>
    <xf numFmtId="164" fontId="5" fillId="4" borderId="0" xfId="0" applyNumberFormat="1" applyFont="1" applyFill="1" applyAlignment="1">
      <alignment horizontal="right"/>
    </xf>
    <xf numFmtId="168" fontId="5" fillId="3" borderId="0" xfId="0" applyNumberFormat="1" applyFont="1" applyFill="1" applyAlignment="1">
      <alignment horizontal="right"/>
    </xf>
    <xf numFmtId="169" fontId="5" fillId="4" borderId="0" xfId="0" applyNumberFormat="1" applyFont="1" applyFill="1" applyAlignment="1">
      <alignment horizontal="right"/>
    </xf>
    <xf numFmtId="169" fontId="5" fillId="3" borderId="0" xfId="0" applyNumberFormat="1" applyFont="1" applyFill="1" applyAlignment="1">
      <alignment horizontal="right"/>
    </xf>
    <xf numFmtId="0" fontId="54" fillId="4" borderId="0" xfId="0" applyFont="1" applyFill="1"/>
    <xf numFmtId="0" fontId="55" fillId="3" borderId="0" xfId="0" applyFont="1" applyFill="1"/>
    <xf numFmtId="0" fontId="6" fillId="4" borderId="4" xfId="0" applyFont="1" applyFill="1" applyBorder="1"/>
    <xf numFmtId="0" fontId="6" fillId="3" borderId="4" xfId="0" applyFont="1" applyFill="1" applyBorder="1"/>
    <xf numFmtId="169" fontId="6" fillId="3" borderId="0" xfId="0" applyNumberFormat="1" applyFont="1" applyFill="1" applyAlignment="1">
      <alignment horizontal="right"/>
    </xf>
    <xf numFmtId="0" fontId="56" fillId="4" borderId="0" xfId="0" applyFont="1" applyFill="1"/>
    <xf numFmtId="0" fontId="57" fillId="4" borderId="0" xfId="0" applyFont="1" applyFill="1"/>
    <xf numFmtId="169" fontId="6" fillId="4" borderId="0" xfId="0" applyNumberFormat="1" applyFont="1" applyFill="1" applyAlignment="1">
      <alignment horizontal="right"/>
    </xf>
    <xf numFmtId="0" fontId="58" fillId="3" borderId="0" xfId="0" applyFont="1" applyFill="1"/>
    <xf numFmtId="0" fontId="59" fillId="3" borderId="0" xfId="0" applyFont="1" applyFill="1" applyAlignment="1">
      <alignment horizontal="left"/>
    </xf>
    <xf numFmtId="0" fontId="58" fillId="3" borderId="0" xfId="0" applyFont="1" applyFill="1" applyAlignment="1">
      <alignment horizontal="center"/>
    </xf>
    <xf numFmtId="0" fontId="58" fillId="4" borderId="0" xfId="0" applyFont="1" applyFill="1" applyAlignment="1">
      <alignment horizontal="right"/>
    </xf>
    <xf numFmtId="0" fontId="58" fillId="4" borderId="0" xfId="0" applyFont="1" applyFill="1" applyAlignment="1">
      <alignment wrapText="1"/>
    </xf>
    <xf numFmtId="0" fontId="58" fillId="4" borderId="0" xfId="0" applyFont="1" applyFill="1"/>
    <xf numFmtId="0" fontId="60" fillId="4" borderId="0" xfId="0" applyFont="1" applyFill="1" applyAlignment="1">
      <alignment horizontal="left"/>
    </xf>
    <xf numFmtId="0" fontId="58" fillId="4" borderId="0" xfId="0" applyFont="1" applyFill="1" applyAlignment="1">
      <alignment horizontal="center"/>
    </xf>
    <xf numFmtId="0" fontId="58" fillId="3" borderId="0" xfId="0" applyFont="1" applyFill="1" applyAlignment="1">
      <alignment horizontal="right"/>
    </xf>
    <xf numFmtId="0" fontId="61" fillId="4" borderId="0" xfId="0" applyFont="1" applyFill="1"/>
    <xf numFmtId="0" fontId="62" fillId="3" borderId="0" xfId="0" applyFont="1" applyFill="1"/>
    <xf numFmtId="0" fontId="61" fillId="3" borderId="0" xfId="0" applyFont="1" applyFill="1"/>
    <xf numFmtId="0" fontId="62" fillId="4" borderId="0" xfId="0" applyFont="1" applyFill="1"/>
    <xf numFmtId="0" fontId="4" fillId="5" borderId="1" xfId="0" applyFont="1" applyFill="1" applyBorder="1" applyAlignment="1">
      <alignment horizontal="right"/>
    </xf>
    <xf numFmtId="0" fontId="63" fillId="5" borderId="1" xfId="0" applyFont="1" applyFill="1" applyBorder="1"/>
    <xf numFmtId="0" fontId="17" fillId="4" borderId="0" xfId="0" applyFont="1" applyFill="1" applyAlignment="1">
      <alignment horizontal="left"/>
    </xf>
    <xf numFmtId="0" fontId="4" fillId="8" borderId="0" xfId="0" applyFont="1" applyFill="1" applyAlignment="1">
      <alignment horizontal="right"/>
    </xf>
    <xf numFmtId="0" fontId="4" fillId="5" borderId="2" xfId="0" applyFont="1" applyFill="1" applyBorder="1" applyAlignment="1">
      <alignment horizontal="right"/>
    </xf>
    <xf numFmtId="0" fontId="4" fillId="9" borderId="0" xfId="0" applyFont="1" applyFill="1" applyAlignment="1">
      <alignment horizontal="right"/>
    </xf>
    <xf numFmtId="0" fontId="64" fillId="4" borderId="2" xfId="0" applyFont="1" applyFill="1" applyBorder="1"/>
    <xf numFmtId="0" fontId="65" fillId="5" borderId="2" xfId="0" applyFont="1" applyFill="1" applyBorder="1"/>
    <xf numFmtId="0" fontId="66" fillId="5" borderId="0" xfId="0" applyFont="1" applyFill="1"/>
    <xf numFmtId="0" fontId="4" fillId="4" borderId="2" xfId="0" applyFont="1" applyFill="1" applyBorder="1"/>
    <xf numFmtId="0" fontId="67" fillId="4" borderId="2" xfId="0" applyFont="1" applyFill="1" applyBorder="1"/>
    <xf numFmtId="0" fontId="4" fillId="5" borderId="0" xfId="0" applyFont="1" applyFill="1" applyAlignment="1">
      <alignment horizontal="center"/>
    </xf>
    <xf numFmtId="0" fontId="68" fillId="4" borderId="2" xfId="0" applyFont="1" applyFill="1" applyBorder="1"/>
    <xf numFmtId="0" fontId="69" fillId="3" borderId="2" xfId="0" applyFont="1" applyFill="1" applyBorder="1"/>
    <xf numFmtId="0" fontId="6" fillId="0" borderId="0" xfId="0" applyFont="1" applyAlignment="1">
      <alignment wrapText="1"/>
    </xf>
    <xf numFmtId="0" fontId="6" fillId="0" borderId="0" xfId="0" applyFont="1" applyAlignment="1">
      <alignment horizontal="left"/>
    </xf>
    <xf numFmtId="0" fontId="6" fillId="0" borderId="0" xfId="0" applyFont="1" applyAlignment="1">
      <alignment horizontal="center"/>
    </xf>
    <xf numFmtId="0" fontId="4" fillId="5" borderId="0" xfId="0" applyFont="1" applyFill="1"/>
    <xf numFmtId="0" fontId="0" fillId="0" borderId="0" xfId="0"/>
  </cellXfs>
  <cellStyles count="1">
    <cellStyle name="Normal" xfId="0" builtinId="0"/>
  </cellStyles>
  <dxfs count="5">
    <dxf>
      <fill>
        <patternFill patternType="solid">
          <fgColor rgb="FFF4C7C3"/>
          <bgColor rgb="FFF4C7C3"/>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B1" headerRowCount="0">
  <tableColumns count="2">
    <tableColumn id="1" xr3:uid="{00000000-0010-0000-0000-000001000000}" name="Column1"/>
    <tableColumn id="2" xr3:uid="{00000000-0010-0000-0000-000002000000}" name="Column2"/>
  </tableColumns>
  <tableStyleInfo name="Respostas ao formulário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igarape.org.br/" TargetMode="External"/><Relationship Id="rId21" Type="http://schemas.openxmlformats.org/officeDocument/2006/relationships/hyperlink" Target="https://www.afwic.af.mil/" TargetMode="External"/><Relationship Id="rId42" Type="http://schemas.openxmlformats.org/officeDocument/2006/relationships/hyperlink" Target="https://www2.deloitte.com/global/en/pages/public-sector/articles/gx-national-security-industry-outlook.html" TargetMode="External"/><Relationship Id="rId63" Type="http://schemas.openxmlformats.org/officeDocument/2006/relationships/hyperlink" Target="https://www.fes.de/" TargetMode="External"/><Relationship Id="rId84" Type="http://schemas.openxmlformats.org/officeDocument/2006/relationships/hyperlink" Target="https://www.clingendael.org/" TargetMode="External"/><Relationship Id="rId138" Type="http://schemas.openxmlformats.org/officeDocument/2006/relationships/hyperlink" Target="https://www.unizg.hr/homepage/" TargetMode="External"/><Relationship Id="rId159" Type="http://schemas.openxmlformats.org/officeDocument/2006/relationships/hyperlink" Target="https://www.nsfc.gov.cn/" TargetMode="External"/><Relationship Id="rId170" Type="http://schemas.openxmlformats.org/officeDocument/2006/relationships/hyperlink" Target="https://kam.lt/" TargetMode="External"/><Relationship Id="rId191" Type="http://schemas.openxmlformats.org/officeDocument/2006/relationships/hyperlink" Target="http://sois.uum.edu.my/" TargetMode="External"/><Relationship Id="rId205" Type="http://schemas.openxmlformats.org/officeDocument/2006/relationships/hyperlink" Target="https://en.sdu.edu.cn/" TargetMode="External"/><Relationship Id="rId107" Type="http://schemas.openxmlformats.org/officeDocument/2006/relationships/hyperlink" Target="https://www.defense.gov/" TargetMode="External"/><Relationship Id="rId11" Type="http://schemas.openxmlformats.org/officeDocument/2006/relationships/hyperlink" Target="https://www.balsillieschool.ca/wp-content/uploads/2019/02/CNDSA-Report-2019.pdf" TargetMode="External"/><Relationship Id="rId32" Type="http://schemas.openxmlformats.org/officeDocument/2006/relationships/hyperlink" Target="https://www.army.mil/FuturesandConceptsCenter" TargetMode="External"/><Relationship Id="rId53" Type="http://schemas.openxmlformats.org/officeDocument/2006/relationships/hyperlink" Target="https://dbb.defense.gov/Reports/" TargetMode="External"/><Relationship Id="rId74" Type="http://schemas.openxmlformats.org/officeDocument/2006/relationships/hyperlink" Target="https://www.fiia.fi/en/" TargetMode="External"/><Relationship Id="rId128" Type="http://schemas.openxmlformats.org/officeDocument/2006/relationships/hyperlink" Target="https://www.c6f.navy.mil/" TargetMode="External"/><Relationship Id="rId149" Type="http://schemas.openxmlformats.org/officeDocument/2006/relationships/hyperlink" Target="https://www.pssi.cz/" TargetMode="External"/><Relationship Id="rId5" Type="http://schemas.openxmlformats.org/officeDocument/2006/relationships/hyperlink" Target="https://peacekeeping.un.org/en" TargetMode="External"/><Relationship Id="rId95" Type="http://schemas.openxmlformats.org/officeDocument/2006/relationships/hyperlink" Target="http://www.feneu.org/" TargetMode="External"/><Relationship Id="rId160" Type="http://schemas.openxmlformats.org/officeDocument/2006/relationships/hyperlink" Target="https://www.dlr.de/en" TargetMode="External"/><Relationship Id="rId181" Type="http://schemas.openxmlformats.org/officeDocument/2006/relationships/hyperlink" Target="https://www.universiteitleiden.nl/en" TargetMode="External"/><Relationship Id="rId22" Type="http://schemas.openxmlformats.org/officeDocument/2006/relationships/hyperlink" Target="https://www.rand.org/" TargetMode="External"/><Relationship Id="rId43" Type="http://schemas.openxmlformats.org/officeDocument/2006/relationships/hyperlink" Target="https://www.express-journal.com/request-sample/380846?utm=AG" TargetMode="External"/><Relationship Id="rId64" Type="http://schemas.openxmlformats.org/officeDocument/2006/relationships/hyperlink" Target="https://securityconference.org/en/news/" TargetMode="External"/><Relationship Id="rId118" Type="http://schemas.openxmlformats.org/officeDocument/2006/relationships/hyperlink" Target="https://www.ers.usda.gov/" TargetMode="External"/><Relationship Id="rId139" Type="http://schemas.openxmlformats.org/officeDocument/2006/relationships/hyperlink" Target="https://www.defesa.gov.pt/pt" TargetMode="External"/><Relationship Id="rId85" Type="http://schemas.openxmlformats.org/officeDocument/2006/relationships/hyperlink" Target="https://www.sis.pt/" TargetMode="External"/><Relationship Id="rId150" Type="http://schemas.openxmlformats.org/officeDocument/2006/relationships/hyperlink" Target="https://twq.elliott.gwu.edu/" TargetMode="External"/><Relationship Id="rId171" Type="http://schemas.openxmlformats.org/officeDocument/2006/relationships/hyperlink" Target="https://www.prif.org/" TargetMode="External"/><Relationship Id="rId192" Type="http://schemas.openxmlformats.org/officeDocument/2006/relationships/hyperlink" Target="https://www.osce.org/" TargetMode="External"/><Relationship Id="rId206" Type="http://schemas.openxmlformats.org/officeDocument/2006/relationships/hyperlink" Target="https://www.ku.dk/english/" TargetMode="External"/><Relationship Id="rId12" Type="http://schemas.openxmlformats.org/officeDocument/2006/relationships/hyperlink" Target="https://www.naadsn.ca/" TargetMode="External"/><Relationship Id="rId33" Type="http://schemas.openxmlformats.org/officeDocument/2006/relationships/hyperlink" Target="https://www.brookings.edu/series/foresight-africa/" TargetMode="External"/><Relationship Id="rId108" Type="http://schemas.openxmlformats.org/officeDocument/2006/relationships/hyperlink" Target="https://www.weforum.org/about/world-economic-forum-llc" TargetMode="External"/><Relationship Id="rId129" Type="http://schemas.openxmlformats.org/officeDocument/2006/relationships/hyperlink" Target="https://www.gov.uk/government/organisations/ministry-of-defence" TargetMode="External"/><Relationship Id="rId54" Type="http://schemas.openxmlformats.org/officeDocument/2006/relationships/hyperlink" Target="https://www.cigionline.org/about/funding" TargetMode="External"/><Relationship Id="rId75" Type="http://schemas.openxmlformats.org/officeDocument/2006/relationships/hyperlink" Target="https://www.frstrategie.org/en" TargetMode="External"/><Relationship Id="rId96" Type="http://schemas.openxmlformats.org/officeDocument/2006/relationships/hyperlink" Target="https://foresight-college.eu/" TargetMode="External"/><Relationship Id="rId140" Type="http://schemas.openxmlformats.org/officeDocument/2006/relationships/hyperlink" Target="https://eufuture.nova-uni.si/" TargetMode="External"/><Relationship Id="rId161" Type="http://schemas.openxmlformats.org/officeDocument/2006/relationships/hyperlink" Target="http://www.sevgtu.stel.sebastopol.ua/" TargetMode="External"/><Relationship Id="rId182" Type="http://schemas.openxmlformats.org/officeDocument/2006/relationships/hyperlink" Target="https://international.ui.ac.id/about-ui/" TargetMode="External"/><Relationship Id="rId6" Type="http://schemas.openxmlformats.org/officeDocument/2006/relationships/hyperlink" Target="https://cienciasespaciales.unah.edu.hn/" TargetMode="External"/><Relationship Id="rId23" Type="http://schemas.openxmlformats.org/officeDocument/2006/relationships/hyperlink" Target="https://www.dni.gov/index.php" TargetMode="External"/><Relationship Id="rId119" Type="http://schemas.openxmlformats.org/officeDocument/2006/relationships/hyperlink" Target="https://imccs.org/" TargetMode="External"/><Relationship Id="rId44" Type="http://schemas.openxmlformats.org/officeDocument/2006/relationships/hyperlink" Target="https://www.forecastinternational.com/" TargetMode="External"/><Relationship Id="rId65" Type="http://schemas.openxmlformats.org/officeDocument/2006/relationships/hyperlink" Target="https://www.bmbf.de/en/bmbf-foresight-1419.html" TargetMode="External"/><Relationship Id="rId86" Type="http://schemas.openxmlformats.org/officeDocument/2006/relationships/hyperlink" Target="https://www.gov.uk/" TargetMode="External"/><Relationship Id="rId130" Type="http://schemas.openxmlformats.org/officeDocument/2006/relationships/hyperlink" Target="https://www.ffi.no/en" TargetMode="External"/><Relationship Id="rId151" Type="http://schemas.openxmlformats.org/officeDocument/2006/relationships/hyperlink" Target="https://www.slovenskavojska.si/" TargetMode="External"/><Relationship Id="rId172" Type="http://schemas.openxmlformats.org/officeDocument/2006/relationships/hyperlink" Target="https://www.armyupress.army.mil/" TargetMode="External"/><Relationship Id="rId193" Type="http://schemas.openxmlformats.org/officeDocument/2006/relationships/hyperlink" Target="https://assets.publishing.service.gov.uk/" TargetMode="External"/><Relationship Id="rId207" Type="http://schemas.openxmlformats.org/officeDocument/2006/relationships/hyperlink" Target="http://english.zjgsu.edu.cn/" TargetMode="External"/><Relationship Id="rId13" Type="http://schemas.openxmlformats.org/officeDocument/2006/relationships/hyperlink" Target="https://www.naadsn.ca/wp-content/uploads/2020/09/20-Sept-15-NAADSN-Canadian-Arctic-Security-Strategic-Foresight-Analysis-2020-DRAFT-FOR-DISCUSSION-2.pdf" TargetMode="External"/><Relationship Id="rId109" Type="http://schemas.openxmlformats.org/officeDocument/2006/relationships/hyperlink" Target="https://www.irena.org/" TargetMode="External"/><Relationship Id="rId34" Type="http://schemas.openxmlformats.org/officeDocument/2006/relationships/hyperlink" Target="https://www.brookings.edu/" TargetMode="External"/><Relationship Id="rId55" Type="http://schemas.openxmlformats.org/officeDocument/2006/relationships/hyperlink" Target="https://umanitoba.ca/centres/cdss/papers/CDSS-Related%20articles.html" TargetMode="External"/><Relationship Id="rId76" Type="http://schemas.openxmlformats.org/officeDocument/2006/relationships/hyperlink" Target="https://www.ifri.org/en" TargetMode="External"/><Relationship Id="rId97" Type="http://schemas.openxmlformats.org/officeDocument/2006/relationships/hyperlink" Target="https://www.rusi.org/" TargetMode="External"/><Relationship Id="rId120" Type="http://schemas.openxmlformats.org/officeDocument/2006/relationships/hyperlink" Target="https://au.int/en/commission" TargetMode="External"/><Relationship Id="rId141" Type="http://schemas.openxmlformats.org/officeDocument/2006/relationships/hyperlink" Target="https://www.wilsoncenter.org/" TargetMode="External"/><Relationship Id="rId7" Type="http://schemas.openxmlformats.org/officeDocument/2006/relationships/hyperlink" Target="https://www.pioj.gov.jm/" TargetMode="External"/><Relationship Id="rId162" Type="http://schemas.openxmlformats.org/officeDocument/2006/relationships/hyperlink" Target="https://www.jsps.go.jp/english/" TargetMode="External"/><Relationship Id="rId183" Type="http://schemas.openxmlformats.org/officeDocument/2006/relationships/hyperlink" Target="https://www.usmcu.edu/" TargetMode="External"/><Relationship Id="rId24" Type="http://schemas.openxmlformats.org/officeDocument/2006/relationships/hyperlink" Target="https://www.dni.gov/index.php/ncpc-home" TargetMode="External"/><Relationship Id="rId45" Type="http://schemas.openxmlformats.org/officeDocument/2006/relationships/hyperlink" Target="https://www.nasa.gov/centers/armstrong/tech-dev/index.html" TargetMode="External"/><Relationship Id="rId66" Type="http://schemas.openxmlformats.org/officeDocument/2006/relationships/hyperlink" Target="https://www.foresightintelligence.de/index.html" TargetMode="External"/><Relationship Id="rId87" Type="http://schemas.openxmlformats.org/officeDocument/2006/relationships/hyperlink" Target="https://www.army.cz/en/" TargetMode="External"/><Relationship Id="rId110" Type="http://schemas.openxmlformats.org/officeDocument/2006/relationships/hyperlink" Target="https://www.oecd-ilibrary.org/" TargetMode="External"/><Relationship Id="rId131" Type="http://schemas.openxmlformats.org/officeDocument/2006/relationships/hyperlink" Target="https://www.ceeol.com/" TargetMode="External"/><Relationship Id="rId61" Type="http://schemas.openxmlformats.org/officeDocument/2006/relationships/hyperlink" Target="https://ec.europa.eu/info/index_pt" TargetMode="External"/><Relationship Id="rId82" Type="http://schemas.openxmlformats.org/officeDocument/2006/relationships/hyperlink" Target="https://www.regjeringen.no/en/dep/fd/id380/" TargetMode="External"/><Relationship Id="rId152" Type="http://schemas.openxmlformats.org/officeDocument/2006/relationships/hyperlink" Target="https://www.kva.se/en/" TargetMode="External"/><Relationship Id="rId173" Type="http://schemas.openxmlformats.org/officeDocument/2006/relationships/hyperlink" Target="https://www.haifa.ac.il/" TargetMode="External"/><Relationship Id="rId194" Type="http://schemas.openxmlformats.org/officeDocument/2006/relationships/hyperlink" Target="https://www.imemo.ru/en" TargetMode="External"/><Relationship Id="rId199" Type="http://schemas.openxmlformats.org/officeDocument/2006/relationships/hyperlink" Target="https://www.hb.se/en/" TargetMode="External"/><Relationship Id="rId203" Type="http://schemas.openxmlformats.org/officeDocument/2006/relationships/hyperlink" Target="https://www.uva.nl/en" TargetMode="External"/><Relationship Id="rId208" Type="http://schemas.openxmlformats.org/officeDocument/2006/relationships/hyperlink" Target="https://unri.ac.id/" TargetMode="External"/><Relationship Id="rId19" Type="http://schemas.openxmlformats.org/officeDocument/2006/relationships/hyperlink" Target="https://www.csis.org/" TargetMode="External"/><Relationship Id="rId14" Type="http://schemas.openxmlformats.org/officeDocument/2006/relationships/hyperlink" Target="http://www.army-armee.forces.gc.ca/en/index.page" TargetMode="External"/><Relationship Id="rId30" Type="http://schemas.openxmlformats.org/officeDocument/2006/relationships/hyperlink" Target="https://www.apan.org/" TargetMode="External"/><Relationship Id="rId35" Type="http://schemas.openxmlformats.org/officeDocument/2006/relationships/hyperlink" Target="https://www.atlanticcouncil.org/" TargetMode="External"/><Relationship Id="rId56" Type="http://schemas.openxmlformats.org/officeDocument/2006/relationships/hyperlink" Target="https://www.ndu.edu/" TargetMode="External"/><Relationship Id="rId77" Type="http://schemas.openxmlformats.org/officeDocument/2006/relationships/hyperlink" Target="https://www.iris-france.org/" TargetMode="External"/><Relationship Id="rId100" Type="http://schemas.openxmlformats.org/officeDocument/2006/relationships/hyperlink" Target="https://www.lowyinstitute.org/" TargetMode="External"/><Relationship Id="rId105" Type="http://schemas.openxmlformats.org/officeDocument/2006/relationships/hyperlink" Target="https://defence.gov.au/annualreports/" TargetMode="External"/><Relationship Id="rId126" Type="http://schemas.openxmlformats.org/officeDocument/2006/relationships/hyperlink" Target="https://www.mfa.gov.lv/" TargetMode="External"/><Relationship Id="rId147" Type="http://schemas.openxmlformats.org/officeDocument/2006/relationships/hyperlink" Target="https://www.fiia.fi/" TargetMode="External"/><Relationship Id="rId168" Type="http://schemas.openxmlformats.org/officeDocument/2006/relationships/hyperlink" Target="https://pt.council.science/member/russian-federation-russian-academy-of-sciences/" TargetMode="External"/><Relationship Id="rId8" Type="http://schemas.openxmlformats.org/officeDocument/2006/relationships/hyperlink" Target="https://uwaterloo.ca/defence-security-foresight-group/" TargetMode="External"/><Relationship Id="rId51" Type="http://schemas.openxmlformats.org/officeDocument/2006/relationships/hyperlink" Target="https://www.dcsa.mil/about/err/" TargetMode="External"/><Relationship Id="rId72" Type="http://schemas.openxmlformats.org/officeDocument/2006/relationships/hyperlink" Target="https://www.utu.fi/en/university/turku-school-of-economics/finland-futures-research-centre" TargetMode="External"/><Relationship Id="rId93" Type="http://schemas.openxmlformats.org/officeDocument/2006/relationships/hyperlink" Target="https://op.europa.eu/en/publication-detail/-/publication/91db75a7-dbdb-49e9-a5ee-2c75c0fd83ac" TargetMode="External"/><Relationship Id="rId98" Type="http://schemas.openxmlformats.org/officeDocument/2006/relationships/hyperlink" Target="https://cove.army.gov.au/bio/army-knowledge-centre" TargetMode="External"/><Relationship Id="rId121" Type="http://schemas.openxmlformats.org/officeDocument/2006/relationships/hyperlink" Target="https://www.gov.uk/government/organisations/ministry-of-defence" TargetMode="External"/><Relationship Id="rId142" Type="http://schemas.openxmlformats.org/officeDocument/2006/relationships/hyperlink" Target="https://www.naadsn.ca/" TargetMode="External"/><Relationship Id="rId163" Type="http://schemas.openxmlformats.org/officeDocument/2006/relationships/hyperlink" Target="https://new.ras.ru/en/" TargetMode="External"/><Relationship Id="rId184" Type="http://schemas.openxmlformats.org/officeDocument/2006/relationships/hyperlink" Target="https://www.mruni.eu/" TargetMode="External"/><Relationship Id="rId189" Type="http://schemas.openxmlformats.org/officeDocument/2006/relationships/hyperlink" Target="https://ti-defence.org/" TargetMode="External"/><Relationship Id="rId3" Type="http://schemas.openxmlformats.org/officeDocument/2006/relationships/hyperlink" Target="https://www.europarl.europa.eu/portal/en" TargetMode="External"/><Relationship Id="rId25" Type="http://schemas.openxmlformats.org/officeDocument/2006/relationships/hyperlink" Target="https://www.dni.gov/index.php/ncsc-home" TargetMode="External"/><Relationship Id="rId46" Type="http://schemas.openxmlformats.org/officeDocument/2006/relationships/hyperlink" Target="https://www.nasa.gov/langley/overview/2020-annual-report/" TargetMode="External"/><Relationship Id="rId67" Type="http://schemas.openxmlformats.org/officeDocument/2006/relationships/hyperlink" Target="http://www.pfp-consortium.org/articles/cybersecurity-switzerland-challenges-and-way-forward-swiss-armed-forces" TargetMode="External"/><Relationship Id="rId116" Type="http://schemas.openxmlformats.org/officeDocument/2006/relationships/hyperlink" Target="https://www.irena.org/" TargetMode="External"/><Relationship Id="rId137" Type="http://schemas.openxmlformats.org/officeDocument/2006/relationships/hyperlink" Target="https://www.government.se/" TargetMode="External"/><Relationship Id="rId158" Type="http://schemas.openxmlformats.org/officeDocument/2006/relationships/hyperlink" Target="https://www.chinesescholarshipcouncil.com/" TargetMode="External"/><Relationship Id="rId20" Type="http://schemas.openxmlformats.org/officeDocument/2006/relationships/hyperlink" Target="https://www.globalriskintel.com/" TargetMode="External"/><Relationship Id="rId41" Type="http://schemas.openxmlformats.org/officeDocument/2006/relationships/hyperlink" Target="https://www.heritage.org/defense" TargetMode="External"/><Relationship Id="rId62" Type="http://schemas.openxmlformats.org/officeDocument/2006/relationships/hyperlink" Target="https://www.die-gdi.de/en/" TargetMode="External"/><Relationship Id="rId83" Type="http://schemas.openxmlformats.org/officeDocument/2006/relationships/hyperlink" Target="https://finabel.org/" TargetMode="External"/><Relationship Id="rId88" Type="http://schemas.openxmlformats.org/officeDocument/2006/relationships/hyperlink" Target="https://issat.dcaf.ch/Learn/SSR-in-Practice/Countries-Regions/Serbia?view=resources" TargetMode="External"/><Relationship Id="rId111" Type="http://schemas.openxmlformats.org/officeDocument/2006/relationships/hyperlink" Target="https://pardee.du.edu/" TargetMode="External"/><Relationship Id="rId132" Type="http://schemas.openxmlformats.org/officeDocument/2006/relationships/hyperlink" Target="https://foresight.org/" TargetMode="External"/><Relationship Id="rId153" Type="http://schemas.openxmlformats.org/officeDocument/2006/relationships/hyperlink" Target="https://centerformaritimestrategy.org/" TargetMode="External"/><Relationship Id="rId174" Type="http://schemas.openxmlformats.org/officeDocument/2006/relationships/hyperlink" Target="https://www.vsd.lt/" TargetMode="External"/><Relationship Id="rId179" Type="http://schemas.openxmlformats.org/officeDocument/2006/relationships/hyperlink" Target="https://www.swcs.mil/Portals" TargetMode="External"/><Relationship Id="rId195" Type="http://schemas.openxmlformats.org/officeDocument/2006/relationships/hyperlink" Target="https://china-cee.eu/" TargetMode="External"/><Relationship Id="rId209" Type="http://schemas.openxmlformats.org/officeDocument/2006/relationships/hyperlink" Target="https://www.twz.com/" TargetMode="External"/><Relationship Id="rId190" Type="http://schemas.openxmlformats.org/officeDocument/2006/relationships/hyperlink" Target="https://neighbourhood-enlargement.ec.europa.eu/" TargetMode="External"/><Relationship Id="rId204" Type="http://schemas.openxmlformats.org/officeDocument/2006/relationships/hyperlink" Target="https://www.uq.edu.au/" TargetMode="External"/><Relationship Id="rId15" Type="http://schemas.openxmlformats.org/officeDocument/2006/relationships/hyperlink" Target="https://horizons.gc.ca/en/home/" TargetMode="External"/><Relationship Id="rId36" Type="http://schemas.openxmlformats.org/officeDocument/2006/relationships/hyperlink" Target="https://www.fema.gov/pt-br" TargetMode="External"/><Relationship Id="rId57" Type="http://schemas.openxmlformats.org/officeDocument/2006/relationships/hyperlink" Target="https://www.airuniversity.af.edu/ACSC/" TargetMode="External"/><Relationship Id="rId106" Type="http://schemas.openxmlformats.org/officeDocument/2006/relationships/hyperlink" Target="https://www.defence.govt.nz/" TargetMode="External"/><Relationship Id="rId127" Type="http://schemas.openxmlformats.org/officeDocument/2006/relationships/hyperlink" Target="https://rus.lsm.lv/" TargetMode="External"/><Relationship Id="rId10" Type="http://schemas.openxmlformats.org/officeDocument/2006/relationships/hyperlink" Target="https://www.balsillieschool.ca/research/cndsa/" TargetMode="External"/><Relationship Id="rId31" Type="http://schemas.openxmlformats.org/officeDocument/2006/relationships/hyperlink" Target="https://www.mei.edu/programs/strategic-foresight-initiative" TargetMode="External"/><Relationship Id="rId52" Type="http://schemas.openxmlformats.org/officeDocument/2006/relationships/hyperlink" Target="https://ni-u.edu/wp/ni-press-publications/" TargetMode="External"/><Relationship Id="rId73" Type="http://schemas.openxmlformats.org/officeDocument/2006/relationships/hyperlink" Target="https://www.eduskunta.fi/EN/valiokunnat/tulevaisuusvaliokunta/Pages/default.aspx" TargetMode="External"/><Relationship Id="rId78" Type="http://schemas.openxmlformats.org/officeDocument/2006/relationships/hyperlink" Target="https://www.eliamep.gr/en/" TargetMode="External"/><Relationship Id="rId94" Type="http://schemas.openxmlformats.org/officeDocument/2006/relationships/hyperlink" Target="https://www.iss.europa.eu/topics/strategic-foresight" TargetMode="External"/><Relationship Id="rId99" Type="http://schemas.openxmlformats.org/officeDocument/2006/relationships/hyperlink" Target="https://regionalsecurity.org.au/" TargetMode="External"/><Relationship Id="rId101" Type="http://schemas.openxmlformats.org/officeDocument/2006/relationships/hyperlink" Target="https://www.aspi.org.au/" TargetMode="External"/><Relationship Id="rId122" Type="http://schemas.openxmlformats.org/officeDocument/2006/relationships/hyperlink" Target="https://rusi.org/" TargetMode="External"/><Relationship Id="rId143" Type="http://schemas.openxmlformats.org/officeDocument/2006/relationships/hyperlink" Target="https://iep.lisboa.ucp.pt/pt-pt/homepage" TargetMode="External"/><Relationship Id="rId148" Type="http://schemas.openxmlformats.org/officeDocument/2006/relationships/hyperlink" Target="https://www.state.gov/" TargetMode="External"/><Relationship Id="rId164" Type="http://schemas.openxmlformats.org/officeDocument/2006/relationships/hyperlink" Target="https://sais.jhu.edu/" TargetMode="External"/><Relationship Id="rId169" Type="http://schemas.openxmlformats.org/officeDocument/2006/relationships/hyperlink" Target="https://training.logistics.org.uk/" TargetMode="External"/><Relationship Id="rId185" Type="http://schemas.openxmlformats.org/officeDocument/2006/relationships/hyperlink" Target="https://aei.pitt.edu/" TargetMode="External"/><Relationship Id="rId4" Type="http://schemas.openxmlformats.org/officeDocument/2006/relationships/hyperlink" Target="https://www.reportlinker.com/" TargetMode="External"/><Relationship Id="rId9" Type="http://schemas.openxmlformats.org/officeDocument/2006/relationships/hyperlink" Target="https://www.dal.ca/sites/cssd.html" TargetMode="External"/><Relationship Id="rId180" Type="http://schemas.openxmlformats.org/officeDocument/2006/relationships/hyperlink" Target="https://www.reei.org/" TargetMode="External"/><Relationship Id="rId210" Type="http://schemas.openxmlformats.org/officeDocument/2006/relationships/hyperlink" Target="https://english.defensie.nl/downloads/publications/2024/09/05/defence-white-paper-2024" TargetMode="External"/><Relationship Id="rId26" Type="http://schemas.openxmlformats.org/officeDocument/2006/relationships/hyperlink" Target="https://www.dni.gov/index.php/nctc-home" TargetMode="External"/><Relationship Id="rId47" Type="http://schemas.openxmlformats.org/officeDocument/2006/relationships/hyperlink" Target="https://www.cnas.org/" TargetMode="External"/><Relationship Id="rId68" Type="http://schemas.openxmlformats.org/officeDocument/2006/relationships/hyperlink" Target="https://css.ethz.ch/en/" TargetMode="External"/><Relationship Id="rId89" Type="http://schemas.openxmlformats.org/officeDocument/2006/relationships/hyperlink" Target="https://www.foi.se/en/foi.html" TargetMode="External"/><Relationship Id="rId112" Type="http://schemas.openxmlformats.org/officeDocument/2006/relationships/hyperlink" Target="https://www.nilebasindiscourse.org/" TargetMode="External"/><Relationship Id="rId133" Type="http://schemas.openxmlformats.org/officeDocument/2006/relationships/hyperlink" Target="https://www.rand.org/randeurope.html" TargetMode="External"/><Relationship Id="rId154" Type="http://schemas.openxmlformats.org/officeDocument/2006/relationships/hyperlink" Target="https://www.mod.gov.lv/lv" TargetMode="External"/><Relationship Id="rId175" Type="http://schemas.openxmlformats.org/officeDocument/2006/relationships/hyperlink" Target="https://www.fhs.se/" TargetMode="External"/><Relationship Id="rId196" Type="http://schemas.openxmlformats.org/officeDocument/2006/relationships/hyperlink" Target="https://www.ums.edu.my/" TargetMode="External"/><Relationship Id="rId200" Type="http://schemas.openxmlformats.org/officeDocument/2006/relationships/hyperlink" Target="https://en.xmu.edu.cn/" TargetMode="External"/><Relationship Id="rId16" Type="http://schemas.openxmlformats.org/officeDocument/2006/relationships/hyperlink" Target="https://forecasters.org/" TargetMode="External"/><Relationship Id="rId37" Type="http://schemas.openxmlformats.org/officeDocument/2006/relationships/hyperlink" Target="https://csbaonline.org/" TargetMode="External"/><Relationship Id="rId58" Type="http://schemas.openxmlformats.org/officeDocument/2006/relationships/hyperlink" Target="https://africacenter.org/" TargetMode="External"/><Relationship Id="rId79" Type="http://schemas.openxmlformats.org/officeDocument/2006/relationships/hyperlink" Target="https://www.iai.it/it" TargetMode="External"/><Relationship Id="rId102" Type="http://schemas.openxmlformats.org/officeDocument/2006/relationships/hyperlink" Target="https://www.navy.gov.au/" TargetMode="External"/><Relationship Id="rId123" Type="http://schemas.openxmlformats.org/officeDocument/2006/relationships/hyperlink" Target="https://www.nato.int/" TargetMode="External"/><Relationship Id="rId144" Type="http://schemas.openxmlformats.org/officeDocument/2006/relationships/hyperlink" Target="https://ipri.unl.pt/index.php/pt/" TargetMode="External"/><Relationship Id="rId90" Type="http://schemas.openxmlformats.org/officeDocument/2006/relationships/hyperlink" Target="https://www.government.se/" TargetMode="External"/><Relationship Id="rId165" Type="http://schemas.openxmlformats.org/officeDocument/2006/relationships/hyperlink" Target="https://english.nudt.edu.cn/" TargetMode="External"/><Relationship Id="rId186" Type="http://schemas.openxmlformats.org/officeDocument/2006/relationships/hyperlink" Target="https://dr.ntu.edu.sg/handle/10356/163540" TargetMode="External"/><Relationship Id="rId211" Type="http://schemas.openxmlformats.org/officeDocument/2006/relationships/hyperlink" Target="https://www.cbp.gov/" TargetMode="External"/><Relationship Id="rId27" Type="http://schemas.openxmlformats.org/officeDocument/2006/relationships/hyperlink" Target="https://www.iftf.org/home/" TargetMode="External"/><Relationship Id="rId48" Type="http://schemas.openxmlformats.org/officeDocument/2006/relationships/hyperlink" Target="https://innovation.defense.gov/" TargetMode="External"/><Relationship Id="rId69" Type="http://schemas.openxmlformats.org/officeDocument/2006/relationships/hyperlink" Target="https://sbsem.ulb.be/research/research-centres/ceb" TargetMode="External"/><Relationship Id="rId113" Type="http://schemas.openxmlformats.org/officeDocument/2006/relationships/hyperlink" Target="https://www.unodc.org/" TargetMode="External"/><Relationship Id="rId134" Type="http://schemas.openxmlformats.org/officeDocument/2006/relationships/hyperlink" Target="https://ndupress.ndu.edu/" TargetMode="External"/><Relationship Id="rId80" Type="http://schemas.openxmlformats.org/officeDocument/2006/relationships/hyperlink" Target="https://www.nato.int/cps/en/natohq/news_180758.htm?selectedLocale=en" TargetMode="External"/><Relationship Id="rId155" Type="http://schemas.openxmlformats.org/officeDocument/2006/relationships/hyperlink" Target="https://roec.biz/" TargetMode="External"/><Relationship Id="rId176" Type="http://schemas.openxmlformats.org/officeDocument/2006/relationships/hyperlink" Target="https://kam.lt/en/" TargetMode="External"/><Relationship Id="rId197" Type="http://schemas.openxmlformats.org/officeDocument/2006/relationships/hyperlink" Target="https://en.uit.no/" TargetMode="External"/><Relationship Id="rId201" Type="http://schemas.openxmlformats.org/officeDocument/2006/relationships/hyperlink" Target="https://srbg.be/" TargetMode="External"/><Relationship Id="rId17" Type="http://schemas.openxmlformats.org/officeDocument/2006/relationships/hyperlink" Target="https://www.cgdev.org/" TargetMode="External"/><Relationship Id="rId38" Type="http://schemas.openxmlformats.org/officeDocument/2006/relationships/hyperlink" Target="https://biblat.unam.mx/pt/revista/revista-del-centro-de-estudios-superiores-navales" TargetMode="External"/><Relationship Id="rId59" Type="http://schemas.openxmlformats.org/officeDocument/2006/relationships/hyperlink" Target="https://www.ipea.gov.br/portal/" TargetMode="External"/><Relationship Id="rId103" Type="http://schemas.openxmlformats.org/officeDocument/2006/relationships/hyperlink" Target="https://www.dst.defence.gov.au/" TargetMode="External"/><Relationship Id="rId124" Type="http://schemas.openxmlformats.org/officeDocument/2006/relationships/hyperlink" Target="https://www.mod.gov.lv/" TargetMode="External"/><Relationship Id="rId70" Type="http://schemas.openxmlformats.org/officeDocument/2006/relationships/hyperlink" Target="https://cms.polsci.ku.dk/english/" TargetMode="External"/><Relationship Id="rId91" Type="http://schemas.openxmlformats.org/officeDocument/2006/relationships/hyperlink" Target="https://www.sipri.org/" TargetMode="External"/><Relationship Id="rId145" Type="http://schemas.openxmlformats.org/officeDocument/2006/relationships/hyperlink" Target="https://english.mapn.ro/" TargetMode="External"/><Relationship Id="rId166" Type="http://schemas.openxmlformats.org/officeDocument/2006/relationships/hyperlink" Target="https://www.zju.edu.cn/english/" TargetMode="External"/><Relationship Id="rId187" Type="http://schemas.openxmlformats.org/officeDocument/2006/relationships/hyperlink" Target="https://gouvernement.lu/" TargetMode="External"/><Relationship Id="rId1" Type="http://schemas.openxmlformats.org/officeDocument/2006/relationships/hyperlink" Target="https://issafrica.org/" TargetMode="External"/><Relationship Id="rId28" Type="http://schemas.openxmlformats.org/officeDocument/2006/relationships/hyperlink" Target="https://armedservices.house.gov/2020/9/future-of-defense-task-force-releases-final-report" TargetMode="External"/><Relationship Id="rId49" Type="http://schemas.openxmlformats.org/officeDocument/2006/relationships/hyperlink" Target="https://www.darpa.mil/about-us/offices/i2o" TargetMode="External"/><Relationship Id="rId114" Type="http://schemas.openxmlformats.org/officeDocument/2006/relationships/hyperlink" Target="https://www.iris-france.org/observatoires/observatoire-defense-et-climat/" TargetMode="External"/><Relationship Id="rId60" Type="http://schemas.openxmlformats.org/officeDocument/2006/relationships/hyperlink" Target="https://www.rsis.edu.sg/" TargetMode="External"/><Relationship Id="rId81" Type="http://schemas.openxmlformats.org/officeDocument/2006/relationships/hyperlink" Target="https://cids.no/difi/" TargetMode="External"/><Relationship Id="rId135" Type="http://schemas.openxmlformats.org/officeDocument/2006/relationships/hyperlink" Target="https://maritime-spatial-planning.ec.europa.eu/" TargetMode="External"/><Relationship Id="rId156" Type="http://schemas.openxmlformats.org/officeDocument/2006/relationships/hyperlink" Target="https://www.difesa.it/" TargetMode="External"/><Relationship Id="rId177" Type="http://schemas.openxmlformats.org/officeDocument/2006/relationships/hyperlink" Target="https://www.unipi.gr/en/home/" TargetMode="External"/><Relationship Id="rId198" Type="http://schemas.openxmlformats.org/officeDocument/2006/relationships/hyperlink" Target="https://www.amw.gdynia.pl/" TargetMode="External"/><Relationship Id="rId202" Type="http://schemas.openxmlformats.org/officeDocument/2006/relationships/hyperlink" Target="https://www.uu.nl/en" TargetMode="External"/><Relationship Id="rId18" Type="http://schemas.openxmlformats.org/officeDocument/2006/relationships/hyperlink" Target="https://www.gmfus.org/" TargetMode="External"/><Relationship Id="rId39" Type="http://schemas.openxmlformats.org/officeDocument/2006/relationships/hyperlink" Target="https://madsciblog.tradoc.army.mil/" TargetMode="External"/><Relationship Id="rId50" Type="http://schemas.openxmlformats.org/officeDocument/2006/relationships/hyperlink" Target="https://www.nti.org/" TargetMode="External"/><Relationship Id="rId104" Type="http://schemas.openxmlformats.org/officeDocument/2006/relationships/hyperlink" Target="https://defence.gov.au/" TargetMode="External"/><Relationship Id="rId125" Type="http://schemas.openxmlformats.org/officeDocument/2006/relationships/hyperlink" Target="https://www.forsvaret.dk/" TargetMode="External"/><Relationship Id="rId146" Type="http://schemas.openxmlformats.org/officeDocument/2006/relationships/hyperlink" Target="https://warontherocks.com/" TargetMode="External"/><Relationship Id="rId167" Type="http://schemas.openxmlformats.org/officeDocument/2006/relationships/hyperlink" Target="http://english.whut.edu.cn/" TargetMode="External"/><Relationship Id="rId188" Type="http://schemas.openxmlformats.org/officeDocument/2006/relationships/hyperlink" Target="http://jurnalius.ac.id/" TargetMode="External"/><Relationship Id="rId71" Type="http://schemas.openxmlformats.org/officeDocument/2006/relationships/hyperlink" Target="https://icds.ee/en/" TargetMode="External"/><Relationship Id="rId92" Type="http://schemas.openxmlformats.org/officeDocument/2006/relationships/hyperlink" Target="http://www.foresight-platform.eu/" TargetMode="External"/><Relationship Id="rId2" Type="http://schemas.openxmlformats.org/officeDocument/2006/relationships/hyperlink" Target="https://www.africom.mil/" TargetMode="External"/><Relationship Id="rId29" Type="http://schemas.openxmlformats.org/officeDocument/2006/relationships/hyperlink" Target="https://armedservices.house.gov/_cache/files/2/6/26129500-d208-47ba-a9f7-25a8f82828b0/424EB2008281A3C79BA8C7EA71890AE9.future-of-defense-task-force-report.pdf" TargetMode="External"/><Relationship Id="rId40" Type="http://schemas.openxmlformats.org/officeDocument/2006/relationships/hyperlink" Target="https://www.pwc.com/gx/en/ceo-agenda/ceosurvey/2020/trends/defence.html" TargetMode="External"/><Relationship Id="rId115" Type="http://schemas.openxmlformats.org/officeDocument/2006/relationships/hyperlink" Target="https://perthusasia.edu.au/" TargetMode="External"/><Relationship Id="rId136" Type="http://schemas.openxmlformats.org/officeDocument/2006/relationships/hyperlink" Target="https://usnwc.edu/" TargetMode="External"/><Relationship Id="rId157" Type="http://schemas.openxmlformats.org/officeDocument/2006/relationships/hyperlink" Target="https://cms.polsci.ku.dk/" TargetMode="External"/><Relationship Id="rId178" Type="http://schemas.openxmlformats.org/officeDocument/2006/relationships/hyperlink" Target="https://militaryschooldirectory.com/indonesian-naval-academy/"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atlanticcouncil.org/in-depth-research-reports/report/latin-america-and-the-caribbean-2030-future-scenarios/" TargetMode="External"/><Relationship Id="rId170" Type="http://schemas.openxmlformats.org/officeDocument/2006/relationships/hyperlink" Target="https://issafrica.org/research/east-africa-report/development-prospects-for-the-horn-of-africa-countries-to-2040" TargetMode="External"/><Relationship Id="rId268" Type="http://schemas.openxmlformats.org/officeDocument/2006/relationships/hyperlink" Target="https://drive.google.com/open?id=1rV7G4u2fubYfHBAQbycTqHLeODAW6GLh" TargetMode="External"/><Relationship Id="rId475" Type="http://schemas.openxmlformats.org/officeDocument/2006/relationships/hyperlink" Target="https://drive.google.com/open?id=1wUALxWqhAvoZkDFyIGSOPPljJ3qYm3zC" TargetMode="External"/><Relationship Id="rId682" Type="http://schemas.openxmlformats.org/officeDocument/2006/relationships/hyperlink" Target="https://www.gov.uk/" TargetMode="External"/><Relationship Id="rId903" Type="http://schemas.openxmlformats.org/officeDocument/2006/relationships/hyperlink" Target="https://drive.google.com/u/0/open?usp=forms_web&amp;id=1H3JcuiPgTpdvLYueaxVRHIVbF1TrkQ8Y" TargetMode="External"/><Relationship Id="rId32" Type="http://schemas.openxmlformats.org/officeDocument/2006/relationships/hyperlink" Target="https://www.brookings.edu/research/forecasting-change-in-military-technology-2020-2040/" TargetMode="External"/><Relationship Id="rId128" Type="http://schemas.openxmlformats.org/officeDocument/2006/relationships/hyperlink" Target="https://oceanpanel.org/sites/default/files/2019-11/19_HLP_BP1%20Paper.pdf" TargetMode="External"/><Relationship Id="rId335" Type="http://schemas.openxmlformats.org/officeDocument/2006/relationships/hyperlink" Target="https://drive.google.com/open?id=1F3UcKoQoZRRPW05DkyaJa1U_S-C7po2g" TargetMode="External"/><Relationship Id="rId542" Type="http://schemas.openxmlformats.org/officeDocument/2006/relationships/hyperlink" Target="https://drive.google.com/open?id=1zGost6SFo9zsdjm9HweLNwQFafUtxurt" TargetMode="External"/><Relationship Id="rId987" Type="http://schemas.openxmlformats.org/officeDocument/2006/relationships/hyperlink" Target="https://www.amw.gdynia.pl/" TargetMode="External"/><Relationship Id="rId181" Type="http://schemas.openxmlformats.org/officeDocument/2006/relationships/hyperlink" Target="https://drive.google.com/open?id=1gF5I0A3dMFpEqZSBqdQBDJpKZ9FlWk-P" TargetMode="External"/><Relationship Id="rId402" Type="http://schemas.openxmlformats.org/officeDocument/2006/relationships/hyperlink" Target="https://drive.google.com/open?id=1l84bbNvIzgZmX4XSlrgfs-s7LsnLs8EJ" TargetMode="External"/><Relationship Id="rId847" Type="http://schemas.openxmlformats.org/officeDocument/2006/relationships/hyperlink" Target="https://drive.google.com/u/0/open?usp=forms_web&amp;id=1zHNNtjPpr5uriIoHFHLQaH-3q642O28F" TargetMode="External"/><Relationship Id="rId1032" Type="http://schemas.openxmlformats.org/officeDocument/2006/relationships/hyperlink" Target="https://drive.google.com/open?id=1kCFDLpiurhelVGhvsCNVkO34rormoKqA" TargetMode="External"/><Relationship Id="rId279" Type="http://schemas.openxmlformats.org/officeDocument/2006/relationships/hyperlink" Target="https://drive.google.com/open?id=1vn7UzpRGeWJoVpefCwi8vCpzTjctRvdA" TargetMode="External"/><Relationship Id="rId486" Type="http://schemas.openxmlformats.org/officeDocument/2006/relationships/hyperlink" Target="https://drive.google.com/open?id=17sT7LI_SyK1Rc84QJPEDblDsZJFPgAmK" TargetMode="External"/><Relationship Id="rId693" Type="http://schemas.openxmlformats.org/officeDocument/2006/relationships/hyperlink" Target="https://drive.google.com/u/0/open?usp=forms_web&amp;id=1olfAIHT3k46eDu2bgAMdRWmoc-0QPYMO" TargetMode="External"/><Relationship Id="rId707" Type="http://schemas.openxmlformats.org/officeDocument/2006/relationships/hyperlink" Target="https://drive.google.com/u/0/open?usp=forms_web&amp;id=1tjp8Y9ivzBEqAyuO2SEs_ZXIWJRJLjKx" TargetMode="External"/><Relationship Id="rId914" Type="http://schemas.openxmlformats.org/officeDocument/2006/relationships/hyperlink" Target="http://state.gov/" TargetMode="External"/><Relationship Id="rId43" Type="http://schemas.openxmlformats.org/officeDocument/2006/relationships/hyperlink" Target="https://www.africom.mil/" TargetMode="External"/><Relationship Id="rId139" Type="http://schemas.openxmlformats.org/officeDocument/2006/relationships/hyperlink" Target="https://www.rand.org/pubs/research_reports/RRA113-1.html" TargetMode="External"/><Relationship Id="rId346" Type="http://schemas.openxmlformats.org/officeDocument/2006/relationships/hyperlink" Target="https://drive.google.com/file/d/1KxIyToZN3BDOr44jfdnb1bGn77HGKmBm/view" TargetMode="External"/><Relationship Id="rId553" Type="http://schemas.openxmlformats.org/officeDocument/2006/relationships/hyperlink" Target="https://drive.google.com/open?id=1-ueg-sDhW3Vpzw9rHbBS8Q7LW44X4K8W" TargetMode="External"/><Relationship Id="rId760" Type="http://schemas.openxmlformats.org/officeDocument/2006/relationships/hyperlink" Target="https://drive.google.com/u/0/open?usp=forms_web&amp;id=1R-4RWGivZIbsN3TogtTyhOnuqclhICwt" TargetMode="External"/><Relationship Id="rId998" Type="http://schemas.openxmlformats.org/officeDocument/2006/relationships/hyperlink" Target="https://drive.google.com/u/0/open?usp=forms_web&amp;id=1iiRku9hZ59e1OrFQBrYnvVyBjdhXXJp9" TargetMode="External"/><Relationship Id="rId192" Type="http://schemas.openxmlformats.org/officeDocument/2006/relationships/hyperlink" Target="https://drive.google.com/open?id=19t1qaxFLdi-yuvH6wvpedikHdUZEBmNf" TargetMode="External"/><Relationship Id="rId206" Type="http://schemas.openxmlformats.org/officeDocument/2006/relationships/hyperlink" Target="https://drive.google.com/open?id=11SS2wwTLPVGKMLKi9YjKhLsvNrcAcCkE" TargetMode="External"/><Relationship Id="rId413" Type="http://schemas.openxmlformats.org/officeDocument/2006/relationships/hyperlink" Target="https://drive.google.com/open?id=1jWNywm3JfKgkbRVpaeIIqmEXbd4HIlmz" TargetMode="External"/><Relationship Id="rId858" Type="http://schemas.openxmlformats.org/officeDocument/2006/relationships/hyperlink" Target="https://www.difesa.it/" TargetMode="External"/><Relationship Id="rId497" Type="http://schemas.openxmlformats.org/officeDocument/2006/relationships/hyperlink" Target="https://drive.google.com/open?id=11PonysNCahMel-_Rqkg79EecDlJ5BjYm" TargetMode="External"/><Relationship Id="rId620" Type="http://schemas.openxmlformats.org/officeDocument/2006/relationships/hyperlink" Target="https://rusi.org/" TargetMode="External"/><Relationship Id="rId718" Type="http://schemas.openxmlformats.org/officeDocument/2006/relationships/hyperlink" Target="https://rusi.org/" TargetMode="External"/><Relationship Id="rId925" Type="http://schemas.openxmlformats.org/officeDocument/2006/relationships/hyperlink" Target="https://drive.google.com/u/0/open?usp=forms_web&amp;id=15tBUEHsAYT35B2mT5aPA5Rciao16xghm" TargetMode="External"/><Relationship Id="rId357" Type="http://schemas.openxmlformats.org/officeDocument/2006/relationships/hyperlink" Target="https://drive.google.com/open?id=1UZQytotEBCPXDSr_S3YzgBwmnoqeCSiR" TargetMode="External"/><Relationship Id="rId54" Type="http://schemas.openxmlformats.org/officeDocument/2006/relationships/hyperlink" Target="https://issafrica.org/research/africa-report/beyond-2020-exploring-the-potential-for-a-stronger-un-au-peacebuilding-partnership" TargetMode="External"/><Relationship Id="rId217" Type="http://schemas.openxmlformats.org/officeDocument/2006/relationships/hyperlink" Target="https://drive.google.com/open?id=113Rd_8OaKHcht_qzht-BxIDflBkkJsAM" TargetMode="External"/><Relationship Id="rId564" Type="http://schemas.openxmlformats.org/officeDocument/2006/relationships/hyperlink" Target="https://drive.google.com/open?id=13K68HFNvArdFtn93d6iDpdNT9Y05dnDP" TargetMode="External"/><Relationship Id="rId771" Type="http://schemas.openxmlformats.org/officeDocument/2006/relationships/hyperlink" Target="https://www.gov.uk/" TargetMode="External"/><Relationship Id="rId869" Type="http://schemas.openxmlformats.org/officeDocument/2006/relationships/hyperlink" Target="https://drive.google.com/u/0/open?usp=forms_web&amp;id=1c1t1DvNbu6e_rqMRPaFjJ4GbcRXXuo72" TargetMode="External"/><Relationship Id="rId424" Type="http://schemas.openxmlformats.org/officeDocument/2006/relationships/hyperlink" Target="https://drive.google.com/open?id=1SKCxXke8uqlB_buCNGpyv1Fw74Ib2uFM" TargetMode="External"/><Relationship Id="rId631" Type="http://schemas.openxmlformats.org/officeDocument/2006/relationships/hyperlink" Target="https://www.forsvaret.dk/" TargetMode="External"/><Relationship Id="rId729" Type="http://schemas.openxmlformats.org/officeDocument/2006/relationships/hyperlink" Target="https://drive.google.com/u/0/open?usp=forms_web&amp;id=1dZbrkwkfb0BaBWQdgIQqng02TbUng7Et" TargetMode="External"/><Relationship Id="rId270" Type="http://schemas.openxmlformats.org/officeDocument/2006/relationships/hyperlink" Target="https://drive.google.com/open?id=1sn5gcEUE3yIpcyvuUOO_iZTpeEpL9K6b" TargetMode="External"/><Relationship Id="rId936" Type="http://schemas.openxmlformats.org/officeDocument/2006/relationships/hyperlink" Target="https://drive.google.com/u/0/open?usp=forms_web&amp;id=1hZxR54OQaXKQQXEJbaZxWQ0B67wZ4Xe6" TargetMode="External"/><Relationship Id="rId65" Type="http://schemas.openxmlformats.org/officeDocument/2006/relationships/hyperlink" Target="https://www.sipri.org/publications/2019/sipri-insights-peace-and-security/new-external-security-politics-horn-africa-region" TargetMode="External"/><Relationship Id="rId130" Type="http://schemas.openxmlformats.org/officeDocument/2006/relationships/hyperlink" Target="https://cove.army.gov.au/sites/default/files/08-09_0/08/Future-Operating-Environment-2035.pdf" TargetMode="External"/><Relationship Id="rId368" Type="http://schemas.openxmlformats.org/officeDocument/2006/relationships/hyperlink" Target="https://drive.google.com/open?id=18kTlUXa4tTaaNSA1RZrUWYj_0TpBnq5S" TargetMode="External"/><Relationship Id="rId575" Type="http://schemas.openxmlformats.org/officeDocument/2006/relationships/hyperlink" Target="https://drive.google.com/open?id=1RyuuERk9psmMjfuo-iaJqcqmkfL3d7-Q" TargetMode="External"/><Relationship Id="rId782" Type="http://schemas.openxmlformats.org/officeDocument/2006/relationships/hyperlink" Target="https://www.gov.uk/" TargetMode="External"/><Relationship Id="rId228" Type="http://schemas.openxmlformats.org/officeDocument/2006/relationships/hyperlink" Target="https://drive.google.com/open?id=1ZEEqPoTFBPcp350N6X3pLcQl3vdr1Dzm" TargetMode="External"/><Relationship Id="rId435" Type="http://schemas.openxmlformats.org/officeDocument/2006/relationships/hyperlink" Target="https://drive.google.com/open?id=10rR4113Gk_RJX86_YckMdMvCTt9htVX7" TargetMode="External"/><Relationship Id="rId642" Type="http://schemas.openxmlformats.org/officeDocument/2006/relationships/hyperlink" Target="https://drive.google.com/u/0/open?usp=forms_web&amp;id=17pTI6PZLcBTjujp0HdiWSyCH0OOeosv7" TargetMode="External"/><Relationship Id="rId281" Type="http://schemas.openxmlformats.org/officeDocument/2006/relationships/hyperlink" Target="https://drive.google.com/open?id=1dyu6wc2F4M27HrkxeoL5AsweRBZ-O4Ab" TargetMode="External"/><Relationship Id="rId502" Type="http://schemas.openxmlformats.org/officeDocument/2006/relationships/hyperlink" Target="https://drive.google.com/open?id=1BXcanyHK0-NeX-uopfo2AYL6RuBDmXvJ" TargetMode="External"/><Relationship Id="rId947" Type="http://schemas.openxmlformats.org/officeDocument/2006/relationships/hyperlink" Target="https://drive.google.com/u/0/open?usp=forms_web&amp;id=1dQ-5DI47S78vIP6fbLvvcjXseeIUqKrb" TargetMode="External"/><Relationship Id="rId76" Type="http://schemas.openxmlformats.org/officeDocument/2006/relationships/hyperlink" Target="https://defence.gov.au/annualreports/" TargetMode="External"/><Relationship Id="rId141" Type="http://schemas.openxmlformats.org/officeDocument/2006/relationships/hyperlink" Target="https://www.rand.org/pubs/research_reports/RRA447-1.html" TargetMode="External"/><Relationship Id="rId379" Type="http://schemas.openxmlformats.org/officeDocument/2006/relationships/hyperlink" Target="https://drive.google.com/open?id=1lE3SvGjBo_zeJkRc_jXIg50jVbjN_I6n" TargetMode="External"/><Relationship Id="rId586" Type="http://schemas.openxmlformats.org/officeDocument/2006/relationships/hyperlink" Target="https://drive.google.com/open?id=19_jK-iko5ZPI64VHgRLeL34ZoOM3F_Sv" TargetMode="External"/><Relationship Id="rId793" Type="http://schemas.openxmlformats.org/officeDocument/2006/relationships/hyperlink" Target="https://drive.google.com/u/0/open?usp=forms_web&amp;id=1X2b9UMZdCJXA_n1AuUtl75icH05g3Q82" TargetMode="External"/><Relationship Id="rId807" Type="http://schemas.openxmlformats.org/officeDocument/2006/relationships/hyperlink" Target="https://drive.google.com/u/0/open?usp=forms_web&amp;id=1tQJGs-4p0WUq9N5iKd7_eRaqlkVQ11wJ" TargetMode="External"/><Relationship Id="rId7" Type="http://schemas.openxmlformats.org/officeDocument/2006/relationships/hyperlink" Target="https://www.csis.org/analysis/four-scenarios-geopolitical-order-2025-2030-what-will-great-power-competition-look" TargetMode="External"/><Relationship Id="rId239" Type="http://schemas.openxmlformats.org/officeDocument/2006/relationships/hyperlink" Target="https://drive.google.com/open?id=1oVVP8edXopjP4VE9ky7SbC4DLnGE3Izj" TargetMode="External"/><Relationship Id="rId446" Type="http://schemas.openxmlformats.org/officeDocument/2006/relationships/hyperlink" Target="https://drive.google.com/open?id=1V6AM0X8rfF88emTup0WvSZkcEw8zAUQX" TargetMode="External"/><Relationship Id="rId653" Type="http://schemas.openxmlformats.org/officeDocument/2006/relationships/hyperlink" Target="https://drive.google.com/u/0/open?usp=forms_web&amp;id=1Pyfqz72_swxfsf2RWgRVc7_9Nonf2jsi" TargetMode="External"/><Relationship Id="rId292" Type="http://schemas.openxmlformats.org/officeDocument/2006/relationships/hyperlink" Target="https://drive.google.com/open?id=15aQaPWMdtDfbxtfk9b2ZwKzikhMRAyJf" TargetMode="External"/><Relationship Id="rId306" Type="http://schemas.openxmlformats.org/officeDocument/2006/relationships/hyperlink" Target="https://drive.google.com/open?id=1Pn1TvirK1WRJpw2jmoENRCAo6iTgM0zC" TargetMode="External"/><Relationship Id="rId860" Type="http://schemas.openxmlformats.org/officeDocument/2006/relationships/hyperlink" Target="https://cms.polsci.ku.dk/" TargetMode="External"/><Relationship Id="rId958" Type="http://schemas.openxmlformats.org/officeDocument/2006/relationships/hyperlink" Target="https://drive.google.com/u/0/open?usp=forms_web&amp;id=1UIfWGn52mVQ5JevJBQulKANviqBEiL-n" TargetMode="External"/><Relationship Id="rId87" Type="http://schemas.openxmlformats.org/officeDocument/2006/relationships/hyperlink" Target="https://www.dst.defence.gov.au/sites/default/files/publications/documents/DST-Group-GD-1056.pdf" TargetMode="External"/><Relationship Id="rId513" Type="http://schemas.openxmlformats.org/officeDocument/2006/relationships/hyperlink" Target="https://drive.google.com/open?id=1n20PZLKex0TXBt6U2Jimp9s3e6b9I9ax" TargetMode="External"/><Relationship Id="rId597" Type="http://schemas.openxmlformats.org/officeDocument/2006/relationships/hyperlink" Target="https://drive.google.com/open?id=1ptpSLh9cf-VVFD0afUSC5YzUfeQD2tIU" TargetMode="External"/><Relationship Id="rId720" Type="http://schemas.openxmlformats.org/officeDocument/2006/relationships/hyperlink" Target="https://rusi.org/" TargetMode="External"/><Relationship Id="rId818" Type="http://schemas.openxmlformats.org/officeDocument/2006/relationships/hyperlink" Target="https://www.c6f.navy.mil/" TargetMode="External"/><Relationship Id="rId152" Type="http://schemas.openxmlformats.org/officeDocument/2006/relationships/hyperlink" Target="https://eartharxiv.org/repository/view/2460/" TargetMode="External"/><Relationship Id="rId457" Type="http://schemas.openxmlformats.org/officeDocument/2006/relationships/hyperlink" Target="https://drive.google.com/open?id=15WDesv7mvcrLZ0OWzshdZ9v4OYVLEpCK" TargetMode="External"/><Relationship Id="rId1003" Type="http://schemas.openxmlformats.org/officeDocument/2006/relationships/hyperlink" Target="https://www.csis.org/" TargetMode="External"/><Relationship Id="rId664" Type="http://schemas.openxmlformats.org/officeDocument/2006/relationships/hyperlink" Target="https://www.gov.uk/" TargetMode="External"/><Relationship Id="rId871" Type="http://schemas.openxmlformats.org/officeDocument/2006/relationships/hyperlink" Target="https://drive.google.com/u/0/open?usp=forms_web&amp;id=16jYMwnjTsT1m1vQidMjbNlCpsoi-MX45" TargetMode="External"/><Relationship Id="rId969" Type="http://schemas.openxmlformats.org/officeDocument/2006/relationships/hyperlink" Target="https://drive.google.com/u/0/open?usp=forms_web&amp;id=1mzrlkuB2gG-prhAL-mzOCM20eK4o2FI7" TargetMode="External"/><Relationship Id="rId14" Type="http://schemas.openxmlformats.org/officeDocument/2006/relationships/hyperlink" Target="https://cesnav.uninav.edu.mx/cesnav/revista_pdf/2020/2020-1.pdf" TargetMode="External"/><Relationship Id="rId317" Type="http://schemas.openxmlformats.org/officeDocument/2006/relationships/hyperlink" Target="https://drive.google.com/open?id=1uE1kYx8gLq73iMBchtLrNGvB6JwWz_yN" TargetMode="External"/><Relationship Id="rId524" Type="http://schemas.openxmlformats.org/officeDocument/2006/relationships/hyperlink" Target="https://drive.google.com/open?id=1WG0VaPzYTh1Y-XeTXhncgcDS-daVzR1Y" TargetMode="External"/><Relationship Id="rId731" Type="http://schemas.openxmlformats.org/officeDocument/2006/relationships/hyperlink" Target="https://drive.google.com/u/0/open?usp=forms_web&amp;id=12TPh7OrQvDmc6zIROXorB-AUsLREECiC" TargetMode="External"/><Relationship Id="rId98" Type="http://schemas.openxmlformats.org/officeDocument/2006/relationships/hyperlink" Target="https://www.jstor.org/stable/pdf/resrep25126.9.pdf?ab_segments=0%252Fbasic_search_gsv2%252Fcontrol&amp;refreqid=excelsior%3Ad71320d81843d40f073b366fb2f9f153" TargetMode="External"/><Relationship Id="rId163" Type="http://schemas.openxmlformats.org/officeDocument/2006/relationships/hyperlink" Target="https://www.defence.govt.nz/assets/publication/file/dcf3ee802b/Responding-to-the-Climate-Crisis.pdf" TargetMode="External"/><Relationship Id="rId370" Type="http://schemas.openxmlformats.org/officeDocument/2006/relationships/hyperlink" Target="https://drive.google.com/open?id=1HqrAI2-fdrgylIdhfEQtDC-66rx_WwU0" TargetMode="External"/><Relationship Id="rId829" Type="http://schemas.openxmlformats.org/officeDocument/2006/relationships/hyperlink" Target="https://drive.google.com/u/0/open?usp=forms_web&amp;id=1cBrJhwxgNGUl_oYqPh_wMp3-e8ifUyjW" TargetMode="External"/><Relationship Id="rId1014" Type="http://schemas.openxmlformats.org/officeDocument/2006/relationships/hyperlink" Target="https://drive.google.com/u/0/open?usp=forms_web&amp;id=1YyhBThr8JSYfAdVorAuxVMpUe9GwLAOE" TargetMode="External"/><Relationship Id="rId230" Type="http://schemas.openxmlformats.org/officeDocument/2006/relationships/hyperlink" Target="https://drive.google.com/open?id=1PhalsCB6AMjY3AbzErq31hW7YZVk4edH" TargetMode="External"/><Relationship Id="rId468" Type="http://schemas.openxmlformats.org/officeDocument/2006/relationships/hyperlink" Target="https://drive.google.com/open?id=1dUtFfVPuLqb_Djkw6CW5xKYgk_UqB09_" TargetMode="External"/><Relationship Id="rId675" Type="http://schemas.openxmlformats.org/officeDocument/2006/relationships/hyperlink" Target="https://drive.google.com/u/0/open?usp=forms_web&amp;id=1KeEoli55XJAWC4_qtkcK1QOCSQ456eJc" TargetMode="External"/><Relationship Id="rId882" Type="http://schemas.openxmlformats.org/officeDocument/2006/relationships/hyperlink" Target="http://english.whut.edu.cn/" TargetMode="External"/><Relationship Id="rId25" Type="http://schemas.openxmlformats.org/officeDocument/2006/relationships/hyperlink" Target="https://armedservices.house.gov/_cache/files/2/6/26129500-d208-47ba-a9f7-25a8f82828b0/424EB2008281A3C79BA8C7EA71890AE9.future-of-defense-task-force-report.pdf" TargetMode="External"/><Relationship Id="rId328" Type="http://schemas.openxmlformats.org/officeDocument/2006/relationships/hyperlink" Target="https://drive.google.com/open?id=10JF_dtKoRhpWq3QzRsoYuJiHAelGCPRT" TargetMode="External"/><Relationship Id="rId535" Type="http://schemas.openxmlformats.org/officeDocument/2006/relationships/hyperlink" Target="https://drive.google.com/open?id=1rfq7n8CnWaEYWr7iXIWGSo5BNM2hELAR" TargetMode="External"/><Relationship Id="rId742" Type="http://schemas.openxmlformats.org/officeDocument/2006/relationships/hyperlink" Target="https://drive.google.com/u/0/open?usp=forms_web&amp;id=1nq831huQ021NagAzoB-6hZOVMHkM5RqE" TargetMode="External"/><Relationship Id="rId174" Type="http://schemas.openxmlformats.org/officeDocument/2006/relationships/hyperlink" Target="https://www.rand.org/pubs/research_reports/RRA1007-1.html" TargetMode="External"/><Relationship Id="rId381" Type="http://schemas.openxmlformats.org/officeDocument/2006/relationships/hyperlink" Target="https://drive.google.com/open?id=13LFachy0rAhYeNXABOzRQUXiCZ31UFzC" TargetMode="External"/><Relationship Id="rId602" Type="http://schemas.openxmlformats.org/officeDocument/2006/relationships/hyperlink" Target="https://www.rand.org/pubs/research_reports/RRA1498-1.html" TargetMode="External"/><Relationship Id="rId1025" Type="http://schemas.openxmlformats.org/officeDocument/2006/relationships/hyperlink" Target="https://drive.google.com/u/0/open?usp=forms_web&amp;id=1q3PE0OnXsMMULV7I1D_gS-p1biz0Muht" TargetMode="External"/><Relationship Id="rId241" Type="http://schemas.openxmlformats.org/officeDocument/2006/relationships/hyperlink" Target="https://drive.google.com/open?id=1vKz_Q75m7sXz3rYzCYCBGGchkrve4gkQ" TargetMode="External"/><Relationship Id="rId479" Type="http://schemas.openxmlformats.org/officeDocument/2006/relationships/hyperlink" Target="https://drive.google.com/open?id=1MC36ZSMV2VhfbJOvebNMRkS7Uu8tuBWo" TargetMode="External"/><Relationship Id="rId686" Type="http://schemas.openxmlformats.org/officeDocument/2006/relationships/hyperlink" Target="https://www.gov.uk/" TargetMode="External"/><Relationship Id="rId893" Type="http://schemas.openxmlformats.org/officeDocument/2006/relationships/hyperlink" Target="https://drive.google.com/u/0/open?usp=forms_web&amp;id=1hwCWyn-DGDtCsmQWKpT34-4pYTjW7U2_" TargetMode="External"/><Relationship Id="rId907" Type="http://schemas.openxmlformats.org/officeDocument/2006/relationships/hyperlink" Target="https://drive.google.com/u/0/open?usp=forms_web&amp;id=1zxCxvRJ9jelDc1NHxV0OMcGmwLfD7Yui" TargetMode="External"/><Relationship Id="rId36" Type="http://schemas.openxmlformats.org/officeDocument/2006/relationships/hyperlink" Target="https://drive.google.com/file/d/1NgvWDFjTH0oLB-GEgdeJQb5kqXv05uzw/view?usp=drivesdk" TargetMode="External"/><Relationship Id="rId339" Type="http://schemas.openxmlformats.org/officeDocument/2006/relationships/hyperlink" Target="https://drive.google.com/open?id=1vTZENBRwswKlbPQQrToK3HLl0PpYetHy" TargetMode="External"/><Relationship Id="rId546" Type="http://schemas.openxmlformats.org/officeDocument/2006/relationships/hyperlink" Target="https://drive.google.com/open?id=1_49TMknsicysfxcCNStGUz6PMGdNaLxo" TargetMode="External"/><Relationship Id="rId753" Type="http://schemas.openxmlformats.org/officeDocument/2006/relationships/hyperlink" Target="https://ndupress.ndu.edu/" TargetMode="External"/><Relationship Id="rId101" Type="http://schemas.openxmlformats.org/officeDocument/2006/relationships/hyperlink" Target="https://www.defence.govt.nz/assets/publication/file/1c5ca053e2/2019-MOD-Statement-of-Intent-v2.pdf" TargetMode="External"/><Relationship Id="rId185" Type="http://schemas.openxmlformats.org/officeDocument/2006/relationships/hyperlink" Target="https://drive.google.com/open?id=1fc0LK0pw57C4kaMPXSqnnRRC7k9GmddC" TargetMode="External"/><Relationship Id="rId406" Type="http://schemas.openxmlformats.org/officeDocument/2006/relationships/hyperlink" Target="https://drive.google.com/open?id=17_vzcI15R5AvLeBxt5z4pd61EcQ2IsTr" TargetMode="External"/><Relationship Id="rId960" Type="http://schemas.openxmlformats.org/officeDocument/2006/relationships/hyperlink" Target="https://gouvernement.lu/" TargetMode="External"/><Relationship Id="rId392" Type="http://schemas.openxmlformats.org/officeDocument/2006/relationships/hyperlink" Target="https://drive.google.com/open?id=1PWk_Dc1Sj9vRu3Uo8UBDs5mVMiyKpPTW" TargetMode="External"/><Relationship Id="rId613" Type="http://schemas.openxmlformats.org/officeDocument/2006/relationships/hyperlink" Target="https://www.nti.org/analysis/articles/assessing-and-managing-the-benefits-and-risks-of-artificial-intelligence-in-nuclear-weapon-systems/" TargetMode="External"/><Relationship Id="rId697" Type="http://schemas.openxmlformats.org/officeDocument/2006/relationships/hyperlink" Target="https://drive.google.com/u/0/open?usp=forms_web&amp;id=1a7O6eBxm37SiD13owRmcLvEYDNxO43pC" TargetMode="External"/><Relationship Id="rId820" Type="http://schemas.openxmlformats.org/officeDocument/2006/relationships/hyperlink" Target="https://www.ceeol.com/" TargetMode="External"/><Relationship Id="rId918" Type="http://schemas.openxmlformats.org/officeDocument/2006/relationships/hyperlink" Target="https://drive.google.com/u/0/open?usp=forms_web&amp;id=1MiPxvuI84jF0vKIdawwmsqUaBPVmXcxD" TargetMode="External"/><Relationship Id="rId252" Type="http://schemas.openxmlformats.org/officeDocument/2006/relationships/hyperlink" Target="https://drive.google.com/open?id=1ixZqbJtEzfCIQHQa4_kg4_EAJ-z6e6g1" TargetMode="External"/><Relationship Id="rId47" Type="http://schemas.openxmlformats.org/officeDocument/2006/relationships/hyperlink" Target="https://www.atlanticcouncil.org/in-depth-research-reports/report/african-agency-in-the-new-cold-war-traditional-power-competition-in-the-post-covid-19-african-landscape/" TargetMode="External"/><Relationship Id="rId112" Type="http://schemas.openxmlformats.org/officeDocument/2006/relationships/hyperlink" Target="https://www.nasa.gov/centers/armstrong/tech-dev/index.html" TargetMode="External"/><Relationship Id="rId557" Type="http://schemas.openxmlformats.org/officeDocument/2006/relationships/hyperlink" Target="https://drive.google.com/open?id=1TjmKknAisa_Fn-Z9PTSoQ2fw65diEoV_" TargetMode="External"/><Relationship Id="rId764" Type="http://schemas.openxmlformats.org/officeDocument/2006/relationships/hyperlink" Target="https://drive.google.com/u/0/open?usp=forms_web&amp;id=1kFJ1WPA9LwDrPwoGDgiaBrwyEM0xDWAn" TargetMode="External"/><Relationship Id="rId971" Type="http://schemas.openxmlformats.org/officeDocument/2006/relationships/hyperlink" Target="https://drive.google.com/u/0/open?usp=forms_web&amp;id=1_fgM5eB03wrgVPRml8xe0Cv-7OoakH4y" TargetMode="External"/><Relationship Id="rId196" Type="http://schemas.openxmlformats.org/officeDocument/2006/relationships/hyperlink" Target="https://drive.google.com/open?id=1Jlr_lM85uO9cqRLMUMxsqg0E3Oh4R2c-" TargetMode="External"/><Relationship Id="rId417" Type="http://schemas.openxmlformats.org/officeDocument/2006/relationships/hyperlink" Target="https://drive.google.com/open?id=1CZLyraPARO66E9cIe98XPsP4oJvGqOKG" TargetMode="External"/><Relationship Id="rId624" Type="http://schemas.openxmlformats.org/officeDocument/2006/relationships/hyperlink" Target="https://www.nato.int/" TargetMode="External"/><Relationship Id="rId831" Type="http://schemas.openxmlformats.org/officeDocument/2006/relationships/hyperlink" Target="https://drive.google.com/u/0/open?usp=forms_web&amp;id=1nedtK3kWGUjHP_PqmsIwfuqDZgePK0Dr" TargetMode="External"/><Relationship Id="rId263" Type="http://schemas.openxmlformats.org/officeDocument/2006/relationships/hyperlink" Target="https://drive.google.com/open?id=1mF1OEDoCP4_W3IvDpJxBJNH6qWYFb3Hc" TargetMode="External"/><Relationship Id="rId470" Type="http://schemas.openxmlformats.org/officeDocument/2006/relationships/hyperlink" Target="https://drive.google.com/open?id=1gqfOlLGaW8axb1dVKdec-VpdBD7BOBbW" TargetMode="External"/><Relationship Id="rId929" Type="http://schemas.openxmlformats.org/officeDocument/2006/relationships/hyperlink" Target="https://drive.google.com/u/0/open?usp=forms_web&amp;id=1Wn1E7TyfH_Smb1SLC-aFdjy9gv1V6OfH" TargetMode="External"/><Relationship Id="rId58" Type="http://schemas.openxmlformats.org/officeDocument/2006/relationships/hyperlink" Target="https://www.reportlinker.com/p05893157/Air-Defense-Systems-Market-Growth-Trends-and-Forecasts.html" TargetMode="External"/><Relationship Id="rId123" Type="http://schemas.openxmlformats.org/officeDocument/2006/relationships/hyperlink" Target="https://ppgtic.ufsc.br/files/2015/11/151013_megatendencias_mundiais_2030.pdf" TargetMode="External"/><Relationship Id="rId330" Type="http://schemas.openxmlformats.org/officeDocument/2006/relationships/hyperlink" Target="https://drive.google.com/open?id=1Wo9pejbaIAsPvCBUg46pKzeZfeLq2Iew" TargetMode="External"/><Relationship Id="rId568" Type="http://schemas.openxmlformats.org/officeDocument/2006/relationships/hyperlink" Target="https://drive.google.com/open?id=1XTaiweACAlEuEJ0v5Xtu2L2wI-xIquTf" TargetMode="External"/><Relationship Id="rId775" Type="http://schemas.openxmlformats.org/officeDocument/2006/relationships/hyperlink" Target="https://www.gov.uk/" TargetMode="External"/><Relationship Id="rId982" Type="http://schemas.openxmlformats.org/officeDocument/2006/relationships/hyperlink" Target="https://drive.google.com/u/0/open?usp=forms_web&amp;id=1dxNFCu0C2ow75nvtlmFLhgwv7jPDFR49" TargetMode="External"/><Relationship Id="rId428" Type="http://schemas.openxmlformats.org/officeDocument/2006/relationships/hyperlink" Target="https://drive.google.com/open?id=1JAS410XKz6KSlCUIRKWV-EPdw188tyzR" TargetMode="External"/><Relationship Id="rId635" Type="http://schemas.openxmlformats.org/officeDocument/2006/relationships/hyperlink" Target="https://rus.lsm.lv/" TargetMode="External"/><Relationship Id="rId842" Type="http://schemas.openxmlformats.org/officeDocument/2006/relationships/hyperlink" Target="https://drive.google.com/u/0/open?usp=forms_web&amp;id=1G82Ewii6sEdkDTvceFffFnmZJ3uq8map" TargetMode="External"/><Relationship Id="rId274" Type="http://schemas.openxmlformats.org/officeDocument/2006/relationships/hyperlink" Target="https://drive.google.com/open?id=1mhpOFy-8WVUnJYRAKciu7sRhOtneW4Fz" TargetMode="External"/><Relationship Id="rId481" Type="http://schemas.openxmlformats.org/officeDocument/2006/relationships/hyperlink" Target="https://drive.google.com/open?id=18_xsHIp7VzGCu9xvHR8_CDIdoZPqq8nB" TargetMode="External"/><Relationship Id="rId702" Type="http://schemas.openxmlformats.org/officeDocument/2006/relationships/hyperlink" Target="https://www.gov.uk/" TargetMode="External"/><Relationship Id="rId69" Type="http://schemas.openxmlformats.org/officeDocument/2006/relationships/hyperlink" Target="https://www.rand.org/pubs/research_reports/RR2978.html" TargetMode="External"/><Relationship Id="rId134" Type="http://schemas.openxmlformats.org/officeDocument/2006/relationships/hyperlink" Target="https://www.lowyinstitute.org/sites/default/files/defence-challenges-2035_0.pdf" TargetMode="External"/><Relationship Id="rId579" Type="http://schemas.openxmlformats.org/officeDocument/2006/relationships/hyperlink" Target="https://drive.google.com/open?id=1itR3x_yu-466Wgq6wDbMsgNjLCXPj2R2" TargetMode="External"/><Relationship Id="rId786" Type="http://schemas.openxmlformats.org/officeDocument/2006/relationships/hyperlink" Target="https://www.clingendael.org/" TargetMode="External"/><Relationship Id="rId993" Type="http://schemas.openxmlformats.org/officeDocument/2006/relationships/hyperlink" Target="https://en.xmu.edu.cn/" TargetMode="External"/><Relationship Id="rId341" Type="http://schemas.openxmlformats.org/officeDocument/2006/relationships/hyperlink" Target="https://drive.google.com/open?id=1pcm339qkRGJzxhS9o-zx93X_GaPGITDP" TargetMode="External"/><Relationship Id="rId439" Type="http://schemas.openxmlformats.org/officeDocument/2006/relationships/hyperlink" Target="https://drive.google.com/open?id=1qON6rCBmuax3HoRwNCaPmcDAJTR3-i2v" TargetMode="External"/><Relationship Id="rId646" Type="http://schemas.openxmlformats.org/officeDocument/2006/relationships/hyperlink" Target="https://rusi.org/" TargetMode="External"/><Relationship Id="rId201" Type="http://schemas.openxmlformats.org/officeDocument/2006/relationships/hyperlink" Target="https://drive.google.com/open?id=1ZXjlHQwDRCXkinla47ZtYuADCUcYqKU1" TargetMode="External"/><Relationship Id="rId285" Type="http://schemas.openxmlformats.org/officeDocument/2006/relationships/hyperlink" Target="https://drive.google.com/open?id=175NdG4R_MEAFDelHQzOWqbEHJIQLemce" TargetMode="External"/><Relationship Id="rId506" Type="http://schemas.openxmlformats.org/officeDocument/2006/relationships/hyperlink" Target="https://drive.google.com/open?id=1I65rNgQ_ZgB6YSoGWm3UZuR1LHUPcYPJ" TargetMode="External"/><Relationship Id="rId853" Type="http://schemas.openxmlformats.org/officeDocument/2006/relationships/hyperlink" Target="https://drive.google.com/u/0/open?usp=forms_web&amp;id=1ZzV1inX3NtsmZPryMZCRzueVFD5TyzyX" TargetMode="External"/><Relationship Id="rId492" Type="http://schemas.openxmlformats.org/officeDocument/2006/relationships/hyperlink" Target="https://drive.google.com/open?id=1849VagqOWFtPO7HgvNkoYRJ9oWaUyx1k" TargetMode="External"/><Relationship Id="rId713" Type="http://schemas.openxmlformats.org/officeDocument/2006/relationships/hyperlink" Target="https://drive.google.com/u/0/open?usp=forms_web&amp;id=1B6diqHKuvtV-PAxg-rxvHfdD9HYduSZu" TargetMode="External"/><Relationship Id="rId797" Type="http://schemas.openxmlformats.org/officeDocument/2006/relationships/hyperlink" Target="https://drive.google.com/u/0/open?usp=forms_web&amp;id=1Kl8yGSNzITI7O8m8V0rHjEGgbM24N3a0" TargetMode="External"/><Relationship Id="rId920" Type="http://schemas.openxmlformats.org/officeDocument/2006/relationships/hyperlink" Target="https://drive.google.com/u/0/open?usp=forms_web&amp;id=1ckUhHzogB1_NrGNCCgoF88QiY9Pu8TKC" TargetMode="External"/><Relationship Id="rId145" Type="http://schemas.openxmlformats.org/officeDocument/2006/relationships/hyperlink" Target="https://www.ipea.gov.br/portal/index.php?option=com_content&amp;view=article&amp;id=31248&amp;Itemid=424" TargetMode="External"/><Relationship Id="rId352" Type="http://schemas.openxmlformats.org/officeDocument/2006/relationships/hyperlink" Target="https://drive.google.com/open?id=1FrtYl4j3h7k6Pzw1yLeL7Iuc-cy62gfS" TargetMode="External"/><Relationship Id="rId212" Type="http://schemas.openxmlformats.org/officeDocument/2006/relationships/hyperlink" Target="https://drive.google.com/open?id=1Dnfygt7l7FjSeW4HSSHx56pAi4M1Jbff" TargetMode="External"/><Relationship Id="rId657" Type="http://schemas.openxmlformats.org/officeDocument/2006/relationships/hyperlink" Target="https://www.ceeol.com/" TargetMode="External"/><Relationship Id="rId864" Type="http://schemas.openxmlformats.org/officeDocument/2006/relationships/hyperlink" Target="https://www.nsfc.gov.cn/" TargetMode="External"/><Relationship Id="rId296" Type="http://schemas.openxmlformats.org/officeDocument/2006/relationships/hyperlink" Target="https://drive.google.com/open?id=1qRL017P0_6dNrZ5Qj3mSozJHaunS6IdV" TargetMode="External"/><Relationship Id="rId517" Type="http://schemas.openxmlformats.org/officeDocument/2006/relationships/hyperlink" Target="https://drive.google.com/open?id=1mEF1CvUFJrOV1kFMN5YMfWhL9vW6-g7b" TargetMode="External"/><Relationship Id="rId724" Type="http://schemas.openxmlformats.org/officeDocument/2006/relationships/hyperlink" Target="https://rusi.org/" TargetMode="External"/><Relationship Id="rId931" Type="http://schemas.openxmlformats.org/officeDocument/2006/relationships/hyperlink" Target="https://drive.google.com/u/0/open?usp=forms_web&amp;id=1lmDYGPjEPdyVaRFUi3LX4iqveTu5Gx9u" TargetMode="External"/><Relationship Id="rId60" Type="http://schemas.openxmlformats.org/officeDocument/2006/relationships/hyperlink" Target="https://peacekeeping.un.org/sites/default/files/future_of_peacekeeping_operations_in_a_changing_conflict_environment.pdf" TargetMode="External"/><Relationship Id="rId156" Type="http://schemas.openxmlformats.org/officeDocument/2006/relationships/hyperlink" Target="https://issafrica.org/research/books-and-other-publications/exploring-the-impact-of-covid-19-in-africa-a-scenario-analysis-to-2030" TargetMode="External"/><Relationship Id="rId363" Type="http://schemas.openxmlformats.org/officeDocument/2006/relationships/hyperlink" Target="https://drive.google.com/open?id=1C0RjjmvPL9Xzq5gc2842H3fQuanhJang" TargetMode="External"/><Relationship Id="rId570" Type="http://schemas.openxmlformats.org/officeDocument/2006/relationships/hyperlink" Target="https://drive.google.com/open?id=10WYfgObyW5L9KyD9NtoSYZgzNlFvFO6v" TargetMode="External"/><Relationship Id="rId1007" Type="http://schemas.openxmlformats.org/officeDocument/2006/relationships/hyperlink" Target="https://www.ku.dk/english/" TargetMode="External"/><Relationship Id="rId223" Type="http://schemas.openxmlformats.org/officeDocument/2006/relationships/hyperlink" Target="https://drive.google.com/open?id=1WSXGqxUxts5prHhWFnoFXesOXTu3F8fb" TargetMode="External"/><Relationship Id="rId430" Type="http://schemas.openxmlformats.org/officeDocument/2006/relationships/hyperlink" Target="https://drive.google.com/open?id=1kRAPteRDO84Y66YCZzHL4vXf8M1o-2Cs" TargetMode="External"/><Relationship Id="rId668" Type="http://schemas.openxmlformats.org/officeDocument/2006/relationships/hyperlink" Target="https://www.gov.uk/" TargetMode="External"/><Relationship Id="rId875" Type="http://schemas.openxmlformats.org/officeDocument/2006/relationships/hyperlink" Target="https://drive.google.com/u/0/open?usp=forms_web&amp;id=1flac4JUO3jc6ToVHV4Ecy9X2HwJwV4Xs" TargetMode="External"/><Relationship Id="rId18" Type="http://schemas.openxmlformats.org/officeDocument/2006/relationships/hyperlink" Target="http://publications.gc.ca/collections/collection_2018/mdn-dnd/D2-354-3-2017-eng.pdf" TargetMode="External"/><Relationship Id="rId528" Type="http://schemas.openxmlformats.org/officeDocument/2006/relationships/hyperlink" Target="https://drive.google.com/open?id=1cbBr8zyotv3gvQNHvF5qbWSsZGUYLsrC" TargetMode="External"/><Relationship Id="rId735" Type="http://schemas.openxmlformats.org/officeDocument/2006/relationships/hyperlink" Target="https://drive.google.com/u/0/open?usp=forms_web&amp;id=1rAsFvAjP8YfCturTDY_GYaWbxL4f3ikc" TargetMode="External"/><Relationship Id="rId942" Type="http://schemas.openxmlformats.org/officeDocument/2006/relationships/hyperlink" Target="https://drive.google.com/u/0/open?usp=forms_web&amp;id=1hiudCBZMi2ExoRGVz4w2lSwwYIAEKCL8" TargetMode="External"/><Relationship Id="rId167" Type="http://schemas.openxmlformats.org/officeDocument/2006/relationships/hyperlink" Target="https://www.irena.org/publications/2021/Apr/Planning-and-prospects-for-renewable-power-Eastern-and-Southern-Africa" TargetMode="External"/><Relationship Id="rId374" Type="http://schemas.openxmlformats.org/officeDocument/2006/relationships/hyperlink" Target="https://drive.google.com/open?id=1nleu0nKLfWliF2lTeAhO1c-IbW3zTW6F" TargetMode="External"/><Relationship Id="rId581" Type="http://schemas.openxmlformats.org/officeDocument/2006/relationships/hyperlink" Target="https://drive.google.com/open?id=1l_zyO0uzYEvM2QNRmd39bi3vtEc0UWi9" TargetMode="External"/><Relationship Id="rId1018" Type="http://schemas.openxmlformats.org/officeDocument/2006/relationships/hyperlink" Target="https://www.naadsn.ca/" TargetMode="External"/><Relationship Id="rId71" Type="http://schemas.openxmlformats.org/officeDocument/2006/relationships/hyperlink" Target="https://issafrica.org/research/africa-report/why-africas-development-models-must-change-understanding-five-dynamic-trends" TargetMode="External"/><Relationship Id="rId234" Type="http://schemas.openxmlformats.org/officeDocument/2006/relationships/hyperlink" Target="https://drive.google.com/open?id=1n3i0bjc77fQaN0AmYhMSNoKFGGImwxxr" TargetMode="External"/><Relationship Id="rId679" Type="http://schemas.openxmlformats.org/officeDocument/2006/relationships/hyperlink" Target="https://drive.google.com/u/0/open?usp=forms_web&amp;id=1eS1M90xHeCVusjAK4yTfwqzZWrgA0pJA" TargetMode="External"/><Relationship Id="rId802" Type="http://schemas.openxmlformats.org/officeDocument/2006/relationships/hyperlink" Target="https://www.fiia.fi/" TargetMode="External"/><Relationship Id="rId886" Type="http://schemas.openxmlformats.org/officeDocument/2006/relationships/hyperlink" Target="https://pt.council.science/member/russian-federation-russian-academy-of-sciences/" TargetMode="External"/><Relationship Id="rId2" Type="http://schemas.openxmlformats.org/officeDocument/2006/relationships/hyperlink" Target="https://www.globalriskintel.com/reports/forecasting-future-space-risks-environmental-commercial-and-military-aspects" TargetMode="External"/><Relationship Id="rId29" Type="http://schemas.openxmlformats.org/officeDocument/2006/relationships/hyperlink" Target="https://apps.dtic.mil/sti/citations/AD1108029" TargetMode="External"/><Relationship Id="rId441" Type="http://schemas.openxmlformats.org/officeDocument/2006/relationships/hyperlink" Target="https://drive.google.com/open?id=16FFmDvRcO1OXsN85sXXU1eo_cWNmlzxz" TargetMode="External"/><Relationship Id="rId539" Type="http://schemas.openxmlformats.org/officeDocument/2006/relationships/hyperlink" Target="https://drive.google.com/open?id=1CTgO25YVE9oL5NBvoMbDpeP2uT44F32X" TargetMode="External"/><Relationship Id="rId746" Type="http://schemas.openxmlformats.org/officeDocument/2006/relationships/hyperlink" Target="https://drive.google.com/u/0/open?usp=forms_web&amp;id=1c4vZqMHKZe3Xj4uODm4Oh-_5dj80NcmB" TargetMode="External"/><Relationship Id="rId178" Type="http://schemas.openxmlformats.org/officeDocument/2006/relationships/hyperlink" Target="https://perthusasia.edu.au/our-work/fuelling-cooperation-the-indo-pacific-hydrogen-tr" TargetMode="External"/><Relationship Id="rId301" Type="http://schemas.openxmlformats.org/officeDocument/2006/relationships/hyperlink" Target="https://drive.google.com/open?id=1hn4feL_YPW_Qm9fG8fEuDR-Sxg_2DK4O" TargetMode="External"/><Relationship Id="rId953" Type="http://schemas.openxmlformats.org/officeDocument/2006/relationships/hyperlink" Target="https://drive.google.com/u/0/open?usp=forms_web&amp;id=1lgSm4CFDmNOVDI9YFSZzBCtHdRuOU0Hn" TargetMode="External"/><Relationship Id="rId1029" Type="http://schemas.openxmlformats.org/officeDocument/2006/relationships/hyperlink" Target="https://english.defensie.nl/downloads/publications/2024/09/05/defence-white-paper-2024" TargetMode="External"/><Relationship Id="rId82" Type="http://schemas.openxmlformats.org/officeDocument/2006/relationships/hyperlink" Target="https://www.defence.gov.au/ADC/Publications/documents/IndoPac/2017/Wilson_feb17.pdf" TargetMode="External"/><Relationship Id="rId385" Type="http://schemas.openxmlformats.org/officeDocument/2006/relationships/hyperlink" Target="https://drive.google.com/open?id=1_D_SJkUFpv0eXabZBfMm1GgHCE8wG3l5" TargetMode="External"/><Relationship Id="rId592" Type="http://schemas.openxmlformats.org/officeDocument/2006/relationships/hyperlink" Target="https://drive.google.com/open?id=1s_fmVYnxjT93WXL_c-0nTv_nFsUWags4" TargetMode="External"/><Relationship Id="rId606" Type="http://schemas.openxmlformats.org/officeDocument/2006/relationships/hyperlink" Target="https://www.rand.org/pubs/research_reports/RRA609-1.html" TargetMode="External"/><Relationship Id="rId813" Type="http://schemas.openxmlformats.org/officeDocument/2006/relationships/hyperlink" Target="https://drive.google.com/u/0/open?usp=forms_web&amp;id=1G4Zc9SjvC3yjaC6y_UaribvSKy16XgnR" TargetMode="External"/><Relationship Id="rId245" Type="http://schemas.openxmlformats.org/officeDocument/2006/relationships/hyperlink" Target="https://drive.google.com/open?id=1UhBp45PpkaW2U4y-9Y7J9clv9OlJVD1V" TargetMode="External"/><Relationship Id="rId452" Type="http://schemas.openxmlformats.org/officeDocument/2006/relationships/hyperlink" Target="https://drive.google.com/open?id=1Gb8y6EkMhrveVrVTDARX4lyfKP0PDPIK" TargetMode="External"/><Relationship Id="rId897" Type="http://schemas.openxmlformats.org/officeDocument/2006/relationships/hyperlink" Target="https://drive.google.com/u/0/open?usp=forms_web&amp;id=1z-GvTSKBu29SmmtDej7D7Qt5HeRpR2Q8" TargetMode="External"/><Relationship Id="rId105" Type="http://schemas.openxmlformats.org/officeDocument/2006/relationships/hyperlink" Target="https://www.rusi.org/publication/whitehall-reports/russian-and-chinese-combat-air-trends-current-capabilities-and-future" TargetMode="External"/><Relationship Id="rId312" Type="http://schemas.openxmlformats.org/officeDocument/2006/relationships/hyperlink" Target="https://drive.google.com/open?id=1eNgj_xYeMIOGhg7GIfxjvmc0o5egUBjS" TargetMode="External"/><Relationship Id="rId757" Type="http://schemas.openxmlformats.org/officeDocument/2006/relationships/hyperlink" Target="https://www.csis.org/" TargetMode="External"/><Relationship Id="rId964" Type="http://schemas.openxmlformats.org/officeDocument/2006/relationships/hyperlink" Target="http://jurnalius.ac.id/" TargetMode="External"/><Relationship Id="rId93" Type="http://schemas.openxmlformats.org/officeDocument/2006/relationships/hyperlink" Target="https://www.jstor.org/stable/pdf/resrep27692.8.pdf?ab_segments=0%252Fbasic_search_gsv2%252Fcontrol&amp;refreqid=excelsior%3A5437d1981d9e8a8fc2388cdbca715644" TargetMode="External"/><Relationship Id="rId189" Type="http://schemas.openxmlformats.org/officeDocument/2006/relationships/hyperlink" Target="https://drive.google.com/open?id=1aN2j3zjfcuWDu9rz_JGmnDMDFeBsdIxT" TargetMode="External"/><Relationship Id="rId396" Type="http://schemas.openxmlformats.org/officeDocument/2006/relationships/hyperlink" Target="https://drive.google.com/open?id=1pb6e13qnRhllHQKre0o-iQyD0nBNq7kJ" TargetMode="External"/><Relationship Id="rId617" Type="http://schemas.openxmlformats.org/officeDocument/2006/relationships/hyperlink" Target="https://drive.google.com/u/0/open?usp=forms_web&amp;id=18pghvX0b0sX2efqRmj8gtwQ4B3KP-7nP" TargetMode="External"/><Relationship Id="rId824" Type="http://schemas.openxmlformats.org/officeDocument/2006/relationships/hyperlink" Target="https://www.ceeol.com/" TargetMode="External"/><Relationship Id="rId256" Type="http://schemas.openxmlformats.org/officeDocument/2006/relationships/hyperlink" Target="https://drive.google.com/open?id=1d0nduGXeEvSfA0e22lRzURIjmKg27CxD" TargetMode="External"/><Relationship Id="rId463" Type="http://schemas.openxmlformats.org/officeDocument/2006/relationships/hyperlink" Target="https://drive.google.com/open?id=1CHaqQDQFouuXmv4RUtNwzsrBCUgHeypB" TargetMode="External"/><Relationship Id="rId670" Type="http://schemas.openxmlformats.org/officeDocument/2006/relationships/hyperlink" Target="https://www.gov.uk/" TargetMode="External"/><Relationship Id="rId116" Type="http://schemas.openxmlformats.org/officeDocument/2006/relationships/hyperlink" Target="https://media.nti.org/documents/2020_NTI-Index_Report_Final.pdf" TargetMode="External"/><Relationship Id="rId323" Type="http://schemas.openxmlformats.org/officeDocument/2006/relationships/hyperlink" Target="https://drive.google.com/open?id=10adUVHV8gQLCi9JDGYqvDD8N0rIj5bj3" TargetMode="External"/><Relationship Id="rId530" Type="http://schemas.openxmlformats.org/officeDocument/2006/relationships/hyperlink" Target="https://drive.google.com/open?id=1Q771to9REX-t2i6gV-_rgdBsIAW5m7S3" TargetMode="External"/><Relationship Id="rId768" Type="http://schemas.openxmlformats.org/officeDocument/2006/relationships/hyperlink" Target="https://drive.google.com/u/0/open?usp=forms_web&amp;id=1GC2l35K5SFTTYaXklXaVZGQuUguuSgft" TargetMode="External"/><Relationship Id="rId975" Type="http://schemas.openxmlformats.org/officeDocument/2006/relationships/hyperlink" Target="https://drive.google.com/u/0/open?usp=forms_web&amp;id=1hbQQ8979dRTSXl4pleQ2BcH0eSOgSh7_" TargetMode="External"/><Relationship Id="rId20" Type="http://schemas.openxmlformats.org/officeDocument/2006/relationships/hyperlink" Target="https://www.atlanticcouncil.org/in-depth-research-reports/report/global-risks-2035-update/" TargetMode="External"/><Relationship Id="rId628" Type="http://schemas.openxmlformats.org/officeDocument/2006/relationships/hyperlink" Target="https://drive.google.com/u/0/open?usp=forms_web&amp;id=1CWDfr2wUs_3_uJvneaXMOTzZpWNe0iql" TargetMode="External"/><Relationship Id="rId835" Type="http://schemas.openxmlformats.org/officeDocument/2006/relationships/hyperlink" Target="https://drive.google.com/u/0/open?usp=forms_web&amp;id=1ee05NC_ObK9_MYJrDlTJKJNwBW5G1k21" TargetMode="External"/><Relationship Id="rId267" Type="http://schemas.openxmlformats.org/officeDocument/2006/relationships/hyperlink" Target="https://drive.google.com/open?id=1VLwrUGChNw1hPL01MbSyALh2-Jv8lZSm" TargetMode="External"/><Relationship Id="rId474" Type="http://schemas.openxmlformats.org/officeDocument/2006/relationships/hyperlink" Target="https://drive.google.com/open?id=1sP96kE2GaO0dBiGSLHMTjYFgoPlKGt-r" TargetMode="External"/><Relationship Id="rId1020" Type="http://schemas.openxmlformats.org/officeDocument/2006/relationships/hyperlink" Target="https://www.naadsn.ca/" TargetMode="External"/><Relationship Id="rId127" Type="http://schemas.openxmlformats.org/officeDocument/2006/relationships/hyperlink" Target="https://www.foi.se/rest-api/report/FOI-R--5048--SE" TargetMode="External"/><Relationship Id="rId681" Type="http://schemas.openxmlformats.org/officeDocument/2006/relationships/hyperlink" Target="https://drive.google.com/u/0/open?usp=forms_web&amp;id=1ukES_xPJ0q6IQ61EdCmCKTGbeziMru-9" TargetMode="External"/><Relationship Id="rId779" Type="http://schemas.openxmlformats.org/officeDocument/2006/relationships/hyperlink" Target="https://drive.google.com/u/0/open?usp=forms_web&amp;id=1wsksO5NKO0T3fPaxJP78gd0ev0mJpYMI" TargetMode="External"/><Relationship Id="rId902" Type="http://schemas.openxmlformats.org/officeDocument/2006/relationships/hyperlink" Target="https://www.vsd.lt/" TargetMode="External"/><Relationship Id="rId986" Type="http://schemas.openxmlformats.org/officeDocument/2006/relationships/hyperlink" Target="https://drive.google.com/u/0/open?usp=forms_web&amp;id=1WNL00t40Mf3K-yM_Z_ku6dYhkL9sHL9Q" TargetMode="External"/><Relationship Id="rId31" Type="http://schemas.openxmlformats.org/officeDocument/2006/relationships/hyperlink" Target="https://www.mei.edu/publications/middle-east-conflict-and-covid-19-view-2025" TargetMode="External"/><Relationship Id="rId334" Type="http://schemas.openxmlformats.org/officeDocument/2006/relationships/hyperlink" Target="https://drive.google.com/open?id=19OFSE8Bq-7xe26YriAUrnq6OjBqbEsze" TargetMode="External"/><Relationship Id="rId541" Type="http://schemas.openxmlformats.org/officeDocument/2006/relationships/hyperlink" Target="https://drive.google.com/open?id=1BCXcffnFG3crmeiSQiMssQpdXZ5lE3OX" TargetMode="External"/><Relationship Id="rId639" Type="http://schemas.openxmlformats.org/officeDocument/2006/relationships/hyperlink" Target="https://www.gov.uk/" TargetMode="External"/><Relationship Id="rId180" Type="http://schemas.openxmlformats.org/officeDocument/2006/relationships/hyperlink" Target="https://drive.google.com/open?id=1tlQoT0NwxLJiv1ROtB_ZDZ5EOtFmnKuJ" TargetMode="External"/><Relationship Id="rId278" Type="http://schemas.openxmlformats.org/officeDocument/2006/relationships/hyperlink" Target="https://drive.google.com/open?id=10YZzicULmBkvbrzwBPYmhYS2NpgAgXjc" TargetMode="External"/><Relationship Id="rId401" Type="http://schemas.openxmlformats.org/officeDocument/2006/relationships/hyperlink" Target="https://drive.google.com/open?id=1RZk3H7P8mQIX82-Y68kzbgn6kPIiWuFY" TargetMode="External"/><Relationship Id="rId846" Type="http://schemas.openxmlformats.org/officeDocument/2006/relationships/hyperlink" Target="https://drive.google.com/u/0/open?usp=forms_web&amp;id=1Oby7fDs4HPPri06bh7DhltWFjptiHwgs" TargetMode="External"/><Relationship Id="rId1031" Type="http://schemas.openxmlformats.org/officeDocument/2006/relationships/hyperlink" Target="https://www.cbp.gov/" TargetMode="External"/><Relationship Id="rId485" Type="http://schemas.openxmlformats.org/officeDocument/2006/relationships/hyperlink" Target="https://drive.google.com/open?id=1H9sNg2-YF-b8r7YQNTMk1hDI5gII0k_T" TargetMode="External"/><Relationship Id="rId692" Type="http://schemas.openxmlformats.org/officeDocument/2006/relationships/hyperlink" Target="https://www.gov.uk/" TargetMode="External"/><Relationship Id="rId706" Type="http://schemas.openxmlformats.org/officeDocument/2006/relationships/hyperlink" Target="https://www.gov.uk/" TargetMode="External"/><Relationship Id="rId913" Type="http://schemas.openxmlformats.org/officeDocument/2006/relationships/hyperlink" Target="https://drive.google.com/u/0/open?usp=forms_web&amp;id=1SwiHe0oXEPZjdnmu0g6Sf82_W41cht7g" TargetMode="External"/><Relationship Id="rId42" Type="http://schemas.openxmlformats.org/officeDocument/2006/relationships/hyperlink" Target="https://issafrica.org/research/peace-and-security-council-report/peace-and-security-council-report-no-132" TargetMode="External"/><Relationship Id="rId138" Type="http://schemas.openxmlformats.org/officeDocument/2006/relationships/hyperlink" Target="https://www.rand.org/pubs/perspectives/PEA1157-1.html" TargetMode="External"/><Relationship Id="rId345" Type="http://schemas.openxmlformats.org/officeDocument/2006/relationships/hyperlink" Target="https://drive.google.com/open?id=1FyCPYuPagnur51j6rk1Vb1a0goQYrSA8" TargetMode="External"/><Relationship Id="rId552" Type="http://schemas.openxmlformats.org/officeDocument/2006/relationships/hyperlink" Target="https://drive.google.com/open?id=1CAeQV8DztzbkPePx_pO_nJEqltwd1RIH" TargetMode="External"/><Relationship Id="rId997" Type="http://schemas.openxmlformats.org/officeDocument/2006/relationships/hyperlink" Target="https://www.uu.nl/en" TargetMode="External"/><Relationship Id="rId191" Type="http://schemas.openxmlformats.org/officeDocument/2006/relationships/hyperlink" Target="https://drive.google.com/open?id=1dQqslXDnViHsILX9Frt_KEuHmwkJ_M2y" TargetMode="External"/><Relationship Id="rId205" Type="http://schemas.openxmlformats.org/officeDocument/2006/relationships/hyperlink" Target="https://drive.google.com/open?id=18gob_YIGLJQSmEHnpjsDxqjhNownQJg1" TargetMode="External"/><Relationship Id="rId412" Type="http://schemas.openxmlformats.org/officeDocument/2006/relationships/hyperlink" Target="https://drive.google.com/open?id=1RDvRXr6xJuL8ECvnKY8EIQR0Bg_V47vs" TargetMode="External"/><Relationship Id="rId857" Type="http://schemas.openxmlformats.org/officeDocument/2006/relationships/hyperlink" Target="https://drive.google.com/u/0/open?usp=forms_web&amp;id=1buIBIINhCPa4J1g5WvMVWj8z_NMB7xFS" TargetMode="External"/><Relationship Id="rId289" Type="http://schemas.openxmlformats.org/officeDocument/2006/relationships/hyperlink" Target="https://drive.google.com/open?id=1EJ7OdNKQfTYB_AgkIOYvA3HGvZEbwXjp" TargetMode="External"/><Relationship Id="rId496" Type="http://schemas.openxmlformats.org/officeDocument/2006/relationships/hyperlink" Target="https://drive.google.com/open?id=16nY9Ifvz0JAtVhIpXlChT1UBFoB37kvz" TargetMode="External"/><Relationship Id="rId717" Type="http://schemas.openxmlformats.org/officeDocument/2006/relationships/hyperlink" Target="https://drive.google.com/u/0/open?usp=forms_web&amp;id=1Rans67rMJTUwTylSFflSEslmJb9zlD79" TargetMode="External"/><Relationship Id="rId924" Type="http://schemas.openxmlformats.org/officeDocument/2006/relationships/hyperlink" Target="https://www.usmcu.edu/" TargetMode="External"/><Relationship Id="rId53" Type="http://schemas.openxmlformats.org/officeDocument/2006/relationships/hyperlink" Target="https://issafrica.org/research/africa-report/impact-of-covid-19-in-africa-a-scenario-analysis-to-2030" TargetMode="External"/><Relationship Id="rId149" Type="http://schemas.openxmlformats.org/officeDocument/2006/relationships/hyperlink" Target="https://securityconference.org/assets/02_Dokumente/01_Publikationen/MunichSecurityReport2021.pdf" TargetMode="External"/><Relationship Id="rId356" Type="http://schemas.openxmlformats.org/officeDocument/2006/relationships/hyperlink" Target="https://drive.google.com/open?id=17DxE5KpcElsleBRBdCCshklMTt8P27xy" TargetMode="External"/><Relationship Id="rId563" Type="http://schemas.openxmlformats.org/officeDocument/2006/relationships/hyperlink" Target="https://drive.google.com/open?id=1IDXukcwNZ8Y830agDjDqF1MvLn0YFi2d" TargetMode="External"/><Relationship Id="rId770" Type="http://schemas.openxmlformats.org/officeDocument/2006/relationships/hyperlink" Target="https://drive.google.com/u/0/open?usp=forms_web&amp;id=1zBcCsLLH0-3FyUIb4GWtWLFeldNtjomj" TargetMode="External"/><Relationship Id="rId216" Type="http://schemas.openxmlformats.org/officeDocument/2006/relationships/hyperlink" Target="https://drive.google.com/open?id=1RS_35aCXjbVmr5xdfXvg-8pgjqupPWr3" TargetMode="External"/><Relationship Id="rId423" Type="http://schemas.openxmlformats.org/officeDocument/2006/relationships/hyperlink" Target="https://drive.google.com/open?id=1rQDqzzGFNXrw3hCW1J4-NXh0ngixyyZU" TargetMode="External"/><Relationship Id="rId868" Type="http://schemas.openxmlformats.org/officeDocument/2006/relationships/hyperlink" Target="http://www.sevgtu.stel.sebastopol.ua/" TargetMode="External"/><Relationship Id="rId630" Type="http://schemas.openxmlformats.org/officeDocument/2006/relationships/hyperlink" Target="https://drive.google.com/u/0/open?usp=forms_web&amp;id=1tnOhph7RQ_kgUlpWbJOlTcedW8k6HANK" TargetMode="External"/><Relationship Id="rId728" Type="http://schemas.openxmlformats.org/officeDocument/2006/relationships/hyperlink" Target="https://www.gov.uk/" TargetMode="External"/><Relationship Id="rId935" Type="http://schemas.openxmlformats.org/officeDocument/2006/relationships/hyperlink" Target="https://drive.google.com/u/0/open?usp=forms_web&amp;id=1T9-tujDDT3TH5--hIsQEaZa16m-zbyYe" TargetMode="External"/><Relationship Id="rId64" Type="http://schemas.openxmlformats.org/officeDocument/2006/relationships/hyperlink" Target="https://www.sipri.org/publications/2019/sipri-background-papers/foreign-military-presence-horn-africa-region" TargetMode="External"/><Relationship Id="rId367" Type="http://schemas.openxmlformats.org/officeDocument/2006/relationships/hyperlink" Target="https://drive.google.com/open?id=1r51pC32QZk7xwQOEwW_NuOl86o9k4Bb9" TargetMode="External"/><Relationship Id="rId574" Type="http://schemas.openxmlformats.org/officeDocument/2006/relationships/hyperlink" Target="https://drive.google.com/open?id=1D4TorK3CshIUJskRWHPI0rCYKaNX2iYO" TargetMode="External"/><Relationship Id="rId227" Type="http://schemas.openxmlformats.org/officeDocument/2006/relationships/hyperlink" Target="https://drive.google.com/open?id=1NkHImLx7TvD-vR3qWIbU01XhISPzhrsP" TargetMode="External"/><Relationship Id="rId781" Type="http://schemas.openxmlformats.org/officeDocument/2006/relationships/hyperlink" Target="https://drive.google.com/u/0/open?usp=forms_web&amp;id=1CSa1WOLKndSiSy9DW3oXkhdoCaFsyzz6" TargetMode="External"/><Relationship Id="rId879" Type="http://schemas.openxmlformats.org/officeDocument/2006/relationships/hyperlink" Target="https://drive.google.com/u/0/open?usp=forms_web&amp;id=1ftpR0xQZS9cfW2XNS_ukZjnhzQ-808QW" TargetMode="External"/><Relationship Id="rId434" Type="http://schemas.openxmlformats.org/officeDocument/2006/relationships/hyperlink" Target="https://drive.google.com/open?id=11TXFL1kqb5Ud5tKhgkSs-2Yo3EgzL-AJ" TargetMode="External"/><Relationship Id="rId641" Type="http://schemas.openxmlformats.org/officeDocument/2006/relationships/hyperlink" Target="https://drive.google.com/u/0/open?usp=forms_web&amp;id=1e2cA-FQ8Zwe0_2Mpx2OnrexkaMPO5Pmo" TargetMode="External"/><Relationship Id="rId739" Type="http://schemas.openxmlformats.org/officeDocument/2006/relationships/hyperlink" Target="https://drive.google.com/u/0/open?usp=forms_web&amp;id=1HoWlMF2BdOm1XQht6PHYGS40ElElLfMH" TargetMode="External"/><Relationship Id="rId280" Type="http://schemas.openxmlformats.org/officeDocument/2006/relationships/hyperlink" Target="https://drive.google.com/file/d/11sJ5Hkpoip2TXT-WDuC17Hhdca3KvhpA/view" TargetMode="External"/><Relationship Id="rId501" Type="http://schemas.openxmlformats.org/officeDocument/2006/relationships/hyperlink" Target="https://drive.google.com/open?id=1U0yVM-obXGGsIn_e-H4BWXu7EZzwKhKQ" TargetMode="External"/><Relationship Id="rId946" Type="http://schemas.openxmlformats.org/officeDocument/2006/relationships/hyperlink" Target="https://drive.google.com/u/0/open?usp=forms_web&amp;id=16x74-XLPuyezORBLfZVWmFORcahj_2Ck" TargetMode="External"/><Relationship Id="rId75" Type="http://schemas.openxmlformats.org/officeDocument/2006/relationships/hyperlink" Target="https://media.defense.gov/2019/Jul/01/2002152311/-1/-1/1/DEPARTMENT-OF-DEFENSE-INDO-PACIFIC-STRATEGY-REPORT-2019.PDF" TargetMode="External"/><Relationship Id="rId140" Type="http://schemas.openxmlformats.org/officeDocument/2006/relationships/hyperlink" Target="https://www.rand.org/pubs/research_reports/RRA638-1.html" TargetMode="External"/><Relationship Id="rId378" Type="http://schemas.openxmlformats.org/officeDocument/2006/relationships/hyperlink" Target="https://drive.google.com/open?id=18J_SOjaTOhUb40ko7SG-a6Op3KyZcsx8" TargetMode="External"/><Relationship Id="rId585" Type="http://schemas.openxmlformats.org/officeDocument/2006/relationships/hyperlink" Target="https://drive.google.com/open?id=1ZQ0CnMM8tPDDEfTw62049ZKoPVU7SprJ" TargetMode="External"/><Relationship Id="rId792" Type="http://schemas.openxmlformats.org/officeDocument/2006/relationships/hyperlink" Target="https://www.gov.uk/" TargetMode="External"/><Relationship Id="rId806" Type="http://schemas.openxmlformats.org/officeDocument/2006/relationships/hyperlink" Target="https://www.gov.uk/" TargetMode="External"/><Relationship Id="rId6" Type="http://schemas.openxmlformats.org/officeDocument/2006/relationships/hyperlink" Target="https://www.mei.edu/sites/default/files/2021-02/%20What%20will%20the%20Middle%20East%20look%20like%20in%202030%3F%20An%20Israeli%20Perspective.pdf" TargetMode="External"/><Relationship Id="rId238" Type="http://schemas.openxmlformats.org/officeDocument/2006/relationships/hyperlink" Target="https://drive.google.com/open?id=1RLUB4l7wqENzIcTldjaudbJF6Kpg0Emi" TargetMode="External"/><Relationship Id="rId445" Type="http://schemas.openxmlformats.org/officeDocument/2006/relationships/hyperlink" Target="https://drive.google.com/open?id=1TFOlAtj6lYlBLkvXhVS4LOJDS6uoFOga" TargetMode="External"/><Relationship Id="rId652" Type="http://schemas.openxmlformats.org/officeDocument/2006/relationships/hyperlink" Target="https://www.gov.uk/" TargetMode="External"/><Relationship Id="rId291" Type="http://schemas.openxmlformats.org/officeDocument/2006/relationships/hyperlink" Target="https://drive.google.com/open?id=1a9tovIcm3Nee7deCchB61Oe3j3Uu5TC5" TargetMode="External"/><Relationship Id="rId305" Type="http://schemas.openxmlformats.org/officeDocument/2006/relationships/hyperlink" Target="https://drive.google.com/open?id=1O-CDUvEBKTve7TKyXd9bybEd8bMLh2rO" TargetMode="External"/><Relationship Id="rId512" Type="http://schemas.openxmlformats.org/officeDocument/2006/relationships/hyperlink" Target="https://drive.google.com/open?id=1UdhxAh0wW14QeVlswc2esjOwRBrHrctl" TargetMode="External"/><Relationship Id="rId957" Type="http://schemas.openxmlformats.org/officeDocument/2006/relationships/hyperlink" Target="http://nato.int/" TargetMode="External"/><Relationship Id="rId86" Type="http://schemas.openxmlformats.org/officeDocument/2006/relationships/hyperlink" Target="https://www.dst.defence.gov.au/sites/default/files/publications/documents/DST-Group-GD-1071.pdf" TargetMode="External"/><Relationship Id="rId151" Type="http://schemas.openxmlformats.org/officeDocument/2006/relationships/hyperlink" Target="https://www.chathamhouse.org/sites/default/files/2021-03/2021-03-22-indo-pacific-strategies-paskal.pdf" TargetMode="External"/><Relationship Id="rId389" Type="http://schemas.openxmlformats.org/officeDocument/2006/relationships/hyperlink" Target="https://drive.google.com/open?id=1JunHbA8swl8CJEq276M-4EOVE4Ixoac1" TargetMode="External"/><Relationship Id="rId596" Type="http://schemas.openxmlformats.org/officeDocument/2006/relationships/hyperlink" Target="https://drive.google.com/open?id=1X3Y6QUTFaJN6GuCKsh0_BUeH0Ccb7mxe" TargetMode="External"/><Relationship Id="rId817" Type="http://schemas.openxmlformats.org/officeDocument/2006/relationships/hyperlink" Target="https://drive.google.com/u/0/open?usp=forms_web&amp;id=12n5pIUx2U_oyOFhprtkg0t4klUDwxuLF" TargetMode="External"/><Relationship Id="rId1002" Type="http://schemas.openxmlformats.org/officeDocument/2006/relationships/hyperlink" Target="https://drive.google.com/u/0/open?usp=forms_web&amp;id=16m5GIqqtqRPbbG-WxDos_Jd453P733rO" TargetMode="External"/><Relationship Id="rId249" Type="http://schemas.openxmlformats.org/officeDocument/2006/relationships/hyperlink" Target="https://drive.google.com/open?id=1kslBwspnHAK0qDYz6k5XYiN5e_uevRqm" TargetMode="External"/><Relationship Id="rId456" Type="http://schemas.openxmlformats.org/officeDocument/2006/relationships/hyperlink" Target="https://drive.google.com/open?id=13zchSG5hA3yS-Z3xh5379G6XpT7aBUeq" TargetMode="External"/><Relationship Id="rId663" Type="http://schemas.openxmlformats.org/officeDocument/2006/relationships/hyperlink" Target="https://drive.google.com/u/0/open?usp=forms_web&amp;id=14bJJuS9SsyjvIA4Sjz2_xQ9sRgd0pLrG" TargetMode="External"/><Relationship Id="rId870" Type="http://schemas.openxmlformats.org/officeDocument/2006/relationships/hyperlink" Target="https://www.jsps.go.jp/english/" TargetMode="External"/><Relationship Id="rId13" Type="http://schemas.openxmlformats.org/officeDocument/2006/relationships/hyperlink" Target="https://www.brookings.edu/research/securing-global-cities-2/" TargetMode="External"/><Relationship Id="rId109" Type="http://schemas.openxmlformats.org/officeDocument/2006/relationships/hyperlink" Target="https://www.express-journal.com/request-sample/380846?utm=AG" TargetMode="External"/><Relationship Id="rId316" Type="http://schemas.openxmlformats.org/officeDocument/2006/relationships/hyperlink" Target="https://drive.google.com/open?id=1u2cjW8Haz3tc6UriZforUiZgki5bZTNH" TargetMode="External"/><Relationship Id="rId523" Type="http://schemas.openxmlformats.org/officeDocument/2006/relationships/hyperlink" Target="https://drive.google.com/open?id=1qNmOGUZx2nUABA45wYT5O5Z0XFulkExX" TargetMode="External"/><Relationship Id="rId968" Type="http://schemas.openxmlformats.org/officeDocument/2006/relationships/hyperlink" Target="https://neighbourhood-enlargement.ec.europa.eu/" TargetMode="External"/><Relationship Id="rId97" Type="http://schemas.openxmlformats.org/officeDocument/2006/relationships/hyperlink" Target="https://www.jstor.org/stable/pdf/resrep25081.pdf?ab_segments=0%252Fbasic_search_gsv2%252Fcontrol&amp;refreqid=excelsior%3A0043748d249289470843c5ec47b3a930" TargetMode="External"/><Relationship Id="rId730" Type="http://schemas.openxmlformats.org/officeDocument/2006/relationships/hyperlink" Target="https://foresight.org/" TargetMode="External"/><Relationship Id="rId828" Type="http://schemas.openxmlformats.org/officeDocument/2006/relationships/hyperlink" Target="https://www.kva.se/en/" TargetMode="External"/><Relationship Id="rId1013" Type="http://schemas.openxmlformats.org/officeDocument/2006/relationships/hyperlink" Target="https://www.dlr.de/en" TargetMode="External"/><Relationship Id="rId162" Type="http://schemas.openxmlformats.org/officeDocument/2006/relationships/hyperlink" Target="https://www.defence.govt.nz/assets/publication/file/2020-Statement-of-Intent.pdf" TargetMode="External"/><Relationship Id="rId467" Type="http://schemas.openxmlformats.org/officeDocument/2006/relationships/hyperlink" Target="https://drive.google.com/open?id=1utEQaNqwIrmyB_Iq-81AYe73UVuGKbkn" TargetMode="External"/><Relationship Id="rId674" Type="http://schemas.openxmlformats.org/officeDocument/2006/relationships/hyperlink" Target="https://www.gov.uk/" TargetMode="External"/><Relationship Id="rId881" Type="http://schemas.openxmlformats.org/officeDocument/2006/relationships/hyperlink" Target="https://drive.google.com/u/0/open?usp=forms_web&amp;id=1s_ebn5Jt4aue2vZFCmcIqcQw2PSNP3Jj" TargetMode="External"/><Relationship Id="rId979" Type="http://schemas.openxmlformats.org/officeDocument/2006/relationships/hyperlink" Target="https://www.imemo.ru/en" TargetMode="External"/><Relationship Id="rId24" Type="http://schemas.openxmlformats.org/officeDocument/2006/relationships/hyperlink" Target="https://www.csis.org/analysis/global-security-forum-2020-new-era-us-alliances" TargetMode="External"/><Relationship Id="rId327" Type="http://schemas.openxmlformats.org/officeDocument/2006/relationships/hyperlink" Target="https://drive.google.com/open?id=126NsKLJzeyI_fxIp5DjUuNegJ2ixqrAk" TargetMode="External"/><Relationship Id="rId534" Type="http://schemas.openxmlformats.org/officeDocument/2006/relationships/hyperlink" Target="https://drive.google.com/open?id=1GPoYKkOBi3VHBHQFBw3o5mFJkyzzMErx" TargetMode="External"/><Relationship Id="rId741" Type="http://schemas.openxmlformats.org/officeDocument/2006/relationships/hyperlink" Target="https://drive.google.com/u/0/open?usp=forms_web&amp;id=1WXGPQK7DiOH7R7clXyeHoKukoT7pm1Eg" TargetMode="External"/><Relationship Id="rId839" Type="http://schemas.openxmlformats.org/officeDocument/2006/relationships/hyperlink" Target="https://drive.google.com/u/0/open?usp=forms_web&amp;id=1dUCsFySfF6f2YNNiuyTx1GPF_O4x0Z7F" TargetMode="External"/><Relationship Id="rId173" Type="http://schemas.openxmlformats.org/officeDocument/2006/relationships/hyperlink" Target="https://www.rand.org/pubs/research_reports/RR3067.html" TargetMode="External"/><Relationship Id="rId380" Type="http://schemas.openxmlformats.org/officeDocument/2006/relationships/hyperlink" Target="https://drive.google.com/open?id=1KkPu5_scHF8np1zhLn4Qvv0z-sZ1Vt2r" TargetMode="External"/><Relationship Id="rId601" Type="http://schemas.openxmlformats.org/officeDocument/2006/relationships/hyperlink" Target="https://www.rand.org/pubs/research_reports/RRA1498-1.html" TargetMode="External"/><Relationship Id="rId1024" Type="http://schemas.openxmlformats.org/officeDocument/2006/relationships/hyperlink" Target="https://www.naadsn.ca/" TargetMode="External"/><Relationship Id="rId240" Type="http://schemas.openxmlformats.org/officeDocument/2006/relationships/hyperlink" Target="https://drive.google.com/open?id=1jffGJlWCRo94selBaXtBNt2qfRAXMqYL" TargetMode="External"/><Relationship Id="rId478" Type="http://schemas.openxmlformats.org/officeDocument/2006/relationships/hyperlink" Target="https://drive.google.com/open?id=1t1MGi_wucnEQdvQf6fUkse4T4Apwqeok" TargetMode="External"/><Relationship Id="rId685" Type="http://schemas.openxmlformats.org/officeDocument/2006/relationships/hyperlink" Target="https://drive.google.com/u/0/open?usp=forms_web&amp;id=1h0BEvqq0mFFoX9vqeXQSltU5hkjS3z_c" TargetMode="External"/><Relationship Id="rId892" Type="http://schemas.openxmlformats.org/officeDocument/2006/relationships/hyperlink" Target="http://nato.int/" TargetMode="External"/><Relationship Id="rId906" Type="http://schemas.openxmlformats.org/officeDocument/2006/relationships/hyperlink" Target="http://kam.lt/" TargetMode="External"/><Relationship Id="rId35" Type="http://schemas.openxmlformats.org/officeDocument/2006/relationships/hyperlink" Target="https://drive.google.com/file/d/1NslfWBcFpm-5Modcur0Abed3t2ZRkVij/view?usp=drivesdk" TargetMode="External"/><Relationship Id="rId100" Type="http://schemas.openxmlformats.org/officeDocument/2006/relationships/hyperlink" Target="https://www.defence.govt.nz/assets/publication/file/5f6dd307e7/Advancing-Pacific-Partnerships-2019.pdf" TargetMode="External"/><Relationship Id="rId338" Type="http://schemas.openxmlformats.org/officeDocument/2006/relationships/hyperlink" Target="https://drive.google.com/open?id=1ixHIKKLqbOedoe6HdNhOm94ZA-MTE40b" TargetMode="External"/><Relationship Id="rId545" Type="http://schemas.openxmlformats.org/officeDocument/2006/relationships/hyperlink" Target="https://drive.google.com/open?id=169FRV7GTDExPHJogxp39lqUQoh-IraIt" TargetMode="External"/><Relationship Id="rId752" Type="http://schemas.openxmlformats.org/officeDocument/2006/relationships/hyperlink" Target="https://drive.google.com/u/0/open?usp=forms_web&amp;id=1fSzWjDdDlYwb9rmQlLLspRYRU7eH8trE" TargetMode="External"/><Relationship Id="rId184" Type="http://schemas.openxmlformats.org/officeDocument/2006/relationships/hyperlink" Target="https://drive.google.com/open?id=1BOcfR50iaTVdR2PQY_5voLwrD3cR7njA" TargetMode="External"/><Relationship Id="rId391" Type="http://schemas.openxmlformats.org/officeDocument/2006/relationships/hyperlink" Target="https://drive.google.com/open?id=1qsANQCdk1_swnOJjRRXApLmyjkFxsQiL" TargetMode="External"/><Relationship Id="rId405" Type="http://schemas.openxmlformats.org/officeDocument/2006/relationships/hyperlink" Target="https://drive.google.com/open?id=1oJx3ucJcjRrB5YdLZrOKmtXTZDJPPdDR" TargetMode="External"/><Relationship Id="rId612" Type="http://schemas.openxmlformats.org/officeDocument/2006/relationships/hyperlink" Target="https://www.nti.org/analysis/articles/strengthening-global-systems-to-prevent-and-respond-to-high-consequence-biological-threats/" TargetMode="External"/><Relationship Id="rId251" Type="http://schemas.openxmlformats.org/officeDocument/2006/relationships/hyperlink" Target="https://drive.google.com/open?id=1DEaiIzhjRyLWgdDIPD10jvZzOZv7ghbn" TargetMode="External"/><Relationship Id="rId489" Type="http://schemas.openxmlformats.org/officeDocument/2006/relationships/hyperlink" Target="https://drive.google.com/open?id=1AORnymeyKtFU-HmH64ly8Mh7cCybPhIX" TargetMode="External"/><Relationship Id="rId696" Type="http://schemas.openxmlformats.org/officeDocument/2006/relationships/hyperlink" Target="https://www.gov.uk/" TargetMode="External"/><Relationship Id="rId917" Type="http://schemas.openxmlformats.org/officeDocument/2006/relationships/hyperlink" Target="https://drive.google.com/u/0/open?usp=forms_web&amp;id=1F6G2OtgvYgcITgsDoUaRuI1mNU27Bxo7" TargetMode="External"/><Relationship Id="rId46" Type="http://schemas.openxmlformats.org/officeDocument/2006/relationships/hyperlink" Target="https://www.atlanticcouncil.org/" TargetMode="External"/><Relationship Id="rId349" Type="http://schemas.openxmlformats.org/officeDocument/2006/relationships/hyperlink" Target="https://drive.google.com/open?id=1OXpIiegiF9_EJBYaHt6v_AjDMdejgMx-" TargetMode="External"/><Relationship Id="rId556" Type="http://schemas.openxmlformats.org/officeDocument/2006/relationships/hyperlink" Target="https://drive.google.com/open?id=1W-fCDwB7AK11ySL4pvQwR1eItO5rtG9v" TargetMode="External"/><Relationship Id="rId763" Type="http://schemas.openxmlformats.org/officeDocument/2006/relationships/hyperlink" Target="https://www.gov.uk/" TargetMode="External"/><Relationship Id="rId111" Type="http://schemas.openxmlformats.org/officeDocument/2006/relationships/hyperlink" Target="http://www3.weforum.org/docs/WEF_Future_Series_Cybersecurity_emerging_technology_and_systemic_risk_2020.pdf" TargetMode="External"/><Relationship Id="rId195" Type="http://schemas.openxmlformats.org/officeDocument/2006/relationships/hyperlink" Target="https://drive.google.com/open?id=1xO7F8OTjdpy225z4gPj8P07bnAb6frZa" TargetMode="External"/><Relationship Id="rId209" Type="http://schemas.openxmlformats.org/officeDocument/2006/relationships/hyperlink" Target="https://drive.google.com/open?id=1EZh1H7dOCgfExIPFdt3AdJHvBLa5Ch2Z" TargetMode="External"/><Relationship Id="rId416" Type="http://schemas.openxmlformats.org/officeDocument/2006/relationships/hyperlink" Target="https://drive.google.com/open?id=1aSbrP8VeAjC4FbhNaEeiHR57G9MqdZ0J" TargetMode="External"/><Relationship Id="rId970" Type="http://schemas.openxmlformats.org/officeDocument/2006/relationships/hyperlink" Target="http://sois.uum.edu.my/" TargetMode="External"/><Relationship Id="rId623" Type="http://schemas.openxmlformats.org/officeDocument/2006/relationships/hyperlink" Target="https://drive.google.com/u/0/open?usp=forms_web&amp;id=1XLWI6hsF1adbItt-S1OUqOBFiRvTK5i7" TargetMode="External"/><Relationship Id="rId830" Type="http://schemas.openxmlformats.org/officeDocument/2006/relationships/hyperlink" Target="https://www.government.se/" TargetMode="External"/><Relationship Id="rId928" Type="http://schemas.openxmlformats.org/officeDocument/2006/relationships/hyperlink" Target="https://drive.google.com/u/0/open?usp=forms_web&amp;id=1P8o2sbN-Ks_u-mxR3Km49nHeNhbIB__v" TargetMode="External"/><Relationship Id="rId57" Type="http://schemas.openxmlformats.org/officeDocument/2006/relationships/hyperlink" Target="https://www.brookings.edu/wp-content/uploads/2020/01/ForesightAfrica2020_20200110.pdf" TargetMode="External"/><Relationship Id="rId262" Type="http://schemas.openxmlformats.org/officeDocument/2006/relationships/hyperlink" Target="https://drive.google.com/open?id=1PVuacKtAa-SywQ3kNRKMyIVoI-uE4_BK" TargetMode="External"/><Relationship Id="rId567" Type="http://schemas.openxmlformats.org/officeDocument/2006/relationships/hyperlink" Target="https://drive.google.com/open?id=1jO3fqmOHkqoexbSYOzKCGjL6laIWgOhm" TargetMode="External"/><Relationship Id="rId122" Type="http://schemas.openxmlformats.org/officeDocument/2006/relationships/hyperlink" Target="https://africacenter.org/publication-type/africa-security-brief/" TargetMode="External"/><Relationship Id="rId774" Type="http://schemas.openxmlformats.org/officeDocument/2006/relationships/hyperlink" Target="https://drive.google.com/u/0/open?usp=forms_web&amp;id=1_EBFntlDF9mxL0e60aj77GcSQCL6gt0Z" TargetMode="External"/><Relationship Id="rId981" Type="http://schemas.openxmlformats.org/officeDocument/2006/relationships/hyperlink" Target="https://china-cee.eu/" TargetMode="External"/><Relationship Id="rId427" Type="http://schemas.openxmlformats.org/officeDocument/2006/relationships/hyperlink" Target="https://drive.google.com/open?id=1MXC4C-fvwmR7El1BDHuLzrJm7BmSPgMB" TargetMode="External"/><Relationship Id="rId634" Type="http://schemas.openxmlformats.org/officeDocument/2006/relationships/hyperlink" Target="https://drive.google.com/u/0/open?usp=forms_web&amp;id=1_c1ra_MM6OTLOh9QmVdpoUmrjf_MlhBC" TargetMode="External"/><Relationship Id="rId841" Type="http://schemas.openxmlformats.org/officeDocument/2006/relationships/hyperlink" Target="https://drive.google.com/u/0/open?usp=forms_web&amp;id=1_wXXSXDcZ-7raeeV4PhoCYry8sTRqLVg" TargetMode="External"/><Relationship Id="rId273" Type="http://schemas.openxmlformats.org/officeDocument/2006/relationships/hyperlink" Target="https://drive.google.com/open?id=1TKkXHN09LWXeR1XkhTxTE7QSDl6PKzNJ" TargetMode="External"/><Relationship Id="rId480" Type="http://schemas.openxmlformats.org/officeDocument/2006/relationships/hyperlink" Target="https://drive.google.com/open?id=1T7mOQOGOGwCtnMILtmZYYCJ_Ufg-jn4u" TargetMode="External"/><Relationship Id="rId701" Type="http://schemas.openxmlformats.org/officeDocument/2006/relationships/hyperlink" Target="https://drive.google.com/u/0/open?usp=forms_web&amp;id=1awYU3VVklK3xTJhXdF_9k5rDDmRJeqIJ" TargetMode="External"/><Relationship Id="rId939" Type="http://schemas.openxmlformats.org/officeDocument/2006/relationships/hyperlink" Target="https://drive.google.com/u/0/open?usp=forms_web&amp;id=1SnMK0cebtEXW3NxDeg7ZH9pL58p6_UOr" TargetMode="External"/><Relationship Id="rId68" Type="http://schemas.openxmlformats.org/officeDocument/2006/relationships/hyperlink" Target="https://www.sipri.org/publications/2019/other-publications/towards-legitimate-stability-car-and-drc-external-assumptions-and-local-perspectives" TargetMode="External"/><Relationship Id="rId133" Type="http://schemas.openxmlformats.org/officeDocument/2006/relationships/hyperlink" Target="https://apps.dtic.mil/sti/pdfs/ADA618340.pdf" TargetMode="External"/><Relationship Id="rId340" Type="http://schemas.openxmlformats.org/officeDocument/2006/relationships/hyperlink" Target="https://drive.google.com/open?id=11UsXQndDZycK_axCxGI9WnXAG7qfCeQq" TargetMode="External"/><Relationship Id="rId578" Type="http://schemas.openxmlformats.org/officeDocument/2006/relationships/hyperlink" Target="https://drive.google.com/open?id=1oaQQqqQAcncV0ypSlOu_rM50udy-gBvF" TargetMode="External"/><Relationship Id="rId785" Type="http://schemas.openxmlformats.org/officeDocument/2006/relationships/hyperlink" Target="https://drive.google.com/u/0/open?usp=forms_web&amp;id=1YO9pXyq_HstTyA5S2Jgszvf6FReoUBWS" TargetMode="External"/><Relationship Id="rId992" Type="http://schemas.openxmlformats.org/officeDocument/2006/relationships/hyperlink" Target="https://drive.google.com/u/0/open?usp=forms_web&amp;id=1rR7Z0tJzrCI5Lrqw_IQRwd8_FX6BcHMk" TargetMode="External"/><Relationship Id="rId200" Type="http://schemas.openxmlformats.org/officeDocument/2006/relationships/hyperlink" Target="https://drive.google.com/open?id=1xYXIAH-E8dNFvOQejFNdQXet9Nt8pJdE" TargetMode="External"/><Relationship Id="rId438" Type="http://schemas.openxmlformats.org/officeDocument/2006/relationships/hyperlink" Target="https://drive.google.com/open?id=1NYV_0u1IpiVCmXVBj8tdYTN62VD9p5Oa" TargetMode="External"/><Relationship Id="rId645" Type="http://schemas.openxmlformats.org/officeDocument/2006/relationships/hyperlink" Target="https://drive.google.com/u/0/open?usp=forms_web&amp;id=1CNIHt8eux_pi0Cm72knQM9HcFQn-jL0y" TargetMode="External"/><Relationship Id="rId852" Type="http://schemas.openxmlformats.org/officeDocument/2006/relationships/hyperlink" Target="https://www.mod.gov.lv/lv" TargetMode="External"/><Relationship Id="rId284" Type="http://schemas.openxmlformats.org/officeDocument/2006/relationships/hyperlink" Target="https://drive.google.com/open?id=1cFs612xo-XDdZart4QJWjcOsFm1zdtpw" TargetMode="External"/><Relationship Id="rId491" Type="http://schemas.openxmlformats.org/officeDocument/2006/relationships/hyperlink" Target="https://drive.google.com/open?id=1qcqevN0IlgtPGGdGYW5CgeJnvi0m4FXq" TargetMode="External"/><Relationship Id="rId505" Type="http://schemas.openxmlformats.org/officeDocument/2006/relationships/hyperlink" Target="https://drive.google.com/open?id=1G5OVebjWdax_DI2m9hPFyEQrj-w7cKQn" TargetMode="External"/><Relationship Id="rId712" Type="http://schemas.openxmlformats.org/officeDocument/2006/relationships/hyperlink" Target="https://rusi.org/" TargetMode="External"/><Relationship Id="rId79" Type="http://schemas.openxmlformats.org/officeDocument/2006/relationships/hyperlink" Target="https://www.defence.gov.au/adc/Publications/ajdss/documents/volume2-number1/JUN007-20-AJDSS-text_26082020.pdf" TargetMode="External"/><Relationship Id="rId144" Type="http://schemas.openxmlformats.org/officeDocument/2006/relationships/hyperlink" Target="https://www.ipea.gov.br/portal/index.php?option=com_content&amp;view=article&amp;id=31833&amp;Itemid=424" TargetMode="External"/><Relationship Id="rId589" Type="http://schemas.openxmlformats.org/officeDocument/2006/relationships/hyperlink" Target="https://drive.google.com/open?id=1OpMB30seikqOxIOYMF1Qrh2x4s9PJTfo" TargetMode="External"/><Relationship Id="rId796" Type="http://schemas.openxmlformats.org/officeDocument/2006/relationships/hyperlink" Target="https://ipri.unl.pt/index.php/pt/" TargetMode="External"/><Relationship Id="rId351" Type="http://schemas.openxmlformats.org/officeDocument/2006/relationships/hyperlink" Target="https://drive.google.com/open?id=19vH0elzYDt1HUVLcRLOClO0FfEvtPs-l" TargetMode="External"/><Relationship Id="rId449" Type="http://schemas.openxmlformats.org/officeDocument/2006/relationships/hyperlink" Target="https://drive.google.com/open?id=1M2AkS4ma2fXrXINDKB72_9uLbQ7BcIyT" TargetMode="External"/><Relationship Id="rId656" Type="http://schemas.openxmlformats.org/officeDocument/2006/relationships/hyperlink" Target="https://drive.google.com/u/0/open?usp=forms_web&amp;id=1Shw7-g17rLePoFVG0IM7oWTZvix273sw" TargetMode="External"/><Relationship Id="rId863" Type="http://schemas.openxmlformats.org/officeDocument/2006/relationships/hyperlink" Target="https://drive.google.com/u/0/open?usp=forms_web&amp;id=11i2MQohtVa_mwZY0peqzsqFkKIJjbD83" TargetMode="External"/><Relationship Id="rId211" Type="http://schemas.openxmlformats.org/officeDocument/2006/relationships/hyperlink" Target="https://drive.google.com/open?id=1OA9-Hi3gO5IpDRiF3mvPPi7BYbIpyPqh" TargetMode="External"/><Relationship Id="rId295" Type="http://schemas.openxmlformats.org/officeDocument/2006/relationships/hyperlink" Target="https://drive.google.com/open?id=1RqoDVNHKOqrEeVe4httWtPfhZq1G7_ds" TargetMode="External"/><Relationship Id="rId309" Type="http://schemas.openxmlformats.org/officeDocument/2006/relationships/hyperlink" Target="https://drive.google.com/open?id=1LIVgKgGBeDweej08jmOtbQTGaqiLwL2o" TargetMode="External"/><Relationship Id="rId516" Type="http://schemas.openxmlformats.org/officeDocument/2006/relationships/hyperlink" Target="https://drive.google.com/open?id=1WJVZtNzEOR0Q_sVbwjs0RRz4p0kNgNy-" TargetMode="External"/><Relationship Id="rId723" Type="http://schemas.openxmlformats.org/officeDocument/2006/relationships/hyperlink" Target="https://drive.google.com/u/0/open?usp=forms_web&amp;id=10ViqvfB6zBLUgiZUNi4FkEUhQktDxea7" TargetMode="External"/><Relationship Id="rId930" Type="http://schemas.openxmlformats.org/officeDocument/2006/relationships/hyperlink" Target="https://aei.pitt.edu/" TargetMode="External"/><Relationship Id="rId1006" Type="http://schemas.openxmlformats.org/officeDocument/2006/relationships/hyperlink" Target="https://drive.google.com/u/0/open?usp=forms_web&amp;id=1crunkBeD_k926bPA1Gtuuj7LlTgpvdLt" TargetMode="External"/><Relationship Id="rId155" Type="http://schemas.openxmlformats.org/officeDocument/2006/relationships/hyperlink" Target="https://www.defence.gov.au/adc/Publications/ajdss/documents/volume3-number1/AJDSS-v3-n1-interactive.pdf" TargetMode="External"/><Relationship Id="rId362" Type="http://schemas.openxmlformats.org/officeDocument/2006/relationships/hyperlink" Target="https://drive.google.com/open?id=1QmXlO7tELFDIOAyctVkyfTJDrgRyi4rS" TargetMode="External"/><Relationship Id="rId222" Type="http://schemas.openxmlformats.org/officeDocument/2006/relationships/hyperlink" Target="https://drive.google.com/open?id=13DOfjmOvhnWxBn_TbhiBptjvSPYKFXKP" TargetMode="External"/><Relationship Id="rId667" Type="http://schemas.openxmlformats.org/officeDocument/2006/relationships/hyperlink" Target="https://drive.google.com/u/0/open?usp=forms_web&amp;id=10t2MnGio4z2AA3FPbXru-cQwHsE9Cyah" TargetMode="External"/><Relationship Id="rId874" Type="http://schemas.openxmlformats.org/officeDocument/2006/relationships/hyperlink" Target="https://sais.jhu.edu/" TargetMode="External"/><Relationship Id="rId17" Type="http://schemas.openxmlformats.org/officeDocument/2006/relationships/hyperlink" Target="https://horizons.gc.ca/en/2021/03/05/foresight-on-covid-19-possible-shifts-and-implications/" TargetMode="External"/><Relationship Id="rId527" Type="http://schemas.openxmlformats.org/officeDocument/2006/relationships/hyperlink" Target="https://drive.google.com/open?id=1LfJuGSFUBf5TjXJF1CkaC31ofUv6UDAt" TargetMode="External"/><Relationship Id="rId734" Type="http://schemas.openxmlformats.org/officeDocument/2006/relationships/hyperlink" Target="https://www.gov.uk/" TargetMode="External"/><Relationship Id="rId941" Type="http://schemas.openxmlformats.org/officeDocument/2006/relationships/hyperlink" Target="https://www.atlanticcouncil.org/" TargetMode="External"/><Relationship Id="rId70" Type="http://schemas.openxmlformats.org/officeDocument/2006/relationships/hyperlink" Target="https://issafrica.org/research/west-africa-report/prospects-for-the-g5-sahel-countries-to-2040" TargetMode="External"/><Relationship Id="rId166" Type="http://schemas.openxmlformats.org/officeDocument/2006/relationships/hyperlink" Target="https://www.irena.org/publications/2021/Sep/Benchmarking-Scenario-Comparisons" TargetMode="External"/><Relationship Id="rId373" Type="http://schemas.openxmlformats.org/officeDocument/2006/relationships/hyperlink" Target="https://drive.google.com/open?id=1U9rVRaoeGzwl-bCg6_X1wGeGF7rg1e_B" TargetMode="External"/><Relationship Id="rId580" Type="http://schemas.openxmlformats.org/officeDocument/2006/relationships/hyperlink" Target="https://drive.google.com/open?id=1o7-2wzUiPT7mGLYzkUH08IdeDN3jVNwH" TargetMode="External"/><Relationship Id="rId801" Type="http://schemas.openxmlformats.org/officeDocument/2006/relationships/hyperlink" Target="https://drive.google.com/u/0/open?usp=forms_web&amp;id=1Q0JFg8illRiIaBo08sTKqZ5FWGpLf4qF" TargetMode="External"/><Relationship Id="rId1017" Type="http://schemas.openxmlformats.org/officeDocument/2006/relationships/hyperlink" Target="https://drive.google.com/u/0/open?usp=forms_web&amp;id=1bALRgshcK5vOKohkaNespNu0oS_-eiem" TargetMode="External"/><Relationship Id="rId1" Type="http://schemas.openxmlformats.org/officeDocument/2006/relationships/hyperlink" Target="https://ec.europa.eu/info/sites/info/files/strategic_foresight_report_2020_1.pdf" TargetMode="External"/><Relationship Id="rId233" Type="http://schemas.openxmlformats.org/officeDocument/2006/relationships/hyperlink" Target="https://drive.google.com/open?id=1VLHRBn61Jrltc8ocU-O6hjttUYJHZt6K" TargetMode="External"/><Relationship Id="rId440" Type="http://schemas.openxmlformats.org/officeDocument/2006/relationships/hyperlink" Target="https://drive.google.com/open?id=1Xc6K3fFMKR1twKN5DJ7lnLTyMzGfBXTF" TargetMode="External"/><Relationship Id="rId678" Type="http://schemas.openxmlformats.org/officeDocument/2006/relationships/hyperlink" Target="https://www.gov.uk/" TargetMode="External"/><Relationship Id="rId885" Type="http://schemas.openxmlformats.org/officeDocument/2006/relationships/hyperlink" Target="https://drive.google.com/u/0/open?usp=forms_web&amp;id=1v0MRX5SbZ9W_6ezLFyzD4gA8GGklkS9E" TargetMode="External"/><Relationship Id="rId28" Type="http://schemas.openxmlformats.org/officeDocument/2006/relationships/hyperlink" Target="https://www.rand.org/pubs/research_reports/RR2989.html" TargetMode="External"/><Relationship Id="rId300" Type="http://schemas.openxmlformats.org/officeDocument/2006/relationships/hyperlink" Target="https://drive.google.com/open?id=1t3sAGR74aKzrY7rbLk5qLcxEweo4S6cv" TargetMode="External"/><Relationship Id="rId538" Type="http://schemas.openxmlformats.org/officeDocument/2006/relationships/hyperlink" Target="https://drive.google.com/open?id=1XnCGox7vHSjqYCJecqfRljm02mVBXye9" TargetMode="External"/><Relationship Id="rId745" Type="http://schemas.openxmlformats.org/officeDocument/2006/relationships/hyperlink" Target="http://rand.org/" TargetMode="External"/><Relationship Id="rId952" Type="http://schemas.openxmlformats.org/officeDocument/2006/relationships/hyperlink" Target="https://drive.google.com/u/0/open?usp=forms_web&amp;id=1llPtpfminskseeOOfu7UqyDQu9shG5p5" TargetMode="External"/><Relationship Id="rId81" Type="http://schemas.openxmlformats.org/officeDocument/2006/relationships/hyperlink" Target="https://www.defence.gov.au/ADC/Publications/documents/IndoPac/2017/Tam_feb17.pdf" TargetMode="External"/><Relationship Id="rId177" Type="http://schemas.openxmlformats.org/officeDocument/2006/relationships/hyperlink" Target="https://www.lowyinstitute.org/publications/australia-and-growing-reach-china-s-military" TargetMode="External"/><Relationship Id="rId384" Type="http://schemas.openxmlformats.org/officeDocument/2006/relationships/hyperlink" Target="https://drive.google.com/open?id=1g9ySx8aiwxaJqP3qS8LQl-9NGfXPH-oB" TargetMode="External"/><Relationship Id="rId591" Type="http://schemas.openxmlformats.org/officeDocument/2006/relationships/hyperlink" Target="https://drive.google.com/open?id=1aD8UAWBIdrsW94kY_TF5eiOLA9y2rCiv" TargetMode="External"/><Relationship Id="rId605" Type="http://schemas.openxmlformats.org/officeDocument/2006/relationships/hyperlink" Target="https://www.rand.org/pubs/research_reports/RRA534-1.html" TargetMode="External"/><Relationship Id="rId812" Type="http://schemas.openxmlformats.org/officeDocument/2006/relationships/hyperlink" Target="http://state.gov/" TargetMode="External"/><Relationship Id="rId1028" Type="http://schemas.openxmlformats.org/officeDocument/2006/relationships/hyperlink" Target="https://drive.google.com/open?id=1REpN7QoKOe4x8os2fTO5TAiYXyM6_NXU" TargetMode="External"/><Relationship Id="rId244" Type="http://schemas.openxmlformats.org/officeDocument/2006/relationships/hyperlink" Target="https://drive.google.com/open?id=1Y5mSAFBi8HAARoROk8Di_G6ig_fAjOYM" TargetMode="External"/><Relationship Id="rId689" Type="http://schemas.openxmlformats.org/officeDocument/2006/relationships/hyperlink" Target="https://drive.google.com/u/0/open?usp=forms_web&amp;id=13zrIL9P4_QN_9yvqHHfmSyDRLbT5B_Vg" TargetMode="External"/><Relationship Id="rId896" Type="http://schemas.openxmlformats.org/officeDocument/2006/relationships/hyperlink" Target="http://prif.org/" TargetMode="External"/><Relationship Id="rId39" Type="http://schemas.openxmlformats.org/officeDocument/2006/relationships/hyperlink" Target="https://drive.google.com/file/d/1OR1b8-pI0nx6H1kfNIxhfSWtcIcUyiez/view?usp=drivesdk" TargetMode="External"/><Relationship Id="rId451" Type="http://schemas.openxmlformats.org/officeDocument/2006/relationships/hyperlink" Target="https://drive.google.com/open?id=1I3tM0HbYEk21PUEdX_8UZVo8TQs1n9uU" TargetMode="External"/><Relationship Id="rId549" Type="http://schemas.openxmlformats.org/officeDocument/2006/relationships/hyperlink" Target="https://drive.google.com/open?id=1-Z29y6aVISeivKMQnewqzDdtgeRYSIfT" TargetMode="External"/><Relationship Id="rId756" Type="http://schemas.openxmlformats.org/officeDocument/2006/relationships/hyperlink" Target="https://drive.google.com/u/0/open?usp=forms_web&amp;id=1PfCKp6lb80Dq1W-TZG3E1zLNXem8qsHz" TargetMode="External"/><Relationship Id="rId104" Type="http://schemas.openxmlformats.org/officeDocument/2006/relationships/hyperlink" Target="https://doi.org/10.1080/03071847.2020.1723284" TargetMode="External"/><Relationship Id="rId188" Type="http://schemas.openxmlformats.org/officeDocument/2006/relationships/hyperlink" Target="https://drive.google.com/open?id=1F6kbawA8yn9a181NUDZGj6fPCznw9tb0" TargetMode="External"/><Relationship Id="rId311" Type="http://schemas.openxmlformats.org/officeDocument/2006/relationships/hyperlink" Target="https://drive.google.com/open?id=16ts0M9OAYLeG3l61HB_AJiTkkZwAI4DZ" TargetMode="External"/><Relationship Id="rId395" Type="http://schemas.openxmlformats.org/officeDocument/2006/relationships/hyperlink" Target="https://drive.google.com/open?id=14-d3CeQpy-zi8ukmsjYyBDImHZahwbex" TargetMode="External"/><Relationship Id="rId409" Type="http://schemas.openxmlformats.org/officeDocument/2006/relationships/hyperlink" Target="https://drive.google.com/open?id=1O2CEXPSrxykAM1ghJgXPEwcINkJFZe-8" TargetMode="External"/><Relationship Id="rId963" Type="http://schemas.openxmlformats.org/officeDocument/2006/relationships/hyperlink" Target="https://drive.google.com/u/0/open?usp=forms_web&amp;id=14-OBkkzjH7gNWv70186peFAf4SpBFxUr" TargetMode="External"/><Relationship Id="rId92" Type="http://schemas.openxmlformats.org/officeDocument/2006/relationships/hyperlink" Target="https://www.jstor.org/stable/pdf/resrep23031.pdf?ab_segments=0%252Fbasic_search_gsv2%252Fcontrol&amp;refreqid=excelsior%3A50e5fca860a62cae42f32937827a7e82" TargetMode="External"/><Relationship Id="rId616" Type="http://schemas.openxmlformats.org/officeDocument/2006/relationships/hyperlink" Target="https://www.gov.uk/government/organisations/ministry-of-defence" TargetMode="External"/><Relationship Id="rId823" Type="http://schemas.openxmlformats.org/officeDocument/2006/relationships/hyperlink" Target="https://drive.google.com/u/0/open?usp=forms_web&amp;id=1d6856sqwo1cCnTHjCRFYNMw_U4OKCQpv" TargetMode="External"/><Relationship Id="rId255" Type="http://schemas.openxmlformats.org/officeDocument/2006/relationships/hyperlink" Target="https://drive.google.com/open?id=14XaXeS-i-0yENZ0SnbXntSA-xHxD-j-b" TargetMode="External"/><Relationship Id="rId462" Type="http://schemas.openxmlformats.org/officeDocument/2006/relationships/hyperlink" Target="https://drive.google.com/open?id=1KExL98yTNFu-wEcqtihVGHhhaif8E4zC" TargetMode="External"/><Relationship Id="rId115" Type="http://schemas.openxmlformats.org/officeDocument/2006/relationships/hyperlink" Target="https://innovation.defense.gov/Portals/63/Templates/Updated%20Meeting%20Documents/5G%20UNCLASS%20PAPER_190404_FINAL.pdf" TargetMode="External"/><Relationship Id="rId322" Type="http://schemas.openxmlformats.org/officeDocument/2006/relationships/hyperlink" Target="https://drive.google.com/open?id=1RMb23UqWBlZy3OwP7fgYRzAlS4BNXS0c" TargetMode="External"/><Relationship Id="rId767" Type="http://schemas.openxmlformats.org/officeDocument/2006/relationships/hyperlink" Target="https://www.gov.uk/" TargetMode="External"/><Relationship Id="rId974" Type="http://schemas.openxmlformats.org/officeDocument/2006/relationships/hyperlink" Target="https://assets.publishing.service.gov.uk/" TargetMode="External"/><Relationship Id="rId199" Type="http://schemas.openxmlformats.org/officeDocument/2006/relationships/hyperlink" Target="https://drive.google.com/open?id=1XJjhRa37EOWKz8BZjwQa2iNjcrXD_QQH" TargetMode="External"/><Relationship Id="rId627" Type="http://schemas.openxmlformats.org/officeDocument/2006/relationships/hyperlink" Target="https://ac.nato.int/" TargetMode="External"/><Relationship Id="rId834" Type="http://schemas.openxmlformats.org/officeDocument/2006/relationships/hyperlink" Target="https://centerformaritimestrategy.org/" TargetMode="External"/><Relationship Id="rId266" Type="http://schemas.openxmlformats.org/officeDocument/2006/relationships/hyperlink" Target="https://drive.google.com/open?id=1j6pCfOzfbSJMMNmyqO1u_q0LXM5pcFAc" TargetMode="External"/><Relationship Id="rId473" Type="http://schemas.openxmlformats.org/officeDocument/2006/relationships/hyperlink" Target="https://drive.google.com/open?id=169jWqiNhAhKKSYCPYftG57LeYN23poet" TargetMode="External"/><Relationship Id="rId680" Type="http://schemas.openxmlformats.org/officeDocument/2006/relationships/hyperlink" Target="https://www.gov.uk/" TargetMode="External"/><Relationship Id="rId901" Type="http://schemas.openxmlformats.org/officeDocument/2006/relationships/hyperlink" Target="https://drive.google.com/u/0/open?usp=forms_web&amp;id=1dNawnwl45ugwkgpqq1JazFbAIz9ksS_H" TargetMode="External"/><Relationship Id="rId30" Type="http://schemas.openxmlformats.org/officeDocument/2006/relationships/hyperlink" Target="https://www.dni.gov/files/images/globalTrends/GT2040/GlobalTrends_2040_for_web1.pdf" TargetMode="External"/><Relationship Id="rId126" Type="http://schemas.openxmlformats.org/officeDocument/2006/relationships/hyperlink" Target="https://www.oecd-ilibrary.org/sites/df7ebc33-en/1/3/1/index.html?itemId=/content/publication/df7ebc33-en&amp;_csp_=cc4ae06ed263c4334853de24a3b5c7a9&amp;itemIGO=oecd&amp;itemContentType=book" TargetMode="External"/><Relationship Id="rId333" Type="http://schemas.openxmlformats.org/officeDocument/2006/relationships/hyperlink" Target="https://drive.google.com/open?id=13dpJHFmkKpJARegMwn7wkNEiRG9kj6YW" TargetMode="External"/><Relationship Id="rId540" Type="http://schemas.openxmlformats.org/officeDocument/2006/relationships/hyperlink" Target="https://drive.google.com/open?id=1BB7kxCfBm5I9xyYSo-aSrZyPqqsr8WWJ" TargetMode="External"/><Relationship Id="rId778" Type="http://schemas.openxmlformats.org/officeDocument/2006/relationships/hyperlink" Target="https://www.gov.uk/" TargetMode="External"/><Relationship Id="rId985" Type="http://schemas.openxmlformats.org/officeDocument/2006/relationships/hyperlink" Target="https://en.uit.no/" TargetMode="External"/><Relationship Id="rId638" Type="http://schemas.openxmlformats.org/officeDocument/2006/relationships/hyperlink" Target="https://drive.google.com/u/0/open?usp=forms_web&amp;id=1b6xdG3qV8juU54SMaAA_gbcIJ_b3Ijgv" TargetMode="External"/><Relationship Id="rId845" Type="http://schemas.openxmlformats.org/officeDocument/2006/relationships/hyperlink" Target="https://drive.google.com/u/0/open?usp=forms_web&amp;id=18wQe8w8hYLOT5CQhAaFM3HxLb2uFRPjN" TargetMode="External"/><Relationship Id="rId1030" Type="http://schemas.openxmlformats.org/officeDocument/2006/relationships/hyperlink" Target="https://drive.google.com/open?id=1uOlXEC80MRJAb3IWAIq41MLA9pzCSWtc" TargetMode="External"/><Relationship Id="rId277" Type="http://schemas.openxmlformats.org/officeDocument/2006/relationships/hyperlink" Target="https://drive.google.com/open?id=1kl0aDUT6S6sXofy34-3JrdCjjbQnlIL7" TargetMode="External"/><Relationship Id="rId400" Type="http://schemas.openxmlformats.org/officeDocument/2006/relationships/hyperlink" Target="https://drive.google.com/open?id=1I77jzjgrxmFzfUHLd2FP9AOoZOOMSuUG" TargetMode="External"/><Relationship Id="rId484" Type="http://schemas.openxmlformats.org/officeDocument/2006/relationships/hyperlink" Target="https://drive.google.com/open?id=1AURq_2htKIlptF2HRB5VFqomrrIhxXKp" TargetMode="External"/><Relationship Id="rId705" Type="http://schemas.openxmlformats.org/officeDocument/2006/relationships/hyperlink" Target="https://drive.google.com/u/0/open?usp=forms_web&amp;id=1TIKBFmHWl05WQLKaAWgxcM1vQBZtnS4n" TargetMode="External"/><Relationship Id="rId137" Type="http://schemas.openxmlformats.org/officeDocument/2006/relationships/hyperlink" Target="https://issafrica.org/research/southern-africa-report/angolan-futures-2050-beyond-oil" TargetMode="External"/><Relationship Id="rId344" Type="http://schemas.openxmlformats.org/officeDocument/2006/relationships/hyperlink" Target="https://drive.google.com/open?id=1xepgxlKHovLd_1FCUFlJU_qoLAp_Hej6" TargetMode="External"/><Relationship Id="rId691" Type="http://schemas.openxmlformats.org/officeDocument/2006/relationships/hyperlink" Target="https://drive.google.com/u/0/open?usp=forms_web&amp;id=1zoI1g0jJlGVQsfo4qDgooZNCAfIXhpkr" TargetMode="External"/><Relationship Id="rId789" Type="http://schemas.openxmlformats.org/officeDocument/2006/relationships/hyperlink" Target="https://drive.google.com/u/0/open?usp=forms_web&amp;id=1zV8ESLakYiklxoVC6zAvjMOVzkCaUCGg" TargetMode="External"/><Relationship Id="rId912" Type="http://schemas.openxmlformats.org/officeDocument/2006/relationships/hyperlink" Target="https://www.swcs.mil/Portals" TargetMode="External"/><Relationship Id="rId996" Type="http://schemas.openxmlformats.org/officeDocument/2006/relationships/hyperlink" Target="https://drive.google.com/u/0/open?usp=forms_web&amp;id=1s_iQZGOmmLU4b2S8ur6mh-zuAB2J9Kod" TargetMode="External"/><Relationship Id="rId41" Type="http://schemas.openxmlformats.org/officeDocument/2006/relationships/hyperlink" Target="https://issafrica.org/research/africa-report/africas-combined-exclusive-maritime-zone-concept" TargetMode="External"/><Relationship Id="rId551" Type="http://schemas.openxmlformats.org/officeDocument/2006/relationships/hyperlink" Target="https://drive.google.com/open?id=1E5AZ8lZTXXquAHp9HLARigIU-9KDB92h" TargetMode="External"/><Relationship Id="rId649" Type="http://schemas.openxmlformats.org/officeDocument/2006/relationships/hyperlink" Target="https://drive.google.com/u/0/open?usp=forms_web&amp;id=1ck67rSGmam5q3UWzTWGuC7O_RdlQs0Bn" TargetMode="External"/><Relationship Id="rId856" Type="http://schemas.openxmlformats.org/officeDocument/2006/relationships/hyperlink" Target="https://roec.biz/" TargetMode="External"/><Relationship Id="rId190" Type="http://schemas.openxmlformats.org/officeDocument/2006/relationships/hyperlink" Target="https://drive.google.com/open?id=1JlTdf-a4IhQDQpjJndw96CCOxsNAaxdi" TargetMode="External"/><Relationship Id="rId204" Type="http://schemas.openxmlformats.org/officeDocument/2006/relationships/hyperlink" Target="https://drive.google.com/open?id=14E3cHcNm90bZcV8JRh-WhDdC5r_eOwZs" TargetMode="External"/><Relationship Id="rId288" Type="http://schemas.openxmlformats.org/officeDocument/2006/relationships/hyperlink" Target="https://drive.google.com/open?id=1b4Wg47QnlYtiSgz0xgiA23_TXuoSM_1T" TargetMode="External"/><Relationship Id="rId411" Type="http://schemas.openxmlformats.org/officeDocument/2006/relationships/hyperlink" Target="https://drive.google.com/open?id=1fQFrVMTtQyLUfAvHVZ1WeoBeD6SMYjdQ" TargetMode="External"/><Relationship Id="rId509" Type="http://schemas.openxmlformats.org/officeDocument/2006/relationships/hyperlink" Target="https://drive.google.com/open?id=1HpRhPiQQPm3f8w1b3yWIt0Y6ijv_Hi6H" TargetMode="External"/><Relationship Id="rId495" Type="http://schemas.openxmlformats.org/officeDocument/2006/relationships/hyperlink" Target="https://drive.google.com/open?id=1Vc5LYqK2lbHJPYHeTqLphd2L1cb0-ZvK" TargetMode="External"/><Relationship Id="rId716" Type="http://schemas.openxmlformats.org/officeDocument/2006/relationships/hyperlink" Target="https://rusi.org/" TargetMode="External"/><Relationship Id="rId923" Type="http://schemas.openxmlformats.org/officeDocument/2006/relationships/hyperlink" Target="https://drive.google.com/u/0/open?usp=forms_web&amp;id=1FS7eyFAHdDTNHXRKgQIIVEtmwygGGidI" TargetMode="External"/><Relationship Id="rId52" Type="http://schemas.openxmlformats.org/officeDocument/2006/relationships/hyperlink" Target="https://issafrica.org/research/peace-and-security-council-report/peace-and-security-council-report-no-131" TargetMode="External"/><Relationship Id="rId148" Type="http://schemas.openxmlformats.org/officeDocument/2006/relationships/hyperlink" Target="https://www.csis.org/analysis/nato-futures-three-trajectories" TargetMode="External"/><Relationship Id="rId355" Type="http://schemas.openxmlformats.org/officeDocument/2006/relationships/hyperlink" Target="https://drive.google.com/open?id=1EVjHhTADd9b6MzfsirnyjVwWkkR9t75D" TargetMode="External"/><Relationship Id="rId562" Type="http://schemas.openxmlformats.org/officeDocument/2006/relationships/hyperlink" Target="https://drive.google.com/open?id=1uTdNr4FVypnHbt_8y8B5v8tvl2J2uQAa" TargetMode="External"/><Relationship Id="rId215" Type="http://schemas.openxmlformats.org/officeDocument/2006/relationships/hyperlink" Target="https://drive.google.com/open?id=1TbH0PZ131jnjw8HnXKsitevZsZfBXnJF" TargetMode="External"/><Relationship Id="rId422" Type="http://schemas.openxmlformats.org/officeDocument/2006/relationships/hyperlink" Target="https://drive.google.com/open?id=1gifxf9qcT1G57GUFyyLUEwEWwsAz5P3D" TargetMode="External"/><Relationship Id="rId867" Type="http://schemas.openxmlformats.org/officeDocument/2006/relationships/hyperlink" Target="https://drive.google.com/u/0/open?usp=forms_web&amp;id=1deRsznHOKXlTz_ZXz5q1YwL-wXI1pnWJ" TargetMode="External"/><Relationship Id="rId299" Type="http://schemas.openxmlformats.org/officeDocument/2006/relationships/hyperlink" Target="https://drive.google.com/open?id=1ibkcRwa3s2sHWHbc7X_9B2fpH4ETk-7J" TargetMode="External"/><Relationship Id="rId727" Type="http://schemas.openxmlformats.org/officeDocument/2006/relationships/hyperlink" Target="https://drive.google.com/u/0/open?usp=forms_web&amp;id=1waNmHDi5cp4F4flDuljVPiUkOBZZCE2f" TargetMode="External"/><Relationship Id="rId934" Type="http://schemas.openxmlformats.org/officeDocument/2006/relationships/hyperlink" Target="https://drive.google.com/u/0/open?usp=forms_web&amp;id=13SO2IpEvpF36Q-n8RVLstQ5RZeWk99Vy" TargetMode="External"/><Relationship Id="rId63" Type="http://schemas.openxmlformats.org/officeDocument/2006/relationships/hyperlink" Target="https://peacekeeping.un.org/sites/default/files/dcaf_future_of_un_peacekeeping_from_ssr_perspective.pdf" TargetMode="External"/><Relationship Id="rId159" Type="http://schemas.openxmlformats.org/officeDocument/2006/relationships/hyperlink" Target="https://www.ajsrp.com/journal/index.php/jaevs/article/view/3506" TargetMode="External"/><Relationship Id="rId366" Type="http://schemas.openxmlformats.org/officeDocument/2006/relationships/hyperlink" Target="https://drive.google.com/open?id=1pAbhDszxuaFQwRm8uNmSyZXSwq-Xq16L" TargetMode="External"/><Relationship Id="rId573" Type="http://schemas.openxmlformats.org/officeDocument/2006/relationships/hyperlink" Target="https://drive.google.com/open?id=14UkSxlU156XsJomxhGiRiR3wQ1DTxbyd" TargetMode="External"/><Relationship Id="rId780" Type="http://schemas.openxmlformats.org/officeDocument/2006/relationships/hyperlink" Target="https://www.defesa.gov.pt/pt" TargetMode="External"/><Relationship Id="rId226" Type="http://schemas.openxmlformats.org/officeDocument/2006/relationships/hyperlink" Target="https://drive.google.com/open?id=1raz0kcwGeDEI_ljxIGQ-svxRYIFdzb0v" TargetMode="External"/><Relationship Id="rId433" Type="http://schemas.openxmlformats.org/officeDocument/2006/relationships/hyperlink" Target="https://drive.google.com/open?id=1lqvv0Cg7_M7yTmM5a0qMbCSPndDsmZLR" TargetMode="External"/><Relationship Id="rId878" Type="http://schemas.openxmlformats.org/officeDocument/2006/relationships/hyperlink" Target="https://english.nudt.edu.cn/" TargetMode="External"/><Relationship Id="rId640" Type="http://schemas.openxmlformats.org/officeDocument/2006/relationships/hyperlink" Target="https://drive.google.com/u/0/open?usp=forms_web&amp;id=1CvAERsQvUJoEMVOX4PxN3iQtPjNJesiK" TargetMode="External"/><Relationship Id="rId738" Type="http://schemas.openxmlformats.org/officeDocument/2006/relationships/hyperlink" Target="https://www.gov.uk/government/publications/international-defence-expenditure-2024/background-quality-report-international-defence-statistics-2024" TargetMode="External"/><Relationship Id="rId945" Type="http://schemas.openxmlformats.org/officeDocument/2006/relationships/hyperlink" Target="https://drive.google.com/u/0/open?usp=forms_web&amp;id=1sp6mA1UXHx-b-iiHnVWHLdLAVUPorIta" TargetMode="External"/><Relationship Id="rId74" Type="http://schemas.openxmlformats.org/officeDocument/2006/relationships/hyperlink" Target="https://www.navy.gov.au/sites/default/files/documents/spc/Indonesia_Australia_Challenges_.pdf" TargetMode="External"/><Relationship Id="rId377" Type="http://schemas.openxmlformats.org/officeDocument/2006/relationships/hyperlink" Target="https://drive.google.com/open?id=1WoYBEgQIewwnFO0PSm52zIcv6GAWEUUk" TargetMode="External"/><Relationship Id="rId500" Type="http://schemas.openxmlformats.org/officeDocument/2006/relationships/hyperlink" Target="https://drive.google.com/open?id=1WL8x6PuW2xl5RjntQ_E6WdyUtH1zrkG-" TargetMode="External"/><Relationship Id="rId584" Type="http://schemas.openxmlformats.org/officeDocument/2006/relationships/hyperlink" Target="https://drive.google.com/open?id=1YUhNbUpxVtCSbNN9FzHNNsiGKnd0vVc4" TargetMode="External"/><Relationship Id="rId805" Type="http://schemas.openxmlformats.org/officeDocument/2006/relationships/hyperlink" Target="https://drive.google.com/u/0/open?usp=forms_web&amp;id=1qdEt1q8WFtkV6V0SU10mdWHGeHD0iyXc" TargetMode="External"/><Relationship Id="rId5" Type="http://schemas.openxmlformats.org/officeDocument/2006/relationships/hyperlink" Target="https://www.rand.org/pubs/conf_proceedings/CF384.html" TargetMode="External"/><Relationship Id="rId237" Type="http://schemas.openxmlformats.org/officeDocument/2006/relationships/hyperlink" Target="https://drive.google.com/open?id=1dSkoTvND95Eu8KdUF-36Suou9KzOdRpE" TargetMode="External"/><Relationship Id="rId791" Type="http://schemas.openxmlformats.org/officeDocument/2006/relationships/hyperlink" Target="https://drive.google.com/u/0/open?usp=forms_web&amp;id=1U80AY0Ykmo5kq9rybcGvUPIHpWAdq64t" TargetMode="External"/><Relationship Id="rId889" Type="http://schemas.openxmlformats.org/officeDocument/2006/relationships/hyperlink" Target="https://drive.google.com/u/0/open?usp=forms_web&amp;id=1pHMRPKXAauyq0iXgzdEV4QQvpkOOTu_x" TargetMode="External"/><Relationship Id="rId444" Type="http://schemas.openxmlformats.org/officeDocument/2006/relationships/hyperlink" Target="https://drive.google.com/open?id=1-xzuO4BxiOHyhCookSqmNcT25F-1xvX7" TargetMode="External"/><Relationship Id="rId651" Type="http://schemas.openxmlformats.org/officeDocument/2006/relationships/hyperlink" Target="https://drive.google.com/u/0/open?usp=forms_web&amp;id=1fx2VS-VAXx5htOcJlqvO8oMS5dVCIQx1" TargetMode="External"/><Relationship Id="rId749" Type="http://schemas.openxmlformats.org/officeDocument/2006/relationships/hyperlink" Target="https://www.csis.org/" TargetMode="External"/><Relationship Id="rId290" Type="http://schemas.openxmlformats.org/officeDocument/2006/relationships/hyperlink" Target="https://drive.google.com/open?id=1p80skjUnrNhhC3_WY_GwdgHjlmCnf5-4" TargetMode="External"/><Relationship Id="rId304" Type="http://schemas.openxmlformats.org/officeDocument/2006/relationships/hyperlink" Target="https://drive.google.com/open?id=1yAOpgSw6sHyGtvIqFQWOG3ZAi793hGU0" TargetMode="External"/><Relationship Id="rId388" Type="http://schemas.openxmlformats.org/officeDocument/2006/relationships/hyperlink" Target="https://drive.google.com/open?id=1xYhhANDqqp68I6KbU3mVDelTGUZu8Gu6" TargetMode="External"/><Relationship Id="rId511" Type="http://schemas.openxmlformats.org/officeDocument/2006/relationships/hyperlink" Target="https://drive.google.com/open?id=1ZAeJe6ZkT6cyijOMt2EtD2DOCLCoXitW" TargetMode="External"/><Relationship Id="rId609" Type="http://schemas.openxmlformats.org/officeDocument/2006/relationships/hyperlink" Target="https://au.int/sites/default/files/documents/36204-doc-agenda2063_popular_version_en.pdf" TargetMode="External"/><Relationship Id="rId956" Type="http://schemas.openxmlformats.org/officeDocument/2006/relationships/hyperlink" Target="https://drive.google.com/u/0/open?usp=forms_web&amp;id=1Fwo6qXUMtfwuE0QrxyyAW9u6qhQ4PAhD" TargetMode="External"/><Relationship Id="rId85" Type="http://schemas.openxmlformats.org/officeDocument/2006/relationships/hyperlink" Target="https://www.dst.defence.gov.au/sites/default/files/publications/documents/DST-Group-TR-3716_0.pdf" TargetMode="External"/><Relationship Id="rId150" Type="http://schemas.openxmlformats.org/officeDocument/2006/relationships/hyperlink" Target="https://imccs.org/wp-content/uploads/2021/06/World-Climate-and-Security-Report-2021.pdf" TargetMode="External"/><Relationship Id="rId595" Type="http://schemas.openxmlformats.org/officeDocument/2006/relationships/hyperlink" Target="https://drive.google.com/open?id=18EtJEgGlGUvXv25dMVxxT5BNL7D_UBU1" TargetMode="External"/><Relationship Id="rId816" Type="http://schemas.openxmlformats.org/officeDocument/2006/relationships/hyperlink" Target="https://twq.elliott.gwu.edu/" TargetMode="External"/><Relationship Id="rId1001" Type="http://schemas.openxmlformats.org/officeDocument/2006/relationships/hyperlink" Target="https://www.uq.edu.au/" TargetMode="External"/><Relationship Id="rId248" Type="http://schemas.openxmlformats.org/officeDocument/2006/relationships/hyperlink" Target="https://drive.google.com/open?id=1q2LRPs4-Y5KcTMWnbY8-Lh_kN1HyPaBG" TargetMode="External"/><Relationship Id="rId455" Type="http://schemas.openxmlformats.org/officeDocument/2006/relationships/hyperlink" Target="https://drive.google.com/open?id=13zchSG5hA3yS-Z3xh5379G6XpT7aBUeq" TargetMode="External"/><Relationship Id="rId662" Type="http://schemas.openxmlformats.org/officeDocument/2006/relationships/hyperlink" Target="https://www.gov.uk/" TargetMode="External"/><Relationship Id="rId12" Type="http://schemas.openxmlformats.org/officeDocument/2006/relationships/hyperlink" Target="https://www.cgdev.org/sites/default/files/horizon-2025-end-beginning-development-cooperation-pandemic-age.pdf" TargetMode="External"/><Relationship Id="rId108" Type="http://schemas.openxmlformats.org/officeDocument/2006/relationships/hyperlink" Target="https://thf_media.s3.amazonaws.com/2020/Index%20of%20Military%20Strength/PDFs/FINAL/2021_IndexOfUSMilitaryStrength_WEB.pdf" TargetMode="External"/><Relationship Id="rId315" Type="http://schemas.openxmlformats.org/officeDocument/2006/relationships/hyperlink" Target="https://drive.google.com/open?id=1gqN0EL1xN2gKZvictwLf2dIobt4V6ncA" TargetMode="External"/><Relationship Id="rId522" Type="http://schemas.openxmlformats.org/officeDocument/2006/relationships/hyperlink" Target="https://drive.google.com/open?id=1lemg05C1D_0JYQ8ehiWc5EeY_TpdywxY" TargetMode="External"/><Relationship Id="rId967" Type="http://schemas.openxmlformats.org/officeDocument/2006/relationships/hyperlink" Target="https://drive.google.com/u/0/open?usp=forms_web&amp;id=1luDnFViVHg3LIJni2g7nCYq6g0wHFykH" TargetMode="External"/><Relationship Id="rId96" Type="http://schemas.openxmlformats.org/officeDocument/2006/relationships/hyperlink" Target="https://www.jstor.org/stable/pdf/resrep23032.pdf?ab_segments=0%252Fbasic_search_gsv2%252Fcontrol&amp;refreqid=excelsior%3A2e7523f356188dc4407d0e0df00fb9fb" TargetMode="External"/><Relationship Id="rId161" Type="http://schemas.openxmlformats.org/officeDocument/2006/relationships/hyperlink" Target="https://www.defence.govt.nz/assets/publication/file/Increasing-Defence-Diplomatic-Presence-in-the-Pacific.pdf" TargetMode="External"/><Relationship Id="rId399" Type="http://schemas.openxmlformats.org/officeDocument/2006/relationships/hyperlink" Target="https://drive.google.com/open?id=1j1TbZXtULZZwHLHfUzd3Tull2QJDxTCV" TargetMode="External"/><Relationship Id="rId827" Type="http://schemas.openxmlformats.org/officeDocument/2006/relationships/hyperlink" Target="https://drive.google.com/u/0/open?usp=forms_web&amp;id=1JlRC3rvQUWenbUVQ0jr4NqsMy3OmSpEu" TargetMode="External"/><Relationship Id="rId1012" Type="http://schemas.openxmlformats.org/officeDocument/2006/relationships/hyperlink" Target="https://drive.google.com/u/0/open?usp=forms_web&amp;id=1ME8fJ_5sxswgrs5Uw8DjVFZLB6qYP4_X" TargetMode="External"/><Relationship Id="rId259" Type="http://schemas.openxmlformats.org/officeDocument/2006/relationships/hyperlink" Target="https://drive.google.com/open?id=1MzenNiOCBXNIoI1WDKF3NOykxhw-Fq98" TargetMode="External"/><Relationship Id="rId466" Type="http://schemas.openxmlformats.org/officeDocument/2006/relationships/hyperlink" Target="https://issuu.com/un_montenegro/docs/mne_new_voices_pub_report_3.0" TargetMode="External"/><Relationship Id="rId673" Type="http://schemas.openxmlformats.org/officeDocument/2006/relationships/hyperlink" Target="https://drive.google.com/u/0/open?usp=forms_web&amp;id=1pscc2CBFwhf8Av6TiILeS2qwd4rP5ANU" TargetMode="External"/><Relationship Id="rId880" Type="http://schemas.openxmlformats.org/officeDocument/2006/relationships/hyperlink" Target="https://www.zju.edu.cn/english/" TargetMode="External"/><Relationship Id="rId23" Type="http://schemas.openxmlformats.org/officeDocument/2006/relationships/hyperlink" Target="https://www.rand.org/pubs/research_reports/RR3147.html" TargetMode="External"/><Relationship Id="rId119" Type="http://schemas.openxmlformats.org/officeDocument/2006/relationships/hyperlink" Target="https://www.cigionline.org/publications/canadas-arctic-agenda-vortex" TargetMode="External"/><Relationship Id="rId326" Type="http://schemas.openxmlformats.org/officeDocument/2006/relationships/hyperlink" Target="https://drive.google.com/open?id=15uECjhXmD1QxUBjRvRVQavGf0Jo9PZ0o" TargetMode="External"/><Relationship Id="rId533" Type="http://schemas.openxmlformats.org/officeDocument/2006/relationships/hyperlink" Target="https://drive.google.com/open?id=13CWcUrUPI5gr1Fd3VWaLO5_EkMV1k-86" TargetMode="External"/><Relationship Id="rId978" Type="http://schemas.openxmlformats.org/officeDocument/2006/relationships/hyperlink" Target="https://drive.google.com/u/0/open?usp=forms_web&amp;id=1YF6wt8Y5_xZATsmGp-DOIERvqAV72rxS" TargetMode="External"/><Relationship Id="rId740" Type="http://schemas.openxmlformats.org/officeDocument/2006/relationships/hyperlink" Target="https://www.gov.uk/" TargetMode="External"/><Relationship Id="rId838" Type="http://schemas.openxmlformats.org/officeDocument/2006/relationships/hyperlink" Target="https://www.mod.gov.lv/lv" TargetMode="External"/><Relationship Id="rId1023" Type="http://schemas.openxmlformats.org/officeDocument/2006/relationships/hyperlink" Target="https://drive.google.com/u/0/open?usp=forms_web&amp;id=1lThEkwAjuTgSTebxvjfuiiPsIva0HCbk" TargetMode="External"/><Relationship Id="rId172" Type="http://schemas.openxmlformats.org/officeDocument/2006/relationships/hyperlink" Target="https://www.rand.org/pubs/research_reports/RRA1309-1.html" TargetMode="External"/><Relationship Id="rId477" Type="http://schemas.openxmlformats.org/officeDocument/2006/relationships/hyperlink" Target="https://drive.google.com/open?id=1G6VjX91vVQQC_rvknnIJ0eL-hYt1JXZS" TargetMode="External"/><Relationship Id="rId600" Type="http://schemas.openxmlformats.org/officeDocument/2006/relationships/hyperlink" Target="https://drive.google.com/open?id=1Ufqz02c43lNXUpTsel330MVk_esZ76XY" TargetMode="External"/><Relationship Id="rId684" Type="http://schemas.openxmlformats.org/officeDocument/2006/relationships/hyperlink" Target="https://www.gov.uk/" TargetMode="External"/><Relationship Id="rId337" Type="http://schemas.openxmlformats.org/officeDocument/2006/relationships/hyperlink" Target="https://drive.google.com/open?id=1ScrJprNI_A5e9paubFm2h9osL-9KFXz3" TargetMode="External"/><Relationship Id="rId891" Type="http://schemas.openxmlformats.org/officeDocument/2006/relationships/hyperlink" Target="https://drive.google.com/u/0/open?usp=forms_web&amp;id=1bgVVnDliHAbva70beCmugaAxQQ9rW2aS" TargetMode="External"/><Relationship Id="rId905" Type="http://schemas.openxmlformats.org/officeDocument/2006/relationships/hyperlink" Target="https://drive.google.com/u/0/open?usp=forms_web&amp;id=1MWhKLLeq9mhZ0tLX_wNXtLmwKPpIsMjF" TargetMode="External"/><Relationship Id="rId989" Type="http://schemas.openxmlformats.org/officeDocument/2006/relationships/hyperlink" Target="https://drive.google.com/u/0/open?usp=forms_web&amp;id=1MCHxmaIDaRrn6kpmkvxUHoLTj2qb1pZ7" TargetMode="External"/><Relationship Id="rId34" Type="http://schemas.openxmlformats.org/officeDocument/2006/relationships/hyperlink" Target="https://drive.google.com/file/d/1Nbvycddazj4n2iSMZi1yfPzGcGvQfHgI/view?usp=drivesdk" TargetMode="External"/><Relationship Id="rId544" Type="http://schemas.openxmlformats.org/officeDocument/2006/relationships/hyperlink" Target="https://drive.google.com/open?id=1LkKjvqGWY0ci1wuHoLCpaFInEPtty9Ri" TargetMode="External"/><Relationship Id="rId751" Type="http://schemas.openxmlformats.org/officeDocument/2006/relationships/hyperlink" Target="https://rusi.org/" TargetMode="External"/><Relationship Id="rId849" Type="http://schemas.openxmlformats.org/officeDocument/2006/relationships/hyperlink" Target="https://drive.google.com/u/0/open?usp=forms_web&amp;id=1RmXBMzEvLdr5Tcf86XtgTek5Dd-lWfzO" TargetMode="External"/><Relationship Id="rId183" Type="http://schemas.openxmlformats.org/officeDocument/2006/relationships/hyperlink" Target="https://drive.google.com/open?id=1fr91wJk4B0iSmV3KrF6NXeHfcxBKRUQh" TargetMode="External"/><Relationship Id="rId390" Type="http://schemas.openxmlformats.org/officeDocument/2006/relationships/hyperlink" Target="https://drive.google.com/open?id=1ly3_0VfWkww5tk9424eU9YVZUvWalhYN" TargetMode="External"/><Relationship Id="rId404" Type="http://schemas.openxmlformats.org/officeDocument/2006/relationships/hyperlink" Target="https://drive.google.com/open?id=1vb827tThc7COdldeaX1p8viUbzWvKTCL" TargetMode="External"/><Relationship Id="rId611" Type="http://schemas.openxmlformats.org/officeDocument/2006/relationships/hyperlink" Target="https://www.forecastinternational.com/showpdf.cfm?wpid=29" TargetMode="External"/><Relationship Id="rId250" Type="http://schemas.openxmlformats.org/officeDocument/2006/relationships/hyperlink" Target="https://drive.google.com/open?id=1nmNGpqFWj6XVUfvj7YNAGdSuGXvVX85q" TargetMode="External"/><Relationship Id="rId488" Type="http://schemas.openxmlformats.org/officeDocument/2006/relationships/hyperlink" Target="https://drive.google.com/open?id=1_WsNqQ89sKGXC8zZOEiR7r_b2tvBVYSo" TargetMode="External"/><Relationship Id="rId695" Type="http://schemas.openxmlformats.org/officeDocument/2006/relationships/hyperlink" Target="https://drive.google.com/u/0/open?usp=forms_web&amp;id=19bYDpVJZbCN-zO4MzVCxpD-bG_LEIk_m" TargetMode="External"/><Relationship Id="rId709" Type="http://schemas.openxmlformats.org/officeDocument/2006/relationships/hyperlink" Target="https://drive.google.com/u/0/open?usp=forms_web&amp;id=1jACKsaCmCZnPW0n4fFdOua-jtTWliY4t" TargetMode="External"/><Relationship Id="rId916" Type="http://schemas.openxmlformats.org/officeDocument/2006/relationships/hyperlink" Target="http://www.reei.org/" TargetMode="External"/><Relationship Id="rId45" Type="http://schemas.openxmlformats.org/officeDocument/2006/relationships/hyperlink" Target="https://www.europarl.europa.eu/doceo/document/A-9-2020-0129_EN.html" TargetMode="External"/><Relationship Id="rId110" Type="http://schemas.openxmlformats.org/officeDocument/2006/relationships/hyperlink" Target="https://www.forecastinternational.com/showpdf.cfm?wpid=24" TargetMode="External"/><Relationship Id="rId348" Type="http://schemas.openxmlformats.org/officeDocument/2006/relationships/hyperlink" Target="https://drive.google.com/open?id=1JQkyKzZq0j_pgD9AAFC4t8zuRDv88TFX" TargetMode="External"/><Relationship Id="rId555" Type="http://schemas.openxmlformats.org/officeDocument/2006/relationships/hyperlink" Target="https://drive.google.com/open?id=14wIA1TZycOVQngCgqOorj1GYuzCNm5I6" TargetMode="External"/><Relationship Id="rId762" Type="http://schemas.openxmlformats.org/officeDocument/2006/relationships/hyperlink" Target="https://drive.google.com/u/0/open?usp=forms_web&amp;id=1GoVl2Tvc5yH_3P6W_w-4j9qPLW81BkeS" TargetMode="External"/><Relationship Id="rId194" Type="http://schemas.openxmlformats.org/officeDocument/2006/relationships/hyperlink" Target="https://drive.google.com/open?id=1PQhew-UNTTYhI9Bw5a-ikdzrJUuMs5bE" TargetMode="External"/><Relationship Id="rId208" Type="http://schemas.openxmlformats.org/officeDocument/2006/relationships/hyperlink" Target="https://drive.google.com/open?id=1MKYYiiNqeMigs47Njc_XTcX_ysj6fyVr" TargetMode="External"/><Relationship Id="rId415" Type="http://schemas.openxmlformats.org/officeDocument/2006/relationships/hyperlink" Target="https://drive.google.com/open?id=1djIDCW5pPCi3whLgRXkQxV9q7vkjyGqp" TargetMode="External"/><Relationship Id="rId622" Type="http://schemas.openxmlformats.org/officeDocument/2006/relationships/hyperlink" Target="https://rusi.org/" TargetMode="External"/><Relationship Id="rId261" Type="http://schemas.openxmlformats.org/officeDocument/2006/relationships/hyperlink" Target="https://drive.google.com/open?id=1dhzQ6KuRodI1UX_liGPbyj3paMO9DZdX" TargetMode="External"/><Relationship Id="rId499" Type="http://schemas.openxmlformats.org/officeDocument/2006/relationships/hyperlink" Target="https://drive.google.com/open?id=1aJdB1WHxJzXqfX4frkxXoGPD7TvLnKsg" TargetMode="External"/><Relationship Id="rId927" Type="http://schemas.openxmlformats.org/officeDocument/2006/relationships/hyperlink" Target="https://drive.google.com/u/0/open?usp=forms_web&amp;id=1-ntpL6fxb1IhnDYRywDwKKCAd1nB8TOT" TargetMode="External"/><Relationship Id="rId56" Type="http://schemas.openxmlformats.org/officeDocument/2006/relationships/hyperlink" Target="https://issafrica.org/research/africa-report/looking-back-looking-forward-south-africa-in-the-un-security-council" TargetMode="External"/><Relationship Id="rId359" Type="http://schemas.openxmlformats.org/officeDocument/2006/relationships/hyperlink" Target="https://drive.google.com/open?id=18ls2vx-9FM5QKPtinivxpO19KP9s-1jb" TargetMode="External"/><Relationship Id="rId566" Type="http://schemas.openxmlformats.org/officeDocument/2006/relationships/hyperlink" Target="https://drive.google.com/open?id=1GFH4lZqB6O69tZqmESzeR7jWp3G3gIKG" TargetMode="External"/><Relationship Id="rId773" Type="http://schemas.openxmlformats.org/officeDocument/2006/relationships/hyperlink" Target="https://www.unizg.hr/homepage/" TargetMode="External"/><Relationship Id="rId121" Type="http://schemas.openxmlformats.org/officeDocument/2006/relationships/hyperlink" Target="https://www.jstor.org/stable/resrep25779.1?refreqid=excelsior%3Ac3785431a5608b122b5c0ca19efd0ea1&amp;seq=1" TargetMode="External"/><Relationship Id="rId219" Type="http://schemas.openxmlformats.org/officeDocument/2006/relationships/hyperlink" Target="https://drive.google.com/open?id=1G_A5VKqcNdVDKbv6TR0cFZEy6mJ_vBUJ" TargetMode="External"/><Relationship Id="rId426" Type="http://schemas.openxmlformats.org/officeDocument/2006/relationships/hyperlink" Target="https://drive.google.com/open?id=1z7HcJMVpi-62a-JvDvrxKkrvZYrKj1Hc" TargetMode="External"/><Relationship Id="rId633" Type="http://schemas.openxmlformats.org/officeDocument/2006/relationships/hyperlink" Target="https://www.mfa.gov.lv/" TargetMode="External"/><Relationship Id="rId980" Type="http://schemas.openxmlformats.org/officeDocument/2006/relationships/hyperlink" Target="https://drive.google.com/u/0/open?usp=forms_web&amp;id=11aPs1RrUKlQOkvzaVxezdq-O1ImnBtEG" TargetMode="External"/><Relationship Id="rId840" Type="http://schemas.openxmlformats.org/officeDocument/2006/relationships/hyperlink" Target="https://www.mod.gov.lv/lv" TargetMode="External"/><Relationship Id="rId938" Type="http://schemas.openxmlformats.org/officeDocument/2006/relationships/hyperlink" Target="https://dr.ntu.edu.sg/handle/10356/163540" TargetMode="External"/><Relationship Id="rId67" Type="http://schemas.openxmlformats.org/officeDocument/2006/relationships/hyperlink" Target="https://www.sipri.org/publications/2019/other-publications/securing-legitimate-stability-car-external-assumptions-and-local-perspectives" TargetMode="External"/><Relationship Id="rId272" Type="http://schemas.openxmlformats.org/officeDocument/2006/relationships/hyperlink" Target="https://drive.google.com/open?id=1dniUplZLu5m6esPaBNxJ7l8A-og4THB1" TargetMode="External"/><Relationship Id="rId577" Type="http://schemas.openxmlformats.org/officeDocument/2006/relationships/hyperlink" Target="https://drive.google.com/open?id=1EGGDN1nFAjNOhMalaHUSLOfeTQ3P7vSk" TargetMode="External"/><Relationship Id="rId700" Type="http://schemas.openxmlformats.org/officeDocument/2006/relationships/hyperlink" Target="https://www.gov.uk/" TargetMode="External"/><Relationship Id="rId132" Type="http://schemas.openxmlformats.org/officeDocument/2006/relationships/hyperlink" Target="https://www.dst.defence.gov.au/sites/default/files/publications/documents/Forward-2035.pdf" TargetMode="External"/><Relationship Id="rId784" Type="http://schemas.openxmlformats.org/officeDocument/2006/relationships/hyperlink" Target="https://eufuture.nova-uni.si/" TargetMode="External"/><Relationship Id="rId991" Type="http://schemas.openxmlformats.org/officeDocument/2006/relationships/hyperlink" Target="https://drive.google.com/u/0/open?usp=forms_web&amp;id=19gxndGsn3c5OU94kFpo_sPsQvlS9l-67" TargetMode="External"/><Relationship Id="rId437" Type="http://schemas.openxmlformats.org/officeDocument/2006/relationships/hyperlink" Target="https://drive.google.com/open?id=1x9-bjPJJQPud3gcZnO778PJ34a914e3-" TargetMode="External"/><Relationship Id="rId644" Type="http://schemas.openxmlformats.org/officeDocument/2006/relationships/hyperlink" Target="https://www.ffi.no/en" TargetMode="External"/><Relationship Id="rId851" Type="http://schemas.openxmlformats.org/officeDocument/2006/relationships/hyperlink" Target="https://drive.google.com/u/0/open?usp=forms_web&amp;id=1PEUv3r1bnEMOYd8n5DhIBa6ms2xyqAFE" TargetMode="External"/><Relationship Id="rId283" Type="http://schemas.openxmlformats.org/officeDocument/2006/relationships/hyperlink" Target="https://drive.google.com/open?id=10_iSlYRHfAlMK2vj_85oAe08rCbfbnmT" TargetMode="External"/><Relationship Id="rId490" Type="http://schemas.openxmlformats.org/officeDocument/2006/relationships/hyperlink" Target="https://drive.google.com/open?id=1hMQGBSr13vxtzXWhheXctKZzKq34kZSZ" TargetMode="External"/><Relationship Id="rId504" Type="http://schemas.openxmlformats.org/officeDocument/2006/relationships/hyperlink" Target="https://drive.google.com/open?id=1rQQCiq9LUoqvC8xFR5SBY2up2rucNqbv" TargetMode="External"/><Relationship Id="rId711" Type="http://schemas.openxmlformats.org/officeDocument/2006/relationships/hyperlink" Target="https://drive.google.com/u/0/open?usp=forms_web&amp;id=1V2fDztyAA9qLUIK0UDi-sGK9ReLWkVYs" TargetMode="External"/><Relationship Id="rId949" Type="http://schemas.openxmlformats.org/officeDocument/2006/relationships/hyperlink" Target="https://drive.google.com/u/0/open?usp=forms_web&amp;id=1cBnkpECcoYHPrkOh__YYVCwqeptJVGXN" TargetMode="External"/><Relationship Id="rId78" Type="http://schemas.openxmlformats.org/officeDocument/2006/relationships/hyperlink" Target="https://www.defence.gov.au/adc/Publications/ajdss/documents/volume2-number2/WEB-AJDSS-complete-interactive.pdf" TargetMode="External"/><Relationship Id="rId143" Type="http://schemas.openxmlformats.org/officeDocument/2006/relationships/hyperlink" Target="https://igarape.org.br/mudanca-climatica-e-crime-nas-cidades/" TargetMode="External"/><Relationship Id="rId350" Type="http://schemas.openxmlformats.org/officeDocument/2006/relationships/hyperlink" Target="https://drive.google.com/open?id=1VtTKdqcVoBSQSsm772ryVOOXHq5nneq2" TargetMode="External"/><Relationship Id="rId588" Type="http://schemas.openxmlformats.org/officeDocument/2006/relationships/hyperlink" Target="https://drive.google.com/open?id=1GWteL2vGLMW8Ve9b4hPxztHQxXPFtCFJ" TargetMode="External"/><Relationship Id="rId795" Type="http://schemas.openxmlformats.org/officeDocument/2006/relationships/hyperlink" Target="https://drive.google.com/u/0/open?usp=forms_web&amp;id=1JMrKLfm9vAZpmeQvv0oxcr9aHiHsff9g" TargetMode="External"/><Relationship Id="rId809" Type="http://schemas.openxmlformats.org/officeDocument/2006/relationships/hyperlink" Target="https://drive.google.com/u/0/open?usp=forms_web&amp;id=1j47Bs4A6XR3wgMwBeQA-YMMpyFwTyQiH" TargetMode="External"/><Relationship Id="rId9" Type="http://schemas.openxmlformats.org/officeDocument/2006/relationships/hyperlink" Target="https://www.lamjol.info/index.php/CE/article/view/7170/6735" TargetMode="External"/><Relationship Id="rId210" Type="http://schemas.openxmlformats.org/officeDocument/2006/relationships/hyperlink" Target="https://drive.google.com/open?id=1acPAytfzWOvrCyINhxChEzyI8iSB-8g1" TargetMode="External"/><Relationship Id="rId448" Type="http://schemas.openxmlformats.org/officeDocument/2006/relationships/hyperlink" Target="https://drive.google.com/open?id=1Evio65so0V_eOrdGBaibdn8QwTA4pGt_" TargetMode="External"/><Relationship Id="rId655" Type="http://schemas.openxmlformats.org/officeDocument/2006/relationships/hyperlink" Target="https://drive.google.com/u/0/open?usp=forms_web&amp;id=1O8nqvJxTFbxY8I7gmRHGOs8ipOJQvCjr" TargetMode="External"/><Relationship Id="rId862" Type="http://schemas.openxmlformats.org/officeDocument/2006/relationships/hyperlink" Target="https://www.chinesescholarshipcouncil.com/" TargetMode="External"/><Relationship Id="rId294" Type="http://schemas.openxmlformats.org/officeDocument/2006/relationships/hyperlink" Target="https://drive.google.com/open?id=1T_TDMHq0MQAczKLl-r_-bOfJTkQtdBSf" TargetMode="External"/><Relationship Id="rId308" Type="http://schemas.openxmlformats.org/officeDocument/2006/relationships/hyperlink" Target="https://drive.google.com/open?id=1jepZjw_OURp1ZGkLMCTT_gUz_pTdEssd" TargetMode="External"/><Relationship Id="rId515" Type="http://schemas.openxmlformats.org/officeDocument/2006/relationships/hyperlink" Target="https://drive.google.com/open?id=1I2QAMdnjbQytDP68d5FVXjx7t9s0LIZx" TargetMode="External"/><Relationship Id="rId722" Type="http://schemas.openxmlformats.org/officeDocument/2006/relationships/hyperlink" Target="https://rusi.org/" TargetMode="External"/><Relationship Id="rId89" Type="http://schemas.openxmlformats.org/officeDocument/2006/relationships/hyperlink" Target="https://www.dfat.gov.au/publications/minisite/2017-foreign-policy-white-paper/fpwhitepaper/pdf/2017-foreign-policy-white-paper.pdf" TargetMode="External"/><Relationship Id="rId154" Type="http://schemas.openxmlformats.org/officeDocument/2006/relationships/hyperlink" Target="https://doi.org/10.9771/cp.v14i3.38148" TargetMode="External"/><Relationship Id="rId361" Type="http://schemas.openxmlformats.org/officeDocument/2006/relationships/hyperlink" Target="https://drive.google.com/open?id=1BBbSM3Es22b4TCaa6W0kKUPZy6w2KMCf" TargetMode="External"/><Relationship Id="rId599" Type="http://schemas.openxmlformats.org/officeDocument/2006/relationships/hyperlink" Target="https://drive.google.com/open?id=1MvC-3p7Z6vsgDhSYUW8p7W0sGPcI2Fth" TargetMode="External"/><Relationship Id="rId1005" Type="http://schemas.openxmlformats.org/officeDocument/2006/relationships/hyperlink" Target="https://en.sdu.edu.cn/" TargetMode="External"/><Relationship Id="rId459" Type="http://schemas.openxmlformats.org/officeDocument/2006/relationships/hyperlink" Target="https://drive.google.com/open?id=17eM1NRYek38jCyvlQOTxr8b9XrlAiLBy" TargetMode="External"/><Relationship Id="rId666" Type="http://schemas.openxmlformats.org/officeDocument/2006/relationships/hyperlink" Target="https://www.gov.uk/" TargetMode="External"/><Relationship Id="rId873" Type="http://schemas.openxmlformats.org/officeDocument/2006/relationships/hyperlink" Target="https://drive.google.com/u/0/open?usp=forms_web&amp;id=1CTYaQ1aPyOD4sR83fGBcZ5hZLbHEa1MW" TargetMode="External"/><Relationship Id="rId16" Type="http://schemas.openxmlformats.org/officeDocument/2006/relationships/hyperlink" Target="https://fas.org/irp/agency/dhs/fema/crisis.pdf" TargetMode="External"/><Relationship Id="rId221" Type="http://schemas.openxmlformats.org/officeDocument/2006/relationships/hyperlink" Target="https://drive.google.com/open?id=1MI7Y8nZoTtvXkdtuOtpmVHZbCpW_0Rbn" TargetMode="External"/><Relationship Id="rId319" Type="http://schemas.openxmlformats.org/officeDocument/2006/relationships/hyperlink" Target="https://drive.google.com/open?id=1TZJsuND27lNTFRMhibzLcG25OUtPr8A0" TargetMode="External"/><Relationship Id="rId526" Type="http://schemas.openxmlformats.org/officeDocument/2006/relationships/hyperlink" Target="https://drive.google.com/open?id=1FDq8vfEdTAKoBU07AWlo8I4vEZb0XkhX" TargetMode="External"/><Relationship Id="rId733" Type="http://schemas.openxmlformats.org/officeDocument/2006/relationships/hyperlink" Target="https://drive.google.com/u/0/open?usp=forms_web&amp;id=1q-thhVqQV1RGkGOGMojECvk7DKnCEpIp" TargetMode="External"/><Relationship Id="rId940" Type="http://schemas.openxmlformats.org/officeDocument/2006/relationships/hyperlink" Target="https://drive.google.com/u/0/open?usp=forms_web&amp;id=1geahQbGvBb2mEjdYvgbsxUsa0KvTdZci" TargetMode="External"/><Relationship Id="rId1016" Type="http://schemas.openxmlformats.org/officeDocument/2006/relationships/hyperlink" Target="https://drive.google.com/u/0/open?usp=forms_web&amp;id=1kDbKQRl4dFvtNVhJ6mk3z61NmL4YqOBo" TargetMode="External"/><Relationship Id="rId165" Type="http://schemas.openxmlformats.org/officeDocument/2006/relationships/hyperlink" Target="https://www.defence.govt.nz/assets/publication/file/Biodefence-Defence-Assessment.pdf" TargetMode="External"/><Relationship Id="rId372" Type="http://schemas.openxmlformats.org/officeDocument/2006/relationships/hyperlink" Target="https://drive.google.com/open?id=1pRP2AdUwcszWXpijtHvLKNUNYnp1SKdB" TargetMode="External"/><Relationship Id="rId677" Type="http://schemas.openxmlformats.org/officeDocument/2006/relationships/hyperlink" Target="https://drive.google.com/u/0/open?usp=forms_web&amp;id=1tRlKThG2q2tv1K1Kg1C2-w4z5crsf__N" TargetMode="External"/><Relationship Id="rId800" Type="http://schemas.openxmlformats.org/officeDocument/2006/relationships/hyperlink" Target="https://warontherocks.com/" TargetMode="External"/><Relationship Id="rId232" Type="http://schemas.openxmlformats.org/officeDocument/2006/relationships/hyperlink" Target="https://drive.google.com/open?id=1q0kphwH58l9UJuPblDLjNYEJ1ctBekzS" TargetMode="External"/><Relationship Id="rId884" Type="http://schemas.openxmlformats.org/officeDocument/2006/relationships/hyperlink" Target="https://drive.google.com/u/0/open?usp=forms_web&amp;id=14Xm6uEUrVGGxKjY4tCs7bWwPARxkR3VM" TargetMode="External"/><Relationship Id="rId27" Type="http://schemas.openxmlformats.org/officeDocument/2006/relationships/hyperlink" Target="https://www.rand.org/pubs/research_reports/RR2849z1.html" TargetMode="External"/><Relationship Id="rId537" Type="http://schemas.openxmlformats.org/officeDocument/2006/relationships/hyperlink" Target="https://drive.google.com/open?id=1BOVXSM6EZZAMUetQm3D_NPJFAt_MOTJ0" TargetMode="External"/><Relationship Id="rId744" Type="http://schemas.openxmlformats.org/officeDocument/2006/relationships/hyperlink" Target="https://drive.google.com/u/0/open?usp=forms_web&amp;id=1z71fMdmzKJjWEdReJSSUCIceRXxKjxuy" TargetMode="External"/><Relationship Id="rId951" Type="http://schemas.openxmlformats.org/officeDocument/2006/relationships/hyperlink" Target="https://drive.google.com/u/0/open?usp=forms_web&amp;id=1rwpfo_LvIZ6c5jWDEUdK2VijiShuAFC0" TargetMode="External"/><Relationship Id="rId80" Type="http://schemas.openxmlformats.org/officeDocument/2006/relationships/hyperlink" Target="https://www.defence.gov.au/ADC/Publications/AJDSS/documents/volume1-issue1/Full.pdf" TargetMode="External"/><Relationship Id="rId176" Type="http://schemas.openxmlformats.org/officeDocument/2006/relationships/hyperlink" Target="https://www.iss.europa.eu/sites/default/files/EUISSFiles/FR-EUISS%20-%20Compass%20and%20Space%20-%20Final%20Report.pdf" TargetMode="External"/><Relationship Id="rId383" Type="http://schemas.openxmlformats.org/officeDocument/2006/relationships/hyperlink" Target="https://drive.google.com/open?id=1ceC_RDbOOOiKI9X7dUZnqtyE4f9KkZPE" TargetMode="External"/><Relationship Id="rId590" Type="http://schemas.openxmlformats.org/officeDocument/2006/relationships/hyperlink" Target="https://drive.google.com/open?id=1cLXEbQV8gC02whVr6wpQogglv3Xdvszl" TargetMode="External"/><Relationship Id="rId604" Type="http://schemas.openxmlformats.org/officeDocument/2006/relationships/hyperlink" Target="https://www.rand.org/pubs/research_reports/RRA739-4.html" TargetMode="External"/><Relationship Id="rId811" Type="http://schemas.openxmlformats.org/officeDocument/2006/relationships/hyperlink" Target="https://drive.google.com/u/0/open?usp=forms_web&amp;id=17c9vezjmHtwKDBL3rGmFViSKUXSnAtPj" TargetMode="External"/><Relationship Id="rId1027" Type="http://schemas.openxmlformats.org/officeDocument/2006/relationships/hyperlink" Target="https://www.csis.org/" TargetMode="External"/><Relationship Id="rId243" Type="http://schemas.openxmlformats.org/officeDocument/2006/relationships/hyperlink" Target="https://drive.google.com/open?id=1DehU4udVilJ-e9yFwA_ViX94XShPk2k8" TargetMode="External"/><Relationship Id="rId450" Type="http://schemas.openxmlformats.org/officeDocument/2006/relationships/hyperlink" Target="https://drive.google.com/open?id=1qVe1vmG-0mlbXgllRiE5MXak7gbxBR2h" TargetMode="External"/><Relationship Id="rId688" Type="http://schemas.openxmlformats.org/officeDocument/2006/relationships/hyperlink" Target="https://www.gov.uk/" TargetMode="External"/><Relationship Id="rId895" Type="http://schemas.openxmlformats.org/officeDocument/2006/relationships/hyperlink" Target="https://drive.google.com/u/0/open?usp=forms_web&amp;id=1kcTEGv1_rDs6lWFkkk-Q8TuDiKX0KN02" TargetMode="External"/><Relationship Id="rId909" Type="http://schemas.openxmlformats.org/officeDocument/2006/relationships/hyperlink" Target="https://drive.google.com/u/0/open?usp=forms_web&amp;id=1J5iXTGhEcs8fI9AF2G-2uDZa-UIy971b" TargetMode="External"/><Relationship Id="rId38" Type="http://schemas.openxmlformats.org/officeDocument/2006/relationships/hyperlink" Target="https://drive.google.com/file/d/1NvceA155DVBBp6MD5VOCH2bbX6sy_oLu/view?usp=drivesdk" TargetMode="External"/><Relationship Id="rId103" Type="http://schemas.openxmlformats.org/officeDocument/2006/relationships/hyperlink" Target="https://www.eduskunta.fi/FI/naineduskuntatoimii/julkaisut/Documents/NETTI_TUVJ_10_2018_Societal_transformation_UUSI.pdf" TargetMode="External"/><Relationship Id="rId310" Type="http://schemas.openxmlformats.org/officeDocument/2006/relationships/hyperlink" Target="https://drive.google.com/open?id=1cSbRw63uk33Kb-1IHAav6Gb6zkJ_HZ_I" TargetMode="External"/><Relationship Id="rId548" Type="http://schemas.openxmlformats.org/officeDocument/2006/relationships/hyperlink" Target="https://drive.google.com/open?id=1WgQgEFY-7BILWzuFfASRKTVrQM93hcih" TargetMode="External"/><Relationship Id="rId755" Type="http://schemas.openxmlformats.org/officeDocument/2006/relationships/hyperlink" Target="https://maritime-spatial-planning.ec.europa.eu/" TargetMode="External"/><Relationship Id="rId962" Type="http://schemas.openxmlformats.org/officeDocument/2006/relationships/hyperlink" Target="https://gouvernement.lu/" TargetMode="External"/><Relationship Id="rId91" Type="http://schemas.openxmlformats.org/officeDocument/2006/relationships/hyperlink" Target="https://www.rand.org/content/dam/rand/pubs/research_reports/RR2300/RR2382/RAND_RR2382.pdf" TargetMode="External"/><Relationship Id="rId187" Type="http://schemas.openxmlformats.org/officeDocument/2006/relationships/hyperlink" Target="https://drive.google.com/open?id=1qnUYv2VHtTQhaoJSSvu0wjctQ3AS7F_C" TargetMode="External"/><Relationship Id="rId394" Type="http://schemas.openxmlformats.org/officeDocument/2006/relationships/hyperlink" Target="https://drive.google.com/open?id=19h2kgvj330hgLcwtn_KwO-dYIvDWRMtg" TargetMode="External"/><Relationship Id="rId408" Type="http://schemas.openxmlformats.org/officeDocument/2006/relationships/hyperlink" Target="https://drive.google.com/open?id=1U_Ixlwcma8GIiAARH5lJ7y8TK4seKQgY" TargetMode="External"/><Relationship Id="rId615" Type="http://schemas.openxmlformats.org/officeDocument/2006/relationships/hyperlink" Target="https://drive.google.com/u/0/open?usp=forms_web&amp;id=1ax37vIFIb3xwaN7P0YlwZBcjiGlSh-UO" TargetMode="External"/><Relationship Id="rId822" Type="http://schemas.openxmlformats.org/officeDocument/2006/relationships/hyperlink" Target="https://www.slovenskavojska.si/" TargetMode="External"/><Relationship Id="rId254" Type="http://schemas.openxmlformats.org/officeDocument/2006/relationships/hyperlink" Target="https://drive.google.com/open?id=1x2GwLfVUO7vNlQfbM7igk98eRK51kUNe" TargetMode="External"/><Relationship Id="rId699" Type="http://schemas.openxmlformats.org/officeDocument/2006/relationships/hyperlink" Target="https://drive.google.com/u/0/open?usp=forms_web&amp;id=1ykRU1bH8oAC4FeGEKllhWGyHIpnrnO0V" TargetMode="External"/><Relationship Id="rId49" Type="http://schemas.openxmlformats.org/officeDocument/2006/relationships/hyperlink" Target="https://www.atlanticcouncil.org/in-depth-research-reports/report/why-africa-matters-to-us-national-security/" TargetMode="External"/><Relationship Id="rId114" Type="http://schemas.openxmlformats.org/officeDocument/2006/relationships/hyperlink" Target="https://www.cnas.org/the-next-defense-strategy" TargetMode="External"/><Relationship Id="rId461" Type="http://schemas.openxmlformats.org/officeDocument/2006/relationships/hyperlink" Target="https://drive.google.com/open?id=1CM-6yDpxX4W3otaWDE3DGi56JbyHEujn" TargetMode="External"/><Relationship Id="rId559" Type="http://schemas.openxmlformats.org/officeDocument/2006/relationships/hyperlink" Target="https://drive.google.com/open?id=1yvtYS9to6lNz5-ur7RqtrcMAdznEq5uc" TargetMode="External"/><Relationship Id="rId766" Type="http://schemas.openxmlformats.org/officeDocument/2006/relationships/hyperlink" Target="https://drive.google.com/u/0/open?usp=forms_web&amp;id=1wuwOkTGuYfm4iisJPzNIUvfiVoELurHz" TargetMode="External"/><Relationship Id="rId198" Type="http://schemas.openxmlformats.org/officeDocument/2006/relationships/hyperlink" Target="https://drive.google.com/open?id=1MmCtMiKza46baNWjJuzX1uJcR8Ij2pei" TargetMode="External"/><Relationship Id="rId321" Type="http://schemas.openxmlformats.org/officeDocument/2006/relationships/hyperlink" Target="https://drive.google.com/open?id=1lnWf9bJEsGWXye8zI5tM1KkfxNzlR-ET" TargetMode="External"/><Relationship Id="rId419" Type="http://schemas.openxmlformats.org/officeDocument/2006/relationships/hyperlink" Target="https://drive.google.com/open?id=10MtSNNBVJ9TjdudJ0wym9qyABRvyTTQD" TargetMode="External"/><Relationship Id="rId626" Type="http://schemas.openxmlformats.org/officeDocument/2006/relationships/hyperlink" Target="https://www.mod.gov.lv/" TargetMode="External"/><Relationship Id="rId973" Type="http://schemas.openxmlformats.org/officeDocument/2006/relationships/hyperlink" Target="https://drive.google.com/u/0/open?usp=forms_web&amp;id=1Bh7EoJcotFozO5dUBHLT-5lzMC-FoZFV" TargetMode="External"/><Relationship Id="rId833" Type="http://schemas.openxmlformats.org/officeDocument/2006/relationships/hyperlink" Target="https://drive.google.com/u/0/open?usp=forms_web&amp;id=1KiN3fESVGsuwNtsx2S57bMcq23htgm4s" TargetMode="External"/><Relationship Id="rId265" Type="http://schemas.openxmlformats.org/officeDocument/2006/relationships/hyperlink" Target="https://drive.google.com/open?id=1uhcoGfiZtQd2R7diX1XJKWGXSMIigm1W" TargetMode="External"/><Relationship Id="rId472" Type="http://schemas.openxmlformats.org/officeDocument/2006/relationships/hyperlink" Target="https://drive.google.com/open?id=1nXOE02FbYUXnTeksqRu-UpOplvmn-ecw" TargetMode="External"/><Relationship Id="rId900" Type="http://schemas.openxmlformats.org/officeDocument/2006/relationships/hyperlink" Target="https://www.haifa.ac.il/" TargetMode="External"/><Relationship Id="rId125" Type="http://schemas.openxmlformats.org/officeDocument/2006/relationships/hyperlink" Target="https://www.rand.org/pubs/perspectives/PEA1133-1.html" TargetMode="External"/><Relationship Id="rId332" Type="http://schemas.openxmlformats.org/officeDocument/2006/relationships/hyperlink" Target="https://drive.google.com/open?id=1TYuY3B40AoNLM3zOtSU6VPRoYsm9Zng4" TargetMode="External"/><Relationship Id="rId777" Type="http://schemas.openxmlformats.org/officeDocument/2006/relationships/hyperlink" Target="https://drive.google.com/u/0/open?usp=forms_web&amp;id=1PCLFlrSuOHM_nhNpAaurpO0qTx7sFzLj" TargetMode="External"/><Relationship Id="rId984" Type="http://schemas.openxmlformats.org/officeDocument/2006/relationships/hyperlink" Target="https://drive.google.com/u/0/open?usp=forms_web&amp;id=1jMobbfxKducfYUeqXO1tUDjlVvBmobpG" TargetMode="External"/><Relationship Id="rId637" Type="http://schemas.openxmlformats.org/officeDocument/2006/relationships/hyperlink" Target="https://www.c6f.navy.mil/" TargetMode="External"/><Relationship Id="rId844" Type="http://schemas.openxmlformats.org/officeDocument/2006/relationships/hyperlink" Target="https://www.mod.gov.lv/lv" TargetMode="External"/><Relationship Id="rId276" Type="http://schemas.openxmlformats.org/officeDocument/2006/relationships/hyperlink" Target="https://drive.google.com/open?id=1CqkTy_mdnb_yB3BARh8YeK6besg4c47h" TargetMode="External"/><Relationship Id="rId483" Type="http://schemas.openxmlformats.org/officeDocument/2006/relationships/hyperlink" Target="https://drive.google.com/open?id=1SR0boV811TjOWO2CN-rPQokkqr9iiNs7" TargetMode="External"/><Relationship Id="rId690" Type="http://schemas.openxmlformats.org/officeDocument/2006/relationships/hyperlink" Target="https://www.gov.uk/" TargetMode="External"/><Relationship Id="rId704" Type="http://schemas.openxmlformats.org/officeDocument/2006/relationships/hyperlink" Target="https://www.gov.uk/" TargetMode="External"/><Relationship Id="rId911" Type="http://schemas.openxmlformats.org/officeDocument/2006/relationships/hyperlink" Target="https://drive.google.com/u/0/open?usp=forms_web&amp;id=1YqNp3Ka1Jpd0Wemjm-7sInZjYO3xcNhg" TargetMode="External"/><Relationship Id="rId40" Type="http://schemas.openxmlformats.org/officeDocument/2006/relationships/hyperlink" Target="https://drive.google.com/file/d/1OZb4Oz_X7-CQ0hsum13M-zwaFG9RotAO/view?usp=drivesdk" TargetMode="External"/><Relationship Id="rId136" Type="http://schemas.openxmlformats.org/officeDocument/2006/relationships/hyperlink" Target="https://issafrica.org/research/north-africa-report/stagnation-or-growth-algerias-development-pathway-to-2040" TargetMode="External"/><Relationship Id="rId343" Type="http://schemas.openxmlformats.org/officeDocument/2006/relationships/hyperlink" Target="https://drive.google.com/open?id=1zC0W222GhSRT78xhyInJH80h84OlyEkO" TargetMode="External"/><Relationship Id="rId550" Type="http://schemas.openxmlformats.org/officeDocument/2006/relationships/hyperlink" Target="https://drive.google.com/open?id=1jUJs21T0-g7ObSUPGaUqhkr5DnaqQhqC" TargetMode="External"/><Relationship Id="rId788" Type="http://schemas.openxmlformats.org/officeDocument/2006/relationships/hyperlink" Target="http://wilsoncenter.org/" TargetMode="External"/><Relationship Id="rId995" Type="http://schemas.openxmlformats.org/officeDocument/2006/relationships/hyperlink" Target="https://srbg.be/" TargetMode="External"/><Relationship Id="rId203" Type="http://schemas.openxmlformats.org/officeDocument/2006/relationships/hyperlink" Target="https://drive.google.com/open?id=1q86RZEytu-kdU0dGGWUKBB8Lcddqtnl0" TargetMode="External"/><Relationship Id="rId648" Type="http://schemas.openxmlformats.org/officeDocument/2006/relationships/hyperlink" Target="https://rusi.org/" TargetMode="External"/><Relationship Id="rId855" Type="http://schemas.openxmlformats.org/officeDocument/2006/relationships/hyperlink" Target="https://drive.google.com/u/0/open?usp=forms_web&amp;id=1R1M5RjQW9nlEdoutzWtZZFwx1csnNuLs" TargetMode="External"/><Relationship Id="rId287" Type="http://schemas.openxmlformats.org/officeDocument/2006/relationships/hyperlink" Target="https://drive.google.com/open?id=17YDmvwklRw-moTSeXM9MgTj3Dn-12Jj-" TargetMode="External"/><Relationship Id="rId410" Type="http://schemas.openxmlformats.org/officeDocument/2006/relationships/hyperlink" Target="https://drive.google.com/open?id=1sgxIBehkPGZCojYiCqxLhiRfS70W9AiD" TargetMode="External"/><Relationship Id="rId494" Type="http://schemas.openxmlformats.org/officeDocument/2006/relationships/hyperlink" Target="https://drive.google.com/open?id=1a6ugF9WIZyoD-B79cL8cRx0z6HrLUD_0" TargetMode="External"/><Relationship Id="rId508" Type="http://schemas.openxmlformats.org/officeDocument/2006/relationships/hyperlink" Target="https://drive.google.com/open?id=1sVwx-vuT2qrLT_U99rsB-f562NOF8sF3" TargetMode="External"/><Relationship Id="rId715" Type="http://schemas.openxmlformats.org/officeDocument/2006/relationships/hyperlink" Target="https://drive.google.com/u/0/open?usp=forms_web&amp;id=1TrcjBcjkRpbeub6IETaOeHo4GBRhsP95" TargetMode="External"/><Relationship Id="rId922" Type="http://schemas.openxmlformats.org/officeDocument/2006/relationships/hyperlink" Target="https://drive.google.com/u/0/open?usp=forms_web&amp;id=1E-MF_BsUVLnvMPwhtQGS5M0N96G-b1L_" TargetMode="External"/><Relationship Id="rId147" Type="http://schemas.openxmlformats.org/officeDocument/2006/relationships/hyperlink" Target="https://link.springer.com/article/10.1007%2Fs42108-021-00119-3" TargetMode="External"/><Relationship Id="rId354" Type="http://schemas.openxmlformats.org/officeDocument/2006/relationships/hyperlink" Target="https://drive.google.com/open?id=1ma7WV_ROZwDmd1WRBXJfVXNqhUkKZJQ8" TargetMode="External"/><Relationship Id="rId799" Type="http://schemas.openxmlformats.org/officeDocument/2006/relationships/hyperlink" Target="https://drive.google.com/u/0/open?usp=forms_web&amp;id=1AIOMQuIy56uhmaW252sBztfytRZSVDuK" TargetMode="External"/><Relationship Id="rId51" Type="http://schemas.openxmlformats.org/officeDocument/2006/relationships/hyperlink" Target="https://www.rand.org/pubs/research_reports/RR4257.html" TargetMode="External"/><Relationship Id="rId561" Type="http://schemas.openxmlformats.org/officeDocument/2006/relationships/hyperlink" Target="https://drive.google.com/open?id=1ncWFk7x8iy7_jXPWuW_kUjwA1Z7H9CD5" TargetMode="External"/><Relationship Id="rId659" Type="http://schemas.openxmlformats.org/officeDocument/2006/relationships/hyperlink" Target="https://drive.google.com/u/0/open?usp=forms_web&amp;id=1t0bpIEpEYAyfHW7v6dvfD0ddcfv9pVOE" TargetMode="External"/><Relationship Id="rId866" Type="http://schemas.openxmlformats.org/officeDocument/2006/relationships/hyperlink" Target="https://www.dlr.de/en" TargetMode="External"/><Relationship Id="rId214" Type="http://schemas.openxmlformats.org/officeDocument/2006/relationships/hyperlink" Target="https://drive.google.com/open?id=1ofxJ2tz_RjD1sgb0rpbwoifxEG2dNLnQ" TargetMode="External"/><Relationship Id="rId298" Type="http://schemas.openxmlformats.org/officeDocument/2006/relationships/hyperlink" Target="https://drive.google.com/open?id=1qybtE5nZzDauEi47UNxeJNhPsw3umsld" TargetMode="External"/><Relationship Id="rId421" Type="http://schemas.openxmlformats.org/officeDocument/2006/relationships/hyperlink" Target="https://drive.google.com/open?id=1UdGMWC2o3aXDKg95ZxCImXAL4zIkcrnz" TargetMode="External"/><Relationship Id="rId519" Type="http://schemas.openxmlformats.org/officeDocument/2006/relationships/hyperlink" Target="https://drive.google.com/open?id=1QeIbeyhjLVTH8L2A0IA2CFkxEZokMOjB" TargetMode="External"/><Relationship Id="rId158" Type="http://schemas.openxmlformats.org/officeDocument/2006/relationships/hyperlink" Target="https://www.brookings.edu/blog/africa-in-focus/2021/03/22/the-future-of-data-unmasking-community-level-differences-to-better-address-food-insecurity/" TargetMode="External"/><Relationship Id="rId726" Type="http://schemas.openxmlformats.org/officeDocument/2006/relationships/hyperlink" Target="https://www.gov.uk/" TargetMode="External"/><Relationship Id="rId933" Type="http://schemas.openxmlformats.org/officeDocument/2006/relationships/hyperlink" Target="https://drive.google.com/u/0/open?usp=forms_web&amp;id=1x_qAuer7EON_ZWo_DNG1AY4R_BbaWKED" TargetMode="External"/><Relationship Id="rId1009" Type="http://schemas.openxmlformats.org/officeDocument/2006/relationships/hyperlink" Target="http://english.zjgsu.edu.cn/" TargetMode="External"/><Relationship Id="rId62" Type="http://schemas.openxmlformats.org/officeDocument/2006/relationships/hyperlink" Target="https://peacekeeping.un.org/sites/default/files/the_future_of_peacekeeping_and_parallel_operations.pdf" TargetMode="External"/><Relationship Id="rId365" Type="http://schemas.openxmlformats.org/officeDocument/2006/relationships/hyperlink" Target="https://drive.google.com/open?id=1khYCqaXlBJAGTBYnh8earDKY0sFMgAOy" TargetMode="External"/><Relationship Id="rId572" Type="http://schemas.openxmlformats.org/officeDocument/2006/relationships/hyperlink" Target="https://drive.google.com/open?id=1P8ffwwLyGCiSyOJ5sFYQR9G9GVnrd7C2" TargetMode="External"/><Relationship Id="rId225" Type="http://schemas.openxmlformats.org/officeDocument/2006/relationships/hyperlink" Target="https://drive.google.com/open?id=1EaMwD7X1arKhRGMJCmQASMmJSC1gTOj_" TargetMode="External"/><Relationship Id="rId432" Type="http://schemas.openxmlformats.org/officeDocument/2006/relationships/hyperlink" Target="https://drive.google.com/open?id=1HcWUcRjP9Db-SptW5qp1QDGpxsF6sUc_" TargetMode="External"/><Relationship Id="rId877" Type="http://schemas.openxmlformats.org/officeDocument/2006/relationships/hyperlink" Target="https://drive.google.com/u/0/open?usp=forms_web&amp;id=1vT4KXhNBQ2OtBDc8zSClGmMRwdqIrHFM" TargetMode="External"/><Relationship Id="rId737" Type="http://schemas.openxmlformats.org/officeDocument/2006/relationships/hyperlink" Target="https://drive.google.com/u/0/open?usp=forms_web&amp;id=1XZySFXnXbSLAgVmgkL7Dw3ZVUyoXov0u" TargetMode="External"/><Relationship Id="rId944" Type="http://schemas.openxmlformats.org/officeDocument/2006/relationships/hyperlink" Target="https://drive.google.com/u/0/open?usp=forms_web&amp;id=1tF4wUcNoxhBdCBzNFoHEsSoutqDVFDUv" TargetMode="External"/><Relationship Id="rId73" Type="http://schemas.openxmlformats.org/officeDocument/2006/relationships/hyperlink" Target="https://issafrica.org/research/central-africa-report/waking-the-sleeping-giant-development-pathways-for-the-democratic-republic-of-the-congo-to-2050" TargetMode="External"/><Relationship Id="rId169" Type="http://schemas.openxmlformats.org/officeDocument/2006/relationships/hyperlink" Target="https://media.defense.gov/2019/Jul/01/2002152311/-1/-1/1/DEPARTMENT-OF-DEFENSE-INDO-PACIFIC-STRATEGY-REPORT-2019.PDF" TargetMode="External"/><Relationship Id="rId376" Type="http://schemas.openxmlformats.org/officeDocument/2006/relationships/hyperlink" Target="https://drive.google.com/open?id=13eMVKXazILBkZIgG1M7lQ3y_5iUL3MEE" TargetMode="External"/><Relationship Id="rId583" Type="http://schemas.openxmlformats.org/officeDocument/2006/relationships/hyperlink" Target="https://drive.google.com/open?id=1GCli9AyGulw2oiGH4fYmknQHDz2ki2iF" TargetMode="External"/><Relationship Id="rId790" Type="http://schemas.openxmlformats.org/officeDocument/2006/relationships/hyperlink" Target="https://www.naadsn.ca/" TargetMode="External"/><Relationship Id="rId804" Type="http://schemas.openxmlformats.org/officeDocument/2006/relationships/hyperlink" Target="https://www.fiia.fi/" TargetMode="External"/><Relationship Id="rId4" Type="http://schemas.openxmlformats.org/officeDocument/2006/relationships/hyperlink" Target="https://www.rand.org/pubs/research_reports/RRA958-2.html" TargetMode="External"/><Relationship Id="rId236" Type="http://schemas.openxmlformats.org/officeDocument/2006/relationships/hyperlink" Target="https://drive.google.com/open?id=1gxudRspHyJJVZ5qO1Hynj8Wh5psDwQrg" TargetMode="External"/><Relationship Id="rId443" Type="http://schemas.openxmlformats.org/officeDocument/2006/relationships/hyperlink" Target="https://drive.google.com/open?id=1wosWzt7T67t8wu1Q-Pblq0lw6JIy29QF" TargetMode="External"/><Relationship Id="rId650" Type="http://schemas.openxmlformats.org/officeDocument/2006/relationships/hyperlink" Target="https://rusi.org/" TargetMode="External"/><Relationship Id="rId888" Type="http://schemas.openxmlformats.org/officeDocument/2006/relationships/hyperlink" Target="https://training.logistics.org.uk/" TargetMode="External"/><Relationship Id="rId303" Type="http://schemas.openxmlformats.org/officeDocument/2006/relationships/hyperlink" Target="https://drive.google.com/open?id=1lSZ-0PQDSokH9tPr_ik1SnutCab6PZsZ" TargetMode="External"/><Relationship Id="rId748" Type="http://schemas.openxmlformats.org/officeDocument/2006/relationships/hyperlink" Target="https://drive.google.com/u/0/open?usp=forms_web&amp;id=1vdg3-XEu7qzExrvGAU6RttH8oj2fv3Bn" TargetMode="External"/><Relationship Id="rId955" Type="http://schemas.openxmlformats.org/officeDocument/2006/relationships/hyperlink" Target="https://drive.google.com/u/0/open?usp=forms_web&amp;id=1K6Hl0HPZZvrLCJRjuIMsM-G909ZQOXzn" TargetMode="External"/><Relationship Id="rId84" Type="http://schemas.openxmlformats.org/officeDocument/2006/relationships/hyperlink" Target="https://www.dst.defence.gov.au/sites/default/files/publications/documents/A%20Method%20for%20Ethical%20AI%20in%20Defence.pdf" TargetMode="External"/><Relationship Id="rId387" Type="http://schemas.openxmlformats.org/officeDocument/2006/relationships/hyperlink" Target="https://drive.google.com/open?id=13Gk_NhlOvPnH5TwTbv3bLe71jv7FV0Rh" TargetMode="External"/><Relationship Id="rId510" Type="http://schemas.openxmlformats.org/officeDocument/2006/relationships/hyperlink" Target="https://drive.google.com/open?id=1bnKm7_QfE1IO01M_dT5Q7YgV19AO7d6y" TargetMode="External"/><Relationship Id="rId594" Type="http://schemas.openxmlformats.org/officeDocument/2006/relationships/hyperlink" Target="https://drive.google.com/open?id=1rTzX8t6fQ7KcDdHmVSfukixCxuAD6LLZ" TargetMode="External"/><Relationship Id="rId608" Type="http://schemas.openxmlformats.org/officeDocument/2006/relationships/hyperlink" Target="https://www.rand.org/pubs/research_reports/RRA1007-1.html" TargetMode="External"/><Relationship Id="rId815" Type="http://schemas.openxmlformats.org/officeDocument/2006/relationships/hyperlink" Target="https://drive.google.com/u/0/open?usp=forms_web&amp;id=1iFOZ8UejIOBi3B_5ehbNKKGp0zsU9UCN" TargetMode="External"/><Relationship Id="rId247" Type="http://schemas.openxmlformats.org/officeDocument/2006/relationships/hyperlink" Target="https://drive.google.com/open?id=14idS8oaGhNwQ_-ru2_ym1va1mA16RQBY" TargetMode="External"/><Relationship Id="rId899" Type="http://schemas.openxmlformats.org/officeDocument/2006/relationships/hyperlink" Target="https://drive.google.com/u/0/open?usp=forms_web&amp;id=13IPnFEWgTjsfXVs5MMj2_vLcJ5s87yE-" TargetMode="External"/><Relationship Id="rId1000" Type="http://schemas.openxmlformats.org/officeDocument/2006/relationships/hyperlink" Target="https://drive.google.com/u/0/open?usp=forms_web&amp;id=1WhYxPJPPDUDg4Df5UpL8c0wkVv3F0Jtv" TargetMode="External"/><Relationship Id="rId107" Type="http://schemas.openxmlformats.org/officeDocument/2006/relationships/hyperlink" Target="https://www.pwc.com/gx/en/ceo-agenda/ceosurvey/2020/trends/defence.html" TargetMode="External"/><Relationship Id="rId454" Type="http://schemas.openxmlformats.org/officeDocument/2006/relationships/hyperlink" Target="https://drive.google.com/open?id=1SyQ7qTcA51-lKHNo36BT8IF9zegRq5sL" TargetMode="External"/><Relationship Id="rId661" Type="http://schemas.openxmlformats.org/officeDocument/2006/relationships/hyperlink" Target="https://drive.google.com/u/0/open?usp=forms_web&amp;id=1uxwKNelFGwZKq6r9gdg1WU0vDP2V-Q16" TargetMode="External"/><Relationship Id="rId759" Type="http://schemas.openxmlformats.org/officeDocument/2006/relationships/hyperlink" Target="https://usnwc.edu/" TargetMode="External"/><Relationship Id="rId966" Type="http://schemas.openxmlformats.org/officeDocument/2006/relationships/hyperlink" Target="https://ti-defence.org/" TargetMode="External"/><Relationship Id="rId11" Type="http://schemas.openxmlformats.org/officeDocument/2006/relationships/hyperlink" Target="https://www.brookings.edu/wp-content/uploads/2019/09/FP_20190930_china_nuclear_weapons_talmadge-2.pdf" TargetMode="External"/><Relationship Id="rId314" Type="http://schemas.openxmlformats.org/officeDocument/2006/relationships/hyperlink" Target="https://drive.google.com/open?id=13wF4SX5CokcGL3G4Y8Hzka4YUAX0C1sy" TargetMode="External"/><Relationship Id="rId398" Type="http://schemas.openxmlformats.org/officeDocument/2006/relationships/hyperlink" Target="https://drive.google.com/open?id=1Zf_aOEmYap3arud3XsITleyUs8vd4UMA" TargetMode="External"/><Relationship Id="rId521" Type="http://schemas.openxmlformats.org/officeDocument/2006/relationships/hyperlink" Target="https://drive.google.com/open?id=11ChyvaRM_daedGO-JvH9P54B2GBI2Syf" TargetMode="External"/><Relationship Id="rId619" Type="http://schemas.openxmlformats.org/officeDocument/2006/relationships/hyperlink" Target="https://drive.google.com/u/0/open?usp=forms_web&amp;id=1lVbjQDUIqrqJwxSqyvNFc8-rePi8OMit" TargetMode="External"/><Relationship Id="rId95" Type="http://schemas.openxmlformats.org/officeDocument/2006/relationships/hyperlink" Target="https://www.jstor.org/stable/pdf/resrep24285.pdf?ab_segments=0%252Fbasic_search_gsv2%252Fcontrol&amp;refreqid=excelsior%3Ad299c3b431623cf84ecc8dcf04b9b229" TargetMode="External"/><Relationship Id="rId160" Type="http://schemas.openxmlformats.org/officeDocument/2006/relationships/hyperlink" Target="https://www.defence.govt.nz/assets/publication/file/1c5ca053e2/2019-MOD-Statement-of-Intent-v2.pdf" TargetMode="External"/><Relationship Id="rId826" Type="http://schemas.openxmlformats.org/officeDocument/2006/relationships/hyperlink" Target="https://drive.google.com/u/0/open?usp=forms_web&amp;id=1z5rckab0ClgXUjJhK6GOWtyP3bUhFtgK" TargetMode="External"/><Relationship Id="rId1011" Type="http://schemas.openxmlformats.org/officeDocument/2006/relationships/hyperlink" Target="https://unri.ac.id/" TargetMode="External"/><Relationship Id="rId258" Type="http://schemas.openxmlformats.org/officeDocument/2006/relationships/hyperlink" Target="https://drive.google.com/open?id=1UQcauRbOaJOHQ3j_pk4ADzK4Ck5VU1TE" TargetMode="External"/><Relationship Id="rId465" Type="http://schemas.openxmlformats.org/officeDocument/2006/relationships/hyperlink" Target="https://drive.google.com/open?id=1cSP8N95Avc5R6-Q97M5M3sEOGcXAuBWj" TargetMode="External"/><Relationship Id="rId672" Type="http://schemas.openxmlformats.org/officeDocument/2006/relationships/hyperlink" Target="https://www.gov.uk/" TargetMode="External"/><Relationship Id="rId22" Type="http://schemas.openxmlformats.org/officeDocument/2006/relationships/hyperlink" Target="https://www.balsillieschool.ca/wp-content/uploads/2019/02/CNDSA-Report-2019.pdf" TargetMode="External"/><Relationship Id="rId118" Type="http://schemas.openxmlformats.org/officeDocument/2006/relationships/hyperlink" Target="https://ni-u.edu/wp/wp-content/uploads/2021/04/Future_of_WMD_Final.pdf" TargetMode="External"/><Relationship Id="rId325" Type="http://schemas.openxmlformats.org/officeDocument/2006/relationships/hyperlink" Target="https://drive.google.com/open?id=1iQ5exMdwneF2PqkLfCG7OzieNSgwS2_H" TargetMode="External"/><Relationship Id="rId532" Type="http://schemas.openxmlformats.org/officeDocument/2006/relationships/hyperlink" Target="https://drive.google.com/open?id=1-5jQ6zEDEqTurqgb-FAiT31WvsheaeXI" TargetMode="External"/><Relationship Id="rId977" Type="http://schemas.openxmlformats.org/officeDocument/2006/relationships/hyperlink" Target="http://state.gov/" TargetMode="External"/><Relationship Id="rId171" Type="http://schemas.openxmlformats.org/officeDocument/2006/relationships/hyperlink" Target="https://issafrica.org/research/africa-report/the-untapped-potential-of-india-africa-security-cooperation" TargetMode="External"/><Relationship Id="rId837" Type="http://schemas.openxmlformats.org/officeDocument/2006/relationships/hyperlink" Target="https://drive.google.com/u/0/open?usp=forms_web&amp;id=1xnZJrpaJAn3uG1WOdihWvzCa4ESDSpLG" TargetMode="External"/><Relationship Id="rId1022" Type="http://schemas.openxmlformats.org/officeDocument/2006/relationships/hyperlink" Target="https://www.naadsn.ca/" TargetMode="External"/><Relationship Id="rId269" Type="http://schemas.openxmlformats.org/officeDocument/2006/relationships/hyperlink" Target="https://drive.google.com/open?id=17ioJT-Dzg9QEwv8SqQdBH5Tx1h34hrMJ" TargetMode="External"/><Relationship Id="rId476" Type="http://schemas.openxmlformats.org/officeDocument/2006/relationships/hyperlink" Target="https://drive.google.com/open?id=1IE00u7LbaEthxAUgEM8q-LJJZUFgus_-" TargetMode="External"/><Relationship Id="rId683" Type="http://schemas.openxmlformats.org/officeDocument/2006/relationships/hyperlink" Target="https://drive.google.com/u/0/open?usp=forms_web&amp;id=1ddZTcodBSzAEsZlGzinjI8-dTQNuLeWD" TargetMode="External"/><Relationship Id="rId890" Type="http://schemas.openxmlformats.org/officeDocument/2006/relationships/hyperlink" Target="https://kam.lt/" TargetMode="External"/><Relationship Id="rId904" Type="http://schemas.openxmlformats.org/officeDocument/2006/relationships/hyperlink" Target="https://www.fhs.se/" TargetMode="External"/><Relationship Id="rId33" Type="http://schemas.openxmlformats.org/officeDocument/2006/relationships/hyperlink" Target="https://drive.google.com/file/d/1NNrgO9zaie7enkXDuP15XpbIwCDApvYH/view?usp=drivesdk" TargetMode="External"/><Relationship Id="rId129" Type="http://schemas.openxmlformats.org/officeDocument/2006/relationships/hyperlink" Target="https://www.brookings.edu/research/forecasting-change-in-military-technology-2020-2040/" TargetMode="External"/><Relationship Id="rId336" Type="http://schemas.openxmlformats.org/officeDocument/2006/relationships/hyperlink" Target="https://drive.google.com/open?id=13F_RbgS_mCcUQ4oKm--t0yC5-HtRhX_u" TargetMode="External"/><Relationship Id="rId543" Type="http://schemas.openxmlformats.org/officeDocument/2006/relationships/hyperlink" Target="https://drive.google.com/open?id=1grVTbombPdYn7IqtWb8b9t-OnYYKJqXY" TargetMode="External"/><Relationship Id="rId988" Type="http://schemas.openxmlformats.org/officeDocument/2006/relationships/hyperlink" Target="https://drive.google.com/u/0/open?usp=forms_web&amp;id=1EE8M69VxpbF7DDhglklNeAEBrudAdtYi" TargetMode="External"/><Relationship Id="rId182" Type="http://schemas.openxmlformats.org/officeDocument/2006/relationships/hyperlink" Target="https://drive.google.com/open?id=1_IEEmT59WgSlrQ7CVnG7CXUNp4RIB80h" TargetMode="External"/><Relationship Id="rId403" Type="http://schemas.openxmlformats.org/officeDocument/2006/relationships/hyperlink" Target="https://drive.google.com/open?id=150ZtAnFCxdtb804HxfQo8_j29f8l92iK" TargetMode="External"/><Relationship Id="rId750" Type="http://schemas.openxmlformats.org/officeDocument/2006/relationships/hyperlink" Target="https://drive.google.com/u/0/open?usp=forms_web&amp;id=1-9m4umKlsMTkH_gOR7VBwx1ArbNSvaNC" TargetMode="External"/><Relationship Id="rId848" Type="http://schemas.openxmlformats.org/officeDocument/2006/relationships/hyperlink" Target="https://www.mod.gov.lv/lv" TargetMode="External"/><Relationship Id="rId1033" Type="http://schemas.openxmlformats.org/officeDocument/2006/relationships/hyperlink" Target="http://www.rand.org/" TargetMode="External"/><Relationship Id="rId487" Type="http://schemas.openxmlformats.org/officeDocument/2006/relationships/hyperlink" Target="https://drive.google.com/open?id=1snU1rcc1qWYWap3mwM6EtLeVI3uoCvec" TargetMode="External"/><Relationship Id="rId610" Type="http://schemas.openxmlformats.org/officeDocument/2006/relationships/hyperlink" Target="https://issafrica.org/research/africa-report/impact-of-covid-19-in-africa-a-scenario-analysis-to-2030" TargetMode="External"/><Relationship Id="rId694" Type="http://schemas.openxmlformats.org/officeDocument/2006/relationships/hyperlink" Target="https://www.gov.uk/" TargetMode="External"/><Relationship Id="rId708" Type="http://schemas.openxmlformats.org/officeDocument/2006/relationships/hyperlink" Target="https://www.gov.uk/" TargetMode="External"/><Relationship Id="rId915" Type="http://schemas.openxmlformats.org/officeDocument/2006/relationships/hyperlink" Target="https://drive.google.com/u/0/open?usp=forms_web&amp;id=10MV4v2judBhgv3EAG72ss_7C4HEyQbm0" TargetMode="External"/><Relationship Id="rId347" Type="http://schemas.openxmlformats.org/officeDocument/2006/relationships/hyperlink" Target="https://drive.google.com/open?id=1jjK1iOjPzWHYafR2A0uMrNANmdrs3Xdf" TargetMode="External"/><Relationship Id="rId999" Type="http://schemas.openxmlformats.org/officeDocument/2006/relationships/hyperlink" Target="https://www.uva.nl/en" TargetMode="External"/><Relationship Id="rId44" Type="http://schemas.openxmlformats.org/officeDocument/2006/relationships/hyperlink" Target="https://www.africom.mil/about-the-command/2020-posture-statement-to-congress" TargetMode="External"/><Relationship Id="rId554" Type="http://schemas.openxmlformats.org/officeDocument/2006/relationships/hyperlink" Target="https://drive.google.com/open?id=1E2gaKIegfx_zrBdxY3heYfqE4jCEhYTU" TargetMode="External"/><Relationship Id="rId761" Type="http://schemas.openxmlformats.org/officeDocument/2006/relationships/hyperlink" Target="https://www.government.se/" TargetMode="External"/><Relationship Id="rId859" Type="http://schemas.openxmlformats.org/officeDocument/2006/relationships/hyperlink" Target="https://drive.google.com/u/0/open?usp=forms_web&amp;id=1Srcw1Q9cdTjhEOIZNJkQG5zi9e1OPXJo" TargetMode="External"/><Relationship Id="rId193" Type="http://schemas.openxmlformats.org/officeDocument/2006/relationships/hyperlink" Target="https://drive.google.com/open?id=1K2BOEgwQOdmK62fkZ8dIaunGpxlLy1Ez" TargetMode="External"/><Relationship Id="rId207" Type="http://schemas.openxmlformats.org/officeDocument/2006/relationships/hyperlink" Target="https://drive.google.com/open?id=1dT0OgD-E1BFS_9bo9ZzG_2t0SoYukkmd" TargetMode="External"/><Relationship Id="rId414" Type="http://schemas.openxmlformats.org/officeDocument/2006/relationships/hyperlink" Target="https://drive.google.com/open?id=1MJpIRYxjOzDkFIjhUdZgtIrpb_PhJ8PV" TargetMode="External"/><Relationship Id="rId498" Type="http://schemas.openxmlformats.org/officeDocument/2006/relationships/hyperlink" Target="https://drive.google.com/open?id=1HxbOlDPXaJ_PQLcTthwnQwx5ohurknA4" TargetMode="External"/><Relationship Id="rId621" Type="http://schemas.openxmlformats.org/officeDocument/2006/relationships/hyperlink" Target="https://drive.google.com/u/0/open?usp=forms_web&amp;id=1Ul5DAw5j6-iVjewcAOdCYcmx0qRzBzyT" TargetMode="External"/><Relationship Id="rId260" Type="http://schemas.openxmlformats.org/officeDocument/2006/relationships/hyperlink" Target="https://drive.google.com/open?id=1p0jl2FnuGcAyLws2pSh6BTwwtr-rKjRh" TargetMode="External"/><Relationship Id="rId719" Type="http://schemas.openxmlformats.org/officeDocument/2006/relationships/hyperlink" Target="https://drive.google.com/u/0/open?usp=forms_web&amp;id=1-433cAOU6cCV_00u7-mz4wKKFvZht1tm" TargetMode="External"/><Relationship Id="rId926" Type="http://schemas.openxmlformats.org/officeDocument/2006/relationships/hyperlink" Target="https://drive.google.com/u/0/open?usp=forms_web&amp;id=1U6t8bQY97n9jHXVbWI8vlzoicMl2rB47" TargetMode="External"/><Relationship Id="rId55" Type="http://schemas.openxmlformats.org/officeDocument/2006/relationships/hyperlink" Target="https://issafrica.org/research/north-africa-report/the-rebirth-tunisias-potential-development-pathways-to-2040" TargetMode="External"/><Relationship Id="rId120" Type="http://schemas.openxmlformats.org/officeDocument/2006/relationships/hyperlink" Target="https://ndupress.ndu.edu/Portals/68/Documents/prism/prism_9-2/prism_9-2.pdf" TargetMode="External"/><Relationship Id="rId358" Type="http://schemas.openxmlformats.org/officeDocument/2006/relationships/hyperlink" Target="https://drive.google.com/open?id=1V7GlI_f0EUJUxyHUqEJE-DpQb7O2IF58" TargetMode="External"/><Relationship Id="rId565" Type="http://schemas.openxmlformats.org/officeDocument/2006/relationships/hyperlink" Target="https://drive.google.com/open?id=1JOFPQHGZpX30hzCN4nWmfn8IvU3I6jPN" TargetMode="External"/><Relationship Id="rId772" Type="http://schemas.openxmlformats.org/officeDocument/2006/relationships/hyperlink" Target="https://drive.google.com/u/0/open?usp=forms_web&amp;id=1Oz8icDMpQVsfIAqpnYA4zLlf6lcBx1QJ" TargetMode="External"/><Relationship Id="rId218" Type="http://schemas.openxmlformats.org/officeDocument/2006/relationships/hyperlink" Target="https://drive.google.com/open?id=1Bfi3UTwqluZ9hJfRfMX73ZJPQmRXR8CF" TargetMode="External"/><Relationship Id="rId425" Type="http://schemas.openxmlformats.org/officeDocument/2006/relationships/hyperlink" Target="https://drive.google.com/open?id=10s_uL7ljAMSveKrIHlvAPhOWFsS9U5mM" TargetMode="External"/><Relationship Id="rId632" Type="http://schemas.openxmlformats.org/officeDocument/2006/relationships/hyperlink" Target="https://drive.google.com/u/0/open?usp=forms_web&amp;id=18lIb4d4S3lkHHN26RmsYvt9SomhuEFS4" TargetMode="External"/><Relationship Id="rId271" Type="http://schemas.openxmlformats.org/officeDocument/2006/relationships/hyperlink" Target="https://drive.google.com/open?id=1vTQhJC8eAj8Vbfew4dcVEfGs-u4MfVUI" TargetMode="External"/><Relationship Id="rId937" Type="http://schemas.openxmlformats.org/officeDocument/2006/relationships/hyperlink" Target="https://drive.google.com/u/0/open?usp=forms_web&amp;id=1JwXOkn9VnVT4yzgUQ0nR3AD17rG2ZeI5" TargetMode="External"/><Relationship Id="rId66" Type="http://schemas.openxmlformats.org/officeDocument/2006/relationships/hyperlink" Target="https://www.sipri.org/publications/2019/other-publications/securing-legitimate-stability-drc-external-assumptions-and-local-perspectives" TargetMode="External"/><Relationship Id="rId131" Type="http://schemas.openxmlformats.org/officeDocument/2006/relationships/hyperlink" Target="https://cove.army.gov.au/sites/default/files/08-09_0/08/Future-Operating-Environment-2035.pdf" TargetMode="External"/><Relationship Id="rId369" Type="http://schemas.openxmlformats.org/officeDocument/2006/relationships/hyperlink" Target="https://drive.google.com/open?id=1XhMKGJeIgqlV8jjAp3V0RGI76RX7Uyuu" TargetMode="External"/><Relationship Id="rId576" Type="http://schemas.openxmlformats.org/officeDocument/2006/relationships/hyperlink" Target="https://drive.google.com/open?id=15BB9DHFQxS3JWyPr2hsNkcoc1V96KYGE" TargetMode="External"/><Relationship Id="rId783" Type="http://schemas.openxmlformats.org/officeDocument/2006/relationships/hyperlink" Target="https://drive.google.com/u/0/open?usp=forms_web&amp;id=1nYNGGcnzv9zi_UyDPGdo1UtsRNQTfzOA" TargetMode="External"/><Relationship Id="rId990" Type="http://schemas.openxmlformats.org/officeDocument/2006/relationships/hyperlink" Target="https://www.hb.se/en/" TargetMode="External"/><Relationship Id="rId229" Type="http://schemas.openxmlformats.org/officeDocument/2006/relationships/hyperlink" Target="https://drive.google.com/open?id=1hri8WDXAxhRXBjDk7A2RMt5F8haGMh2x" TargetMode="External"/><Relationship Id="rId436" Type="http://schemas.openxmlformats.org/officeDocument/2006/relationships/hyperlink" Target="https://drive.google.com/open?id=1LmZfQJ24eAv5LpWNeTg_mIdUPzkN-88_" TargetMode="External"/><Relationship Id="rId643" Type="http://schemas.openxmlformats.org/officeDocument/2006/relationships/hyperlink" Target="https://drive.google.com/u/0/open?usp=forms_web&amp;id=19K9TAT8vDK8DyyrfcD88siTYzwVHcBWR" TargetMode="External"/><Relationship Id="rId850" Type="http://schemas.openxmlformats.org/officeDocument/2006/relationships/hyperlink" Target="https://www.mod.gov.lv/lv" TargetMode="External"/><Relationship Id="rId948" Type="http://schemas.openxmlformats.org/officeDocument/2006/relationships/hyperlink" Target="https://drive.google.com/u/0/open?usp=forms_web&amp;id=1bJN_4C40Ckj1PYI1ncZDBNiEIQUwhesY" TargetMode="External"/><Relationship Id="rId77" Type="http://schemas.openxmlformats.org/officeDocument/2006/relationships/hyperlink" Target="https://www.navy.gov.au/sites/default/files/documents/Australian_vision_of_Indo-Pacific_Through_Strategic_and_Maritime_Lens_0.pdf" TargetMode="External"/><Relationship Id="rId282" Type="http://schemas.openxmlformats.org/officeDocument/2006/relationships/hyperlink" Target="https://drive.google.com/open?id=1zMfO699VFAuVYmmZqYtTPGQivIjJhxC_" TargetMode="External"/><Relationship Id="rId503" Type="http://schemas.openxmlformats.org/officeDocument/2006/relationships/hyperlink" Target="https://drive.google.com/open?id=1y5FrEiS2l2FqT93zERR7NseS18wTqlDs" TargetMode="External"/><Relationship Id="rId587" Type="http://schemas.openxmlformats.org/officeDocument/2006/relationships/hyperlink" Target="https://drive.google.com/open?id=1FTuQ-n_zZMq4tNfQY39wjBhIhYK_q2ne" TargetMode="External"/><Relationship Id="rId710" Type="http://schemas.openxmlformats.org/officeDocument/2006/relationships/hyperlink" Target="https://rusi.org/" TargetMode="External"/><Relationship Id="rId808" Type="http://schemas.openxmlformats.org/officeDocument/2006/relationships/hyperlink" Target="https://www.gov.uk/" TargetMode="External"/><Relationship Id="rId8" Type="http://schemas.openxmlformats.org/officeDocument/2006/relationships/hyperlink" Target="https://csis-website-prod.s3.amazonaws.com/s3fs-public/legacy_files/files/publication/151106_Miller_Defense2045_Web.pdf" TargetMode="External"/><Relationship Id="rId142" Type="http://schemas.openxmlformats.org/officeDocument/2006/relationships/hyperlink" Target="https://igarape.org.br/future-crime-assessing-twenty-first-century-crime-prediction/" TargetMode="External"/><Relationship Id="rId447" Type="http://schemas.openxmlformats.org/officeDocument/2006/relationships/hyperlink" Target="https://drive.google.com/open?id=1iz4rTvwnuJkfhHX94hwVL5AXNPvXX-op" TargetMode="External"/><Relationship Id="rId794" Type="http://schemas.openxmlformats.org/officeDocument/2006/relationships/hyperlink" Target="https://iep.lisboa.ucp.pt/pt-pt/homepage" TargetMode="External"/><Relationship Id="rId654" Type="http://schemas.openxmlformats.org/officeDocument/2006/relationships/hyperlink" Target="https://www.gov.uk/" TargetMode="External"/><Relationship Id="rId861" Type="http://schemas.openxmlformats.org/officeDocument/2006/relationships/hyperlink" Target="https://drive.google.com/u/0/open?usp=forms_web&amp;id=15DeKTlctY2NEskDHgMx8XGdu4RpZoep5" TargetMode="External"/><Relationship Id="rId959" Type="http://schemas.openxmlformats.org/officeDocument/2006/relationships/hyperlink" Target="https://gouvernement.lu/" TargetMode="External"/><Relationship Id="rId293" Type="http://schemas.openxmlformats.org/officeDocument/2006/relationships/hyperlink" Target="https://drive.google.com/open?id=19CPFl4b3BVvd4cdiizPMX_s8BAWAflk-" TargetMode="External"/><Relationship Id="rId307" Type="http://schemas.openxmlformats.org/officeDocument/2006/relationships/hyperlink" Target="https://drive.google.com/open?id=1bq-_j0h99oGOjE6lrpibiT5YYLoPhHiz" TargetMode="External"/><Relationship Id="rId514" Type="http://schemas.openxmlformats.org/officeDocument/2006/relationships/hyperlink" Target="https://drive.google.com/open?id=1Nscq7asecjxyosN5csqLmYF6SepvDT3L" TargetMode="External"/><Relationship Id="rId721" Type="http://schemas.openxmlformats.org/officeDocument/2006/relationships/hyperlink" Target="https://drive.google.com/u/0/open?usp=forms_web&amp;id=1JtNRmkuwyVJSA5HhuBlBPXTZqYslhP8X" TargetMode="External"/><Relationship Id="rId88" Type="http://schemas.openxmlformats.org/officeDocument/2006/relationships/hyperlink" Target="https://www.dst.defence.gov.au/sites/default/files/publications/documents/DST-Group-GD-1022_0.pdf" TargetMode="External"/><Relationship Id="rId153" Type="http://schemas.openxmlformats.org/officeDocument/2006/relationships/hyperlink" Target="https://publicaciones.defensa.gob.es/media/downloadable/files/links/p/a/panorama_de_tend_ncias_geopol_ticas._horizonte_2040_2.pdf" TargetMode="External"/><Relationship Id="rId360" Type="http://schemas.openxmlformats.org/officeDocument/2006/relationships/hyperlink" Target="https://drive.google.com/open?id=1S1NFNobXCztiNXxp38g5gNHPkojnKsoo" TargetMode="External"/><Relationship Id="rId598" Type="http://schemas.openxmlformats.org/officeDocument/2006/relationships/hyperlink" Target="https://drive.google.com/open?id=1qWSDnvY-fnfxDf0OrbqXd0QoYnnqGnVR" TargetMode="External"/><Relationship Id="rId819" Type="http://schemas.openxmlformats.org/officeDocument/2006/relationships/hyperlink" Target="https://drive.google.com/u/0/open?usp=forms_web&amp;id=1CG8wQkAJSZ12V1T5Oq2iipKzhT5Qz3Qc" TargetMode="External"/><Relationship Id="rId1004" Type="http://schemas.openxmlformats.org/officeDocument/2006/relationships/hyperlink" Target="https://drive.google.com/u/0/open?usp=forms_web&amp;id=16N0oR3blE-4e7Ab-9uYuicyi-8ZmSBlp" TargetMode="External"/><Relationship Id="rId220" Type="http://schemas.openxmlformats.org/officeDocument/2006/relationships/hyperlink" Target="https://drive.google.com/open?id=1_cvvPGxkn9EnNqkgAlaD7g4X_4iJe9pQ" TargetMode="External"/><Relationship Id="rId458" Type="http://schemas.openxmlformats.org/officeDocument/2006/relationships/hyperlink" Target="https://drive.google.com/open?id=1tUuW3Xcr2GUrHyZtWAQ--7Rx3vOUU0sU" TargetMode="External"/><Relationship Id="rId665" Type="http://schemas.openxmlformats.org/officeDocument/2006/relationships/hyperlink" Target="https://drive.google.com/u/0/open?usp=forms_web&amp;id=1vNZKHQCCU7E3n-cK_AuqjcuacPCPfv4t" TargetMode="External"/><Relationship Id="rId872" Type="http://schemas.openxmlformats.org/officeDocument/2006/relationships/hyperlink" Target="https://new.ras.ru/en/" TargetMode="External"/><Relationship Id="rId15" Type="http://schemas.openxmlformats.org/officeDocument/2006/relationships/hyperlink" Target="https://cesnav.uninav.edu.mx/cesnav/revista_pdf/2019/2019-4.pdf" TargetMode="External"/><Relationship Id="rId318" Type="http://schemas.openxmlformats.org/officeDocument/2006/relationships/hyperlink" Target="https://drive.google.com/open?id=1S7qiZFNC889Z7ZWQd-Rv2VpdPM4XY_lm" TargetMode="External"/><Relationship Id="rId525" Type="http://schemas.openxmlformats.org/officeDocument/2006/relationships/hyperlink" Target="https://drive.google.com/open?id=1upAFXCQuie1EwoQzPgumwOSekTDmzDwp" TargetMode="External"/><Relationship Id="rId732" Type="http://schemas.openxmlformats.org/officeDocument/2006/relationships/hyperlink" Target="https://www.gov.uk/" TargetMode="External"/><Relationship Id="rId99" Type="http://schemas.openxmlformats.org/officeDocument/2006/relationships/hyperlink" Target="https://www.nzdf.mil.nz/assets/publication/Defence-BIM.pdf" TargetMode="External"/><Relationship Id="rId164" Type="http://schemas.openxmlformats.org/officeDocument/2006/relationships/hyperlink" Target="https://www.defence.govt.nz/assets/publication/file/Increasing-Defence-Diplomatic-Presence-in-the-Pacific.pdf" TargetMode="External"/><Relationship Id="rId371" Type="http://schemas.openxmlformats.org/officeDocument/2006/relationships/hyperlink" Target="https://drive.google.com/open?id=1GApRizIMo2P5qOc80EPAvxZrkCSJewyJ" TargetMode="External"/><Relationship Id="rId1015" Type="http://schemas.openxmlformats.org/officeDocument/2006/relationships/hyperlink" Target="https://www.twz.com/" TargetMode="External"/><Relationship Id="rId469" Type="http://schemas.openxmlformats.org/officeDocument/2006/relationships/hyperlink" Target="https://drive.google.com/open?id=192gN5rweAKBY7zJkhp713q8c8VrNTElW" TargetMode="External"/><Relationship Id="rId676" Type="http://schemas.openxmlformats.org/officeDocument/2006/relationships/hyperlink" Target="https://www.gov.uk/" TargetMode="External"/><Relationship Id="rId883" Type="http://schemas.openxmlformats.org/officeDocument/2006/relationships/hyperlink" Target="https://drive.google.com/u/0/open?usp=forms_web&amp;id=1cj8rsRkuIHTrp-xAqafN-6BrMfCwqx9u" TargetMode="External"/><Relationship Id="rId26" Type="http://schemas.openxmlformats.org/officeDocument/2006/relationships/hyperlink" Target="https://www.csis.org/analysis/americas-arctic-moment-great-power-competition-arctic-2050" TargetMode="External"/><Relationship Id="rId231" Type="http://schemas.openxmlformats.org/officeDocument/2006/relationships/hyperlink" Target="https://drive.google.com/open?id=1AJoJd_VXd9_c97o7FxYJk8dhHMCa5J1B" TargetMode="External"/><Relationship Id="rId329" Type="http://schemas.openxmlformats.org/officeDocument/2006/relationships/hyperlink" Target="https://drive.google.com/open?id=1BefAld-dH9LpTVNbdaWf2bUUzpVAjqgk" TargetMode="External"/><Relationship Id="rId536" Type="http://schemas.openxmlformats.org/officeDocument/2006/relationships/hyperlink" Target="https://drive.google.com/open?id=1q6tlN22XYheY7meZf3JvjPXP99ZMAIaa" TargetMode="External"/><Relationship Id="rId175" Type="http://schemas.openxmlformats.org/officeDocument/2006/relationships/hyperlink" Target="https://www.iss.europa.eu/sites/default/files/EUISSFiles/CCB%20Report%20Final.pdf" TargetMode="External"/><Relationship Id="rId743" Type="http://schemas.openxmlformats.org/officeDocument/2006/relationships/hyperlink" Target="http://rand.org/" TargetMode="External"/><Relationship Id="rId950" Type="http://schemas.openxmlformats.org/officeDocument/2006/relationships/hyperlink" Target="https://drive.google.com/u/0/open?usp=forms_web&amp;id=1quTFnPFUcwbKCPEwK9MMy30P1RgYEUdT" TargetMode="External"/><Relationship Id="rId1026" Type="http://schemas.openxmlformats.org/officeDocument/2006/relationships/hyperlink" Target="https://www.naadsn.ca/" TargetMode="External"/><Relationship Id="rId382" Type="http://schemas.openxmlformats.org/officeDocument/2006/relationships/hyperlink" Target="https://drive.google.com/open?id=1t_x7LStETtpD4jWuby-y2WDC4gIp75I_" TargetMode="External"/><Relationship Id="rId603" Type="http://schemas.openxmlformats.org/officeDocument/2006/relationships/hyperlink" Target="https://www.rand.org/pubs/research_reports/RRA739-4.html" TargetMode="External"/><Relationship Id="rId687" Type="http://schemas.openxmlformats.org/officeDocument/2006/relationships/hyperlink" Target="https://drive.google.com/u/0/open?usp=forms_web&amp;id=1_p4CCcY0gru24FVL4T5E8eQ9SNIWNLNL" TargetMode="External"/><Relationship Id="rId810" Type="http://schemas.openxmlformats.org/officeDocument/2006/relationships/hyperlink" Target="http://nato.int/" TargetMode="External"/><Relationship Id="rId908" Type="http://schemas.openxmlformats.org/officeDocument/2006/relationships/hyperlink" Target="https://www.unipi.gr/en/home/" TargetMode="External"/><Relationship Id="rId242" Type="http://schemas.openxmlformats.org/officeDocument/2006/relationships/hyperlink" Target="https://drive.google.com/open?id=1wDLFh2ASlVbvi5nggx-7XWkSaWsnA1_-" TargetMode="External"/><Relationship Id="rId894" Type="http://schemas.openxmlformats.org/officeDocument/2006/relationships/hyperlink" Target="http://nato.int/" TargetMode="External"/><Relationship Id="rId37" Type="http://schemas.openxmlformats.org/officeDocument/2006/relationships/hyperlink" Target="https://css.ethz.ch/content/dam/ethz/special-interest/gess/cis/center-for-securities-studies/pdfs/Cyber-Reports-2020-10-Romania.pdf" TargetMode="External"/><Relationship Id="rId102" Type="http://schemas.openxmlformats.org/officeDocument/2006/relationships/hyperlink" Target="https://www.jstor.org/stable/pdf/26467881.pdf?refreqid=excelsior%3Ac8e820b83716b232f62c298045ecf09c" TargetMode="External"/><Relationship Id="rId547" Type="http://schemas.openxmlformats.org/officeDocument/2006/relationships/hyperlink" Target="https://drive.google.com/open?id=1HHqTxncUHZoj_7kNOP7aKiqwSQgTsLOD" TargetMode="External"/><Relationship Id="rId754" Type="http://schemas.openxmlformats.org/officeDocument/2006/relationships/hyperlink" Target="https://drive.google.com/u/0/open?usp=forms_web&amp;id=1sUKvwqNmQc9gEdGYhlWKMlHBGO0S7mqV" TargetMode="External"/><Relationship Id="rId961" Type="http://schemas.openxmlformats.org/officeDocument/2006/relationships/hyperlink" Target="https://drive.google.com/u/0/open?usp=forms_web&amp;id=1ZAwqWxKLvLFEr3ecdgQZ0Gu8voUrzwof" TargetMode="External"/><Relationship Id="rId90" Type="http://schemas.openxmlformats.org/officeDocument/2006/relationships/hyperlink" Target="https://www.dst.defence.gov.au/sites/default/files/publications/documents/National%20Security%20Science%20and%20Technology%20Priorities.pdf" TargetMode="External"/><Relationship Id="rId186" Type="http://schemas.openxmlformats.org/officeDocument/2006/relationships/hyperlink" Target="https://drive.google.com/open?id=1H_PcQ0AXVHnnWTLoQMqiUHrNHl5xvTgA" TargetMode="External"/><Relationship Id="rId393" Type="http://schemas.openxmlformats.org/officeDocument/2006/relationships/hyperlink" Target="https://drive.google.com/open?id=13S26WTE3kxMr8Kx_qgee1v7AJ-XAdzf1" TargetMode="External"/><Relationship Id="rId407" Type="http://schemas.openxmlformats.org/officeDocument/2006/relationships/hyperlink" Target="https://drive.google.com/open?id=1oT7Vxb1WZAYHzv1-stCgcH8pA9QAwtiD" TargetMode="External"/><Relationship Id="rId614" Type="http://schemas.openxmlformats.org/officeDocument/2006/relationships/hyperlink" Target="https://media.nti.org/documents/NTI_Paper_U.S._Nuclear_Policies_for_a_Safer_World.pdf" TargetMode="External"/><Relationship Id="rId821" Type="http://schemas.openxmlformats.org/officeDocument/2006/relationships/hyperlink" Target="https://drive.google.com/u/0/open?usp=forms_web&amp;id=1CD-oyZfbeBLVOnF9FG3jM5zjUFH6t0QO" TargetMode="External"/><Relationship Id="rId253" Type="http://schemas.openxmlformats.org/officeDocument/2006/relationships/hyperlink" Target="https://drive.google.com/open?id=1FkO3kUEKcVAXnN4yxaRjZvQ6SlSdOmU_" TargetMode="External"/><Relationship Id="rId460" Type="http://schemas.openxmlformats.org/officeDocument/2006/relationships/hyperlink" Target="https://drive.google.com/open?id=1GxA7YL3eZKrr0EgqXrqKWfgJFtlNhlEq" TargetMode="External"/><Relationship Id="rId698" Type="http://schemas.openxmlformats.org/officeDocument/2006/relationships/hyperlink" Target="https://www.gov.uk/" TargetMode="External"/><Relationship Id="rId919" Type="http://schemas.openxmlformats.org/officeDocument/2006/relationships/hyperlink" Target="https://www.universiteitleiden.nl/en" TargetMode="External"/><Relationship Id="rId48" Type="http://schemas.openxmlformats.org/officeDocument/2006/relationships/hyperlink" Target="https://www.atlanticcouncil.org/" TargetMode="External"/><Relationship Id="rId113" Type="http://schemas.openxmlformats.org/officeDocument/2006/relationships/hyperlink" Target="https://www.nasa.gov/langley/overview/2020-annual-report/" TargetMode="External"/><Relationship Id="rId320" Type="http://schemas.openxmlformats.org/officeDocument/2006/relationships/hyperlink" Target="https://drive.google.com/open?id=1RSGS36K8jO8PI6kau-bZCie0VZqdJWQ4" TargetMode="External"/><Relationship Id="rId558" Type="http://schemas.openxmlformats.org/officeDocument/2006/relationships/hyperlink" Target="https://drive.google.com/open?id=1GvB9Fecsx2wUUdUbnUFAepqr5SpAaCuz" TargetMode="External"/><Relationship Id="rId765" Type="http://schemas.openxmlformats.org/officeDocument/2006/relationships/hyperlink" Target="https://www.gov.uk/" TargetMode="External"/><Relationship Id="rId972" Type="http://schemas.openxmlformats.org/officeDocument/2006/relationships/hyperlink" Target="https://www.osce.org/" TargetMode="External"/><Relationship Id="rId197" Type="http://schemas.openxmlformats.org/officeDocument/2006/relationships/hyperlink" Target="https://drive.google.com/open?id=1XL2ejTvazKfgcBs73rhqP0kQzu2E6mWM" TargetMode="External"/><Relationship Id="rId418" Type="http://schemas.openxmlformats.org/officeDocument/2006/relationships/hyperlink" Target="https://drive.google.com/open?id=192K95bso6_nGhnGqN0XIIstDT6mA-XLz" TargetMode="External"/><Relationship Id="rId625" Type="http://schemas.openxmlformats.org/officeDocument/2006/relationships/hyperlink" Target="https://drive.google.com/u/0/open?usp=forms_web&amp;id=1HB5mHBQd6m7FhoNM9AvvUZetfO-b0gzt" TargetMode="External"/><Relationship Id="rId832" Type="http://schemas.openxmlformats.org/officeDocument/2006/relationships/hyperlink" Target="https://www.government.se/" TargetMode="External"/><Relationship Id="rId264" Type="http://schemas.openxmlformats.org/officeDocument/2006/relationships/hyperlink" Target="https://drive.google.com/open?id=1JSZ7ZS1e6kgRKbjZwCjcYaioL4CpTdxM" TargetMode="External"/><Relationship Id="rId471" Type="http://schemas.openxmlformats.org/officeDocument/2006/relationships/hyperlink" Target="https://drive.google.com/open?id=1dcGSjIFm2a5-KC54T0o3D0MmarzHd1PW" TargetMode="External"/><Relationship Id="rId59" Type="http://schemas.openxmlformats.org/officeDocument/2006/relationships/hyperlink" Target="https://peacekeeping.un.org/sites/default/files/fopo_scenarios_paul_williams_final.pdf" TargetMode="External"/><Relationship Id="rId124" Type="http://schemas.openxmlformats.org/officeDocument/2006/relationships/hyperlink" Target="http://www3.weforum.org/docs/WEF_The_Global_Risks_Report_2021.pdf" TargetMode="External"/><Relationship Id="rId569" Type="http://schemas.openxmlformats.org/officeDocument/2006/relationships/hyperlink" Target="https://drive.google.com/open?id=1CWHQn3-zuc8__IUw9Km51zgZ8URuyQRx" TargetMode="External"/><Relationship Id="rId776" Type="http://schemas.openxmlformats.org/officeDocument/2006/relationships/hyperlink" Target="https://drive.google.com/u/0/open?usp=forms_web&amp;id=12BuT1m-fBBFsAVNf4TTCRC5eS1UaBLJh" TargetMode="External"/><Relationship Id="rId983" Type="http://schemas.openxmlformats.org/officeDocument/2006/relationships/hyperlink" Target="https://www.ums.edu.my/" TargetMode="External"/><Relationship Id="rId331" Type="http://schemas.openxmlformats.org/officeDocument/2006/relationships/hyperlink" Target="https://drive.google.com/open?id=1morvQNTZMYyBKZAlMN3zH_j4MaMYMCLK" TargetMode="External"/><Relationship Id="rId429" Type="http://schemas.openxmlformats.org/officeDocument/2006/relationships/hyperlink" Target="https://drive.google.com/open?id=1KxTTdmcqUIb5ub5bMEvXG6FlsV9NPYN6" TargetMode="External"/><Relationship Id="rId636" Type="http://schemas.openxmlformats.org/officeDocument/2006/relationships/hyperlink" Target="https://drive.google.com/u/0/open?usp=forms_web&amp;id=11d8y_YWgH39IVAzDRx3iwq6tFNTAAEBi" TargetMode="External"/><Relationship Id="rId843" Type="http://schemas.openxmlformats.org/officeDocument/2006/relationships/hyperlink" Target="https://drive.google.com/u/0/open?usp=forms_web&amp;id=1_IZQdfzFfiTptq9EXO9icOYQ8QSPFz5n" TargetMode="External"/><Relationship Id="rId275" Type="http://schemas.openxmlformats.org/officeDocument/2006/relationships/hyperlink" Target="https://drive.google.com/open?id=1aSg5b3uGNABAC1BbvTayM_N5WsIQO89R" TargetMode="External"/><Relationship Id="rId482" Type="http://schemas.openxmlformats.org/officeDocument/2006/relationships/hyperlink" Target="https://drive.google.com/open?id=1K4l-BWvVELrJ925ickZefvHbdeAjjJcE" TargetMode="External"/><Relationship Id="rId703" Type="http://schemas.openxmlformats.org/officeDocument/2006/relationships/hyperlink" Target="https://drive.google.com/u/0/open?usp=forms_web&amp;id=1NGJUPauBdXMnOgjatylvB801HuiNa4Kj" TargetMode="External"/><Relationship Id="rId910" Type="http://schemas.openxmlformats.org/officeDocument/2006/relationships/hyperlink" Target="https://militaryschooldirectory.com/indonesian-naval-academy/" TargetMode="External"/><Relationship Id="rId135" Type="http://schemas.openxmlformats.org/officeDocument/2006/relationships/hyperlink" Target="https://csbaonline.org/research/publications/five-priorities-for-the-air-forces-future-combat-air-force" TargetMode="External"/><Relationship Id="rId342" Type="http://schemas.openxmlformats.org/officeDocument/2006/relationships/hyperlink" Target="https://drive.google.com/open?id=1-6b5BTNG78AknhvmdxFkepR2FHUK-F7F" TargetMode="External"/><Relationship Id="rId787" Type="http://schemas.openxmlformats.org/officeDocument/2006/relationships/hyperlink" Target="https://drive.google.com/u/0/open?usp=forms_web&amp;id=1d9C11gOEdyzGzluzonmld5d04k_xv1Fh" TargetMode="External"/><Relationship Id="rId994" Type="http://schemas.openxmlformats.org/officeDocument/2006/relationships/hyperlink" Target="https://drive.google.com/u/0/open?usp=forms_web&amp;id=1HtAChECCCp1_92T1rwq_VXFgcdLvnQW_" TargetMode="External"/><Relationship Id="rId202" Type="http://schemas.openxmlformats.org/officeDocument/2006/relationships/hyperlink" Target="https://drive.google.com/open?id=1C4RRCTSjTv99CWA76A0l4dFiH-bIzZfV" TargetMode="External"/><Relationship Id="rId647" Type="http://schemas.openxmlformats.org/officeDocument/2006/relationships/hyperlink" Target="https://drive.google.com/u/0/open?usp=forms_web&amp;id=1muqrvI9mnxwxEPXrRZDrVF1NtvrwaLiy" TargetMode="External"/><Relationship Id="rId854" Type="http://schemas.openxmlformats.org/officeDocument/2006/relationships/hyperlink" Target="https://www.mod.gov.lv/lv" TargetMode="External"/><Relationship Id="rId286" Type="http://schemas.openxmlformats.org/officeDocument/2006/relationships/hyperlink" Target="https://drive.google.com/open?id=1Lp9Gk-fv8LZnmBiVhF097Y59J_ugDuuO" TargetMode="External"/><Relationship Id="rId493" Type="http://schemas.openxmlformats.org/officeDocument/2006/relationships/hyperlink" Target="https://drive.google.com/open?id=1pkHspvS4dpGt-Zr_tMkTcHohUpvIjbFE" TargetMode="External"/><Relationship Id="rId507" Type="http://schemas.openxmlformats.org/officeDocument/2006/relationships/hyperlink" Target="https://drive.google.com/open?id=1K_tGdwgHGHn91wxWBKvRjZW_pg164XWT" TargetMode="External"/><Relationship Id="rId714" Type="http://schemas.openxmlformats.org/officeDocument/2006/relationships/hyperlink" Target="https://rusi.org/" TargetMode="External"/><Relationship Id="rId921" Type="http://schemas.openxmlformats.org/officeDocument/2006/relationships/hyperlink" Target="https://international.ui.ac.id/about-ui/" TargetMode="External"/><Relationship Id="rId50" Type="http://schemas.openxmlformats.org/officeDocument/2006/relationships/hyperlink" Target="https://www.rand.org/" TargetMode="External"/><Relationship Id="rId146" Type="http://schemas.openxmlformats.org/officeDocument/2006/relationships/hyperlink" Target="https://ageconsearch.umn.edu/record/309399/" TargetMode="External"/><Relationship Id="rId353" Type="http://schemas.openxmlformats.org/officeDocument/2006/relationships/hyperlink" Target="https://drive.google.com/open?id=1KACyz4TZm5ubLeFu6zGxuW7b0RXXdX35" TargetMode="External"/><Relationship Id="rId560" Type="http://schemas.openxmlformats.org/officeDocument/2006/relationships/hyperlink" Target="https://drive.google.com/open?id=1V94tkwUIhLRoiQhMecvGwr4f9bZdSJjq" TargetMode="External"/><Relationship Id="rId798" Type="http://schemas.openxmlformats.org/officeDocument/2006/relationships/hyperlink" Target="https://english.mapn.ro/" TargetMode="External"/><Relationship Id="rId213" Type="http://schemas.openxmlformats.org/officeDocument/2006/relationships/hyperlink" Target="https://drive.google.com/open?id=1ne6qpkidCZEzpfZ5ofDovFxGZ68erWDZ" TargetMode="External"/><Relationship Id="rId420" Type="http://schemas.openxmlformats.org/officeDocument/2006/relationships/hyperlink" Target="https://drive.google.com/open?id=1bFYDthrKC45Hw9iRA32Ewgm5iDHa7Ut5" TargetMode="External"/><Relationship Id="rId658" Type="http://schemas.openxmlformats.org/officeDocument/2006/relationships/hyperlink" Target="https://drive.google.com/u/0/open?usp=forms_web&amp;id=1KApWdkl14XyQ0Iaj8j0pKGC7quvnj_Xe" TargetMode="External"/><Relationship Id="rId865" Type="http://schemas.openxmlformats.org/officeDocument/2006/relationships/hyperlink" Target="https://drive.google.com/u/0/open?usp=forms_web&amp;id=1ezUcFza3uaXirqI8QexOKpkxYOqp-UrV" TargetMode="External"/><Relationship Id="rId297" Type="http://schemas.openxmlformats.org/officeDocument/2006/relationships/hyperlink" Target="https://drive.google.com/open?id=1-0LPQURMHWewzvlA0hmu1WpIuEL7Gxg_" TargetMode="External"/><Relationship Id="rId518" Type="http://schemas.openxmlformats.org/officeDocument/2006/relationships/hyperlink" Target="https://drive.google.com/open?id=1LwuS9zrkKaI4vQMh-ZUoeNqbdzjPV-fk" TargetMode="External"/><Relationship Id="rId725" Type="http://schemas.openxmlformats.org/officeDocument/2006/relationships/hyperlink" Target="https://drive.google.com/u/0/open?usp=forms_web&amp;id=1wsNzbD7GtpMF-TckHAsSvkuc8lc5jpjs" TargetMode="External"/><Relationship Id="rId932" Type="http://schemas.openxmlformats.org/officeDocument/2006/relationships/hyperlink" Target="http://nato.int/" TargetMode="External"/><Relationship Id="rId157" Type="http://schemas.openxmlformats.org/officeDocument/2006/relationships/hyperlink" Target="https://www.brookings.edu/research/addressing-youth-unemployment-in-africa-through-industries-without-smokestacks-a-synthesis-on-prospects-constraints-and-policies/" TargetMode="External"/><Relationship Id="rId364" Type="http://schemas.openxmlformats.org/officeDocument/2006/relationships/hyperlink" Target="https://drive.google.com/open?id=1DBCVZVEaKzMVR8GTtUGSIMdZVfO0fFtL" TargetMode="External"/><Relationship Id="rId1008" Type="http://schemas.openxmlformats.org/officeDocument/2006/relationships/hyperlink" Target="https://drive.google.com/u/0/open?usp=forms_web&amp;id=1rT2bCmdQNlsQzmipepn0ahAjHR0Gllp1" TargetMode="External"/><Relationship Id="rId61" Type="http://schemas.openxmlformats.org/officeDocument/2006/relationships/hyperlink" Target="https://peacekeeping.un.org/sites/default/files/estimating_future_conflict_risks_and_conflict_prevention_implications_by_2030.pdf" TargetMode="External"/><Relationship Id="rId571" Type="http://schemas.openxmlformats.org/officeDocument/2006/relationships/hyperlink" Target="https://drive.google.com/open?id=1Snd5vD6umj1LKYl9YS1caTUDI99RFOyW" TargetMode="External"/><Relationship Id="rId669" Type="http://schemas.openxmlformats.org/officeDocument/2006/relationships/hyperlink" Target="https://drive.google.com/u/0/open?usp=forms_web&amp;id=1x4Ns64Te9HXSHuZEuoqUv8vNwqCd5d92" TargetMode="External"/><Relationship Id="rId876" Type="http://schemas.openxmlformats.org/officeDocument/2006/relationships/hyperlink" Target="https://usnwc.edu/" TargetMode="External"/><Relationship Id="rId19" Type="http://schemas.openxmlformats.org/officeDocument/2006/relationships/hyperlink" Target="https://www.atlanticcouncil.org/content-series/shaping-post-covid-world-together/what-world-post-covid-19-three-scenarios/" TargetMode="External"/><Relationship Id="rId224" Type="http://schemas.openxmlformats.org/officeDocument/2006/relationships/hyperlink" Target="https://drive.google.com/open?id=1ePyETlZFMD7_CY4Tk16k6VnNiNq-eqyr" TargetMode="External"/><Relationship Id="rId431" Type="http://schemas.openxmlformats.org/officeDocument/2006/relationships/hyperlink" Target="https://drive.google.com/open?id=1tAS5wcb1dZDtgZkR_agH3twP3o5iI1aD" TargetMode="External"/><Relationship Id="rId529" Type="http://schemas.openxmlformats.org/officeDocument/2006/relationships/hyperlink" Target="https://drive.google.com/open?id=1oh9FWSFQQ1IyF-AKM-4mNXXE7eIQpovg" TargetMode="External"/><Relationship Id="rId736" Type="http://schemas.openxmlformats.org/officeDocument/2006/relationships/hyperlink" Target="https://drive.google.com/u/0/open?usp=forms_web&amp;id=1LNrmLNgpBzJ_xvKFZotzI18Puy9_yg1u" TargetMode="External"/><Relationship Id="rId168" Type="http://schemas.openxmlformats.org/officeDocument/2006/relationships/hyperlink" Target="https://media.defense.gov/2020/Sep/01/2002488689/-1/-1/1/2020-DOD-CHINA-MILITARY-POWER-REPORT-FINAL.PDF" TargetMode="External"/><Relationship Id="rId943" Type="http://schemas.openxmlformats.org/officeDocument/2006/relationships/hyperlink" Target="https://drive.google.com/u/0/open?usp=forms_web&amp;id=1cUupwD81JNv-8NvIOEtcauWZBMc8FVJy" TargetMode="External"/><Relationship Id="rId1019" Type="http://schemas.openxmlformats.org/officeDocument/2006/relationships/hyperlink" Target="https://drive.google.com/u/0/open?usp=forms_web&amp;id=1IvdVQM8DI3DxD1uCRmzNFD-DkFa-Z4XT" TargetMode="External"/><Relationship Id="rId72" Type="http://schemas.openxmlformats.org/officeDocument/2006/relationships/hyperlink" Target="https://issafrica.org/research/africa-report/maritime-cyber-security-getting-africa-ready" TargetMode="External"/><Relationship Id="rId375" Type="http://schemas.openxmlformats.org/officeDocument/2006/relationships/hyperlink" Target="https://drive.google.com/open?id=1agNiUkwRRtoHax07XF0IkSfEBj_vZmwt" TargetMode="External"/><Relationship Id="rId582" Type="http://schemas.openxmlformats.org/officeDocument/2006/relationships/hyperlink" Target="https://drive.google.com/open?id=1nmIvreBjr_DzXcIFkupG6cq_WW1wakAW" TargetMode="External"/><Relationship Id="rId803" Type="http://schemas.openxmlformats.org/officeDocument/2006/relationships/hyperlink" Target="https://drive.google.com/u/0/open?usp=forms_web&amp;id=1JL-I1tq1-R2UdWik615fpPxjKF-y8OLX" TargetMode="External"/><Relationship Id="rId3" Type="http://schemas.openxmlformats.org/officeDocument/2006/relationships/hyperlink" Target="https://www.naadsn.ca/wp-content/uploads/2020/09/20-Sept-15-NAADSN-Canadian-Arctic-Security-Strategic-Foresight-Analysis-2020-DRAFT-FOR-DISCUSSION-2.pdf" TargetMode="External"/><Relationship Id="rId235" Type="http://schemas.openxmlformats.org/officeDocument/2006/relationships/hyperlink" Target="https://drive.google.com/open?id=18cIg8wp5fBSESxrIp2eAPSlCiJcxsulb" TargetMode="External"/><Relationship Id="rId442" Type="http://schemas.openxmlformats.org/officeDocument/2006/relationships/hyperlink" Target="https://drive.google.com/open?id=1d9EmogM_vIQ0S03yI3VvGHURNSgjNcIK" TargetMode="External"/><Relationship Id="rId887" Type="http://schemas.openxmlformats.org/officeDocument/2006/relationships/hyperlink" Target="https://drive.google.com/u/0/open?usp=forms_web&amp;id=1R_RayDDjsscG_rrqIlDHkydogJyx4vS8" TargetMode="External"/><Relationship Id="rId302" Type="http://schemas.openxmlformats.org/officeDocument/2006/relationships/hyperlink" Target="https://drive.google.com/open?id=1NSU8X21iXiVVtXae5nOv9YMF_uSGu_n4" TargetMode="External"/><Relationship Id="rId747" Type="http://schemas.openxmlformats.org/officeDocument/2006/relationships/hyperlink" Target="https://www.csis.org/" TargetMode="External"/><Relationship Id="rId954" Type="http://schemas.openxmlformats.org/officeDocument/2006/relationships/hyperlink" Target="https://drive.google.com/u/0/open?usp=forms_web&amp;id=13WlSVe0w46mmIuUsl-6RZ-BqfXKhIeyC" TargetMode="External"/><Relationship Id="rId83" Type="http://schemas.openxmlformats.org/officeDocument/2006/relationships/hyperlink" Target="https://www.defence.gov.au/ADC/Publications/documents/joint_studies/JSPS_1_Australias_Joint_Approach.PDF" TargetMode="External"/><Relationship Id="rId179" Type="http://schemas.openxmlformats.org/officeDocument/2006/relationships/hyperlink" Target="https://www.rsis.edu.sg/rsis-publication/nts/disaster-governance-in-the-asia-pacific-future-pathways-for-south-and-southeast-asia/" TargetMode="External"/><Relationship Id="rId386" Type="http://schemas.openxmlformats.org/officeDocument/2006/relationships/hyperlink" Target="https://drive.google.com/open?id=1ZPqqhdPE9IOxLEg17uPKSXmMXp3ThgI-" TargetMode="External"/><Relationship Id="rId593" Type="http://schemas.openxmlformats.org/officeDocument/2006/relationships/hyperlink" Target="https://drive.google.com/open?id=1pE1m-ufYUkZPrnhza_npcaHoxtY_dQkB" TargetMode="External"/><Relationship Id="rId607" Type="http://schemas.openxmlformats.org/officeDocument/2006/relationships/hyperlink" Target="https://www.rand.org/pubs/research_reports/RRA612-1.html" TargetMode="External"/><Relationship Id="rId814" Type="http://schemas.openxmlformats.org/officeDocument/2006/relationships/hyperlink" Target="https://www.pssi.cz/" TargetMode="External"/><Relationship Id="rId246" Type="http://schemas.openxmlformats.org/officeDocument/2006/relationships/hyperlink" Target="https://drive.google.com/open?id=1EnFrzjNYbrNGF-qnikuUMDyYd8PwiSnU" TargetMode="External"/><Relationship Id="rId453" Type="http://schemas.openxmlformats.org/officeDocument/2006/relationships/hyperlink" Target="https://drive.google.com/open?id=1EVbqfgEyUe0wGCVPs6BTjMcqc1ADb8Tl" TargetMode="External"/><Relationship Id="rId660" Type="http://schemas.openxmlformats.org/officeDocument/2006/relationships/hyperlink" Target="https://www.ffi.no/en" TargetMode="External"/><Relationship Id="rId898" Type="http://schemas.openxmlformats.org/officeDocument/2006/relationships/hyperlink" Target="http://www.armyupress.army.mil/" TargetMode="External"/><Relationship Id="rId106" Type="http://schemas.openxmlformats.org/officeDocument/2006/relationships/hyperlink" Target="https://community.apan.org/wg/tradoc-g2/operational-environment-and-threat-analysis-directorate/m/documents/341291" TargetMode="External"/><Relationship Id="rId313" Type="http://schemas.openxmlformats.org/officeDocument/2006/relationships/hyperlink" Target="https://drive.google.com/open?id=1QC--wB9huAnrYyUVzLyTZL4tZ9nSMLrB" TargetMode="External"/><Relationship Id="rId758" Type="http://schemas.openxmlformats.org/officeDocument/2006/relationships/hyperlink" Target="https://drive.google.com/u/0/open?usp=forms_web&amp;id=1NtNmzM2maLVsGe3-aouKxVgRVcvpRtAo" TargetMode="External"/><Relationship Id="rId965" Type="http://schemas.openxmlformats.org/officeDocument/2006/relationships/hyperlink" Target="https://drive.google.com/u/0/open?usp=forms_web&amp;id=1OH05vDTWy8Vkl6EzDMwfNTFuxohg8KZq" TargetMode="External"/><Relationship Id="rId10" Type="http://schemas.openxmlformats.org/officeDocument/2006/relationships/hyperlink" Target="https://www.irena.org/-/media/Files/IRENA/Agency/Publication/2020/Apr/IRENA_Global_Renewables_Outlook_2020.pdf" TargetMode="External"/><Relationship Id="rId94" Type="http://schemas.openxmlformats.org/officeDocument/2006/relationships/hyperlink" Target="https://www.jstor.org/stable/pdf/resrep19788.pdf?ab_segments=0%252Fbasic_search_gsv2%252Fcontrol&amp;refreqid=excelsior%3A449d138e05269a21305eb9e3147ed9d3" TargetMode="External"/><Relationship Id="rId397" Type="http://schemas.openxmlformats.org/officeDocument/2006/relationships/hyperlink" Target="https://drive.google.com/open?id=1CqnSSeIQnHkW72Sc0JmODWmh2dcSMrDf" TargetMode="External"/><Relationship Id="rId520" Type="http://schemas.openxmlformats.org/officeDocument/2006/relationships/hyperlink" Target="https://drive.google.com/open?id=18zEAMYEGYTRzvV6oyC4Pnpx5h_KQdXYg" TargetMode="External"/><Relationship Id="rId618" Type="http://schemas.openxmlformats.org/officeDocument/2006/relationships/hyperlink" Target="https://www.gov.uk/government/organisations/ministry-of-defence" TargetMode="External"/><Relationship Id="rId825" Type="http://schemas.openxmlformats.org/officeDocument/2006/relationships/hyperlink" Target="https://www.navalnews.com/" TargetMode="External"/><Relationship Id="rId257" Type="http://schemas.openxmlformats.org/officeDocument/2006/relationships/hyperlink" Target="https://drive.google.com/open?id=1mbe6JgYEtrzuhNXkNne4AmTdgUGYDF4G" TargetMode="External"/><Relationship Id="rId464" Type="http://schemas.openxmlformats.org/officeDocument/2006/relationships/hyperlink" Target="https://drive.google.com/open?id=1p33rf8aW7Ou1qGhTvPgveK_1EcJIKYrY" TargetMode="External"/><Relationship Id="rId1010" Type="http://schemas.openxmlformats.org/officeDocument/2006/relationships/hyperlink" Target="https://drive.google.com/u/0/open?usp=forms_web&amp;id=1g5ACQ1R7pMyP02yRbKyiBnjvBmzggKP9" TargetMode="External"/><Relationship Id="rId117" Type="http://schemas.openxmlformats.org/officeDocument/2006/relationships/hyperlink" Target="https://www.dcsa.mil/Portals/91/Documents/CI/FY20%20Targeting%20US%20Technologies%20Handout.pdf" TargetMode="External"/><Relationship Id="rId671" Type="http://schemas.openxmlformats.org/officeDocument/2006/relationships/hyperlink" Target="https://drive.google.com/u/0/open?usp=forms_web&amp;id=1lClxjcNMXiFO-oVbL6IA2HEXoUE8Fl4o" TargetMode="External"/><Relationship Id="rId769" Type="http://schemas.openxmlformats.org/officeDocument/2006/relationships/hyperlink" Target="https://www.gov.uk/" TargetMode="External"/><Relationship Id="rId976" Type="http://schemas.openxmlformats.org/officeDocument/2006/relationships/hyperlink" Target="https://drive.google.com/u/0/open?usp=forms_web&amp;id=1NUe8a-senA21V9gMEzWXlq0NPBci1qPa" TargetMode="External"/><Relationship Id="rId324" Type="http://schemas.openxmlformats.org/officeDocument/2006/relationships/hyperlink" Target="https://drive.google.com/open?id=1GssUeZJ9N2XV5XwMdR81xaZDPFfVsY2l" TargetMode="External"/><Relationship Id="rId531" Type="http://schemas.openxmlformats.org/officeDocument/2006/relationships/hyperlink" Target="https://drive.google.com/open?id=1eJkWSXArPl9LDhfUw438aVuJJ-5yicni" TargetMode="External"/><Relationship Id="rId629" Type="http://schemas.openxmlformats.org/officeDocument/2006/relationships/hyperlink" Target="https://ac.nato.int/" TargetMode="External"/><Relationship Id="rId836" Type="http://schemas.openxmlformats.org/officeDocument/2006/relationships/hyperlink" Target="https://www.mod.gov.lv/lv" TargetMode="External"/><Relationship Id="rId1021" Type="http://schemas.openxmlformats.org/officeDocument/2006/relationships/hyperlink" Target="https://drive.google.com/u/0/open?usp=forms_web&amp;id=1Nl_tfeqq04JrWptnvol5xGWml4LPeV8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workbookViewId="0">
      <pane ySplit="1" topLeftCell="A2" activePane="bottomLeft" state="frozen"/>
      <selection pane="bottomLeft" activeCell="B3" sqref="B3"/>
    </sheetView>
  </sheetViews>
  <sheetFormatPr baseColWidth="10" defaultColWidth="12.6640625" defaultRowHeight="15.75" customHeight="1"/>
  <cols>
    <col min="1" max="1" width="21.1640625" customWidth="1"/>
    <col min="2" max="2" width="19.6640625" customWidth="1"/>
    <col min="3" max="8" width="18.83203125" customWidth="1"/>
  </cols>
  <sheetData>
    <row r="1" spans="1:2" ht="22.5" customHeight="1">
      <c r="A1" s="7" t="s">
        <v>10</v>
      </c>
      <c r="B1" s="7"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872"/>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10" defaultColWidth="12.6640625" defaultRowHeight="15.75" customHeight="1"/>
  <cols>
    <col min="1" max="1" width="13.6640625" customWidth="1"/>
    <col min="2" max="2" width="7.6640625" customWidth="1"/>
    <col min="3" max="3" width="16.1640625" customWidth="1"/>
    <col min="4" max="4" width="7.6640625" customWidth="1"/>
    <col min="5" max="5" width="47.6640625" customWidth="1"/>
    <col min="6" max="6" width="6.83203125" customWidth="1"/>
    <col min="7" max="7" width="18" customWidth="1"/>
    <col min="8" max="8" width="26.5" customWidth="1"/>
    <col min="9" max="9" width="55.1640625" customWidth="1"/>
  </cols>
  <sheetData>
    <row r="1" spans="1:27" ht="30" customHeight="1">
      <c r="A1" s="3" t="s">
        <v>0</v>
      </c>
      <c r="B1" s="8">
        <f>SUM(B2:B872)</f>
        <v>8.0796891327063527</v>
      </c>
      <c r="C1" s="3" t="s">
        <v>18</v>
      </c>
      <c r="D1" s="8">
        <f>SUM(D2:D872)</f>
        <v>55.520165945166006</v>
      </c>
      <c r="E1" s="3" t="s">
        <v>13</v>
      </c>
      <c r="F1" s="3" t="s">
        <v>25</v>
      </c>
      <c r="G1" s="3" t="s">
        <v>27</v>
      </c>
      <c r="H1" s="3" t="s">
        <v>17</v>
      </c>
      <c r="I1" s="3" t="s">
        <v>31</v>
      </c>
      <c r="J1" s="3" t="s">
        <v>34</v>
      </c>
      <c r="K1" s="3" t="s">
        <v>35</v>
      </c>
      <c r="L1" s="11" t="s">
        <v>37</v>
      </c>
      <c r="M1" s="3"/>
      <c r="N1" s="3"/>
      <c r="O1" s="1"/>
      <c r="P1" s="1"/>
      <c r="Q1" s="1"/>
      <c r="R1" s="1"/>
      <c r="S1" s="1"/>
      <c r="T1" s="1"/>
      <c r="U1" s="1"/>
      <c r="V1" s="1"/>
      <c r="W1" s="1"/>
      <c r="X1" s="1"/>
      <c r="Y1" s="1"/>
      <c r="Z1" s="1"/>
      <c r="AA1" s="1"/>
    </row>
    <row r="2" spans="1:27" ht="13">
      <c r="A2" s="12" t="s">
        <v>8</v>
      </c>
      <c r="B2" s="13">
        <f t="shared" ref="B2:B112" si="0">1/(COUNTIF($A$2:$A$310,A2))</f>
        <v>0.5</v>
      </c>
      <c r="C2" s="12" t="s">
        <v>52</v>
      </c>
      <c r="D2" s="13">
        <f t="shared" ref="D2:D112" si="1">IF(C2="Não se aplica",0,1/(COUNTIF($C$2:$C$310,C2)))</f>
        <v>1</v>
      </c>
      <c r="E2" s="16" t="s">
        <v>59</v>
      </c>
      <c r="F2" s="17">
        <f t="shared" ref="F2:F118" si="2">IF(E2="",0,1)</f>
        <v>1</v>
      </c>
      <c r="G2" s="12"/>
      <c r="H2" s="18" t="s">
        <v>62</v>
      </c>
      <c r="I2" s="12"/>
      <c r="J2" s="21">
        <f>COUNTIF(Relatórios!F:F,E2)</f>
        <v>25</v>
      </c>
      <c r="K2" s="17">
        <v>1</v>
      </c>
      <c r="L2" s="17"/>
      <c r="M2" s="17"/>
      <c r="N2" s="17"/>
      <c r="O2" s="1"/>
      <c r="P2" s="1"/>
      <c r="Q2" s="1"/>
      <c r="R2" s="1"/>
      <c r="S2" s="1"/>
      <c r="T2" s="1"/>
      <c r="U2" s="1"/>
      <c r="V2" s="1"/>
      <c r="W2" s="1"/>
      <c r="X2" s="1"/>
      <c r="Y2" s="1"/>
      <c r="Z2" s="1"/>
      <c r="AA2" s="1"/>
    </row>
    <row r="3" spans="1:27" ht="13">
      <c r="A3" s="22" t="s">
        <v>64</v>
      </c>
      <c r="B3" s="23">
        <f t="shared" si="0"/>
        <v>1.5625E-2</v>
      </c>
      <c r="C3" s="22" t="s">
        <v>73</v>
      </c>
      <c r="D3" s="23">
        <f t="shared" si="1"/>
        <v>1.7857142857142856E-2</v>
      </c>
      <c r="E3" s="22" t="s">
        <v>76</v>
      </c>
      <c r="F3" s="26">
        <f t="shared" si="2"/>
        <v>1</v>
      </c>
      <c r="G3" s="22"/>
      <c r="H3" s="27" t="s">
        <v>78</v>
      </c>
      <c r="I3" s="22"/>
      <c r="J3" s="28">
        <f>COUNTIF(Relatórios!F:F,E3)</f>
        <v>1</v>
      </c>
      <c r="K3" s="26">
        <v>2</v>
      </c>
      <c r="L3" s="26"/>
      <c r="M3" s="26"/>
      <c r="N3" s="26"/>
      <c r="O3" s="1"/>
      <c r="P3" s="1"/>
      <c r="Q3" s="1"/>
      <c r="R3" s="1"/>
      <c r="S3" s="1"/>
      <c r="T3" s="1"/>
      <c r="U3" s="1"/>
      <c r="V3" s="1"/>
      <c r="W3" s="1"/>
      <c r="X3" s="1"/>
      <c r="Y3" s="1"/>
      <c r="Z3" s="1"/>
      <c r="AA3" s="1"/>
    </row>
    <row r="4" spans="1:27" ht="13">
      <c r="A4" s="12" t="s">
        <v>56</v>
      </c>
      <c r="B4" s="13">
        <f t="shared" si="0"/>
        <v>5.5555555555555552E-2</v>
      </c>
      <c r="C4" s="12" t="s">
        <v>60</v>
      </c>
      <c r="D4" s="13">
        <f t="shared" si="1"/>
        <v>0.14285714285714285</v>
      </c>
      <c r="E4" s="12" t="s">
        <v>87</v>
      </c>
      <c r="F4" s="17">
        <f t="shared" si="2"/>
        <v>1</v>
      </c>
      <c r="G4" s="12"/>
      <c r="H4" s="31" t="s">
        <v>88</v>
      </c>
      <c r="I4" s="12"/>
      <c r="J4" s="21">
        <f>COUNTIF(Relatórios!F:F,E4)</f>
        <v>1</v>
      </c>
      <c r="K4" s="17">
        <v>3</v>
      </c>
      <c r="L4" s="17"/>
      <c r="M4" s="17"/>
      <c r="N4" s="17"/>
      <c r="O4" s="1"/>
      <c r="P4" s="1"/>
      <c r="Q4" s="1"/>
      <c r="R4" s="1"/>
      <c r="S4" s="1"/>
      <c r="T4" s="1"/>
      <c r="U4" s="1"/>
      <c r="V4" s="1"/>
      <c r="W4" s="1"/>
      <c r="X4" s="1"/>
      <c r="Y4" s="1"/>
      <c r="Z4" s="1"/>
      <c r="AA4" s="1"/>
    </row>
    <row r="5" spans="1:27" ht="13">
      <c r="A5" s="22" t="s">
        <v>58</v>
      </c>
      <c r="B5" s="23">
        <f t="shared" si="0"/>
        <v>1.1494252873563218E-2</v>
      </c>
      <c r="C5" s="22" t="s">
        <v>95</v>
      </c>
      <c r="D5" s="23">
        <f t="shared" si="1"/>
        <v>0.2</v>
      </c>
      <c r="E5" s="22" t="s">
        <v>98</v>
      </c>
      <c r="F5" s="26">
        <f t="shared" si="2"/>
        <v>1</v>
      </c>
      <c r="G5" s="22"/>
      <c r="H5" s="35" t="s">
        <v>99</v>
      </c>
      <c r="I5" s="22"/>
      <c r="J5" s="28">
        <f>COUNTIF(Relatórios!F:F,E5)</f>
        <v>1</v>
      </c>
      <c r="K5" s="26">
        <v>4</v>
      </c>
      <c r="L5" s="26"/>
      <c r="M5" s="26"/>
      <c r="N5" s="26"/>
      <c r="O5" s="1"/>
      <c r="P5" s="1"/>
      <c r="Q5" s="1"/>
      <c r="R5" s="1"/>
      <c r="S5" s="1"/>
      <c r="T5" s="1"/>
      <c r="U5" s="1"/>
      <c r="V5" s="1"/>
      <c r="W5" s="1"/>
      <c r="X5" s="1"/>
      <c r="Y5" s="1"/>
      <c r="Z5" s="1"/>
      <c r="AA5" s="1"/>
    </row>
    <row r="6" spans="1:27" ht="13">
      <c r="A6" s="12" t="s">
        <v>56</v>
      </c>
      <c r="B6" s="13">
        <f t="shared" si="0"/>
        <v>5.5555555555555552E-2</v>
      </c>
      <c r="C6" s="12" t="s">
        <v>107</v>
      </c>
      <c r="D6" s="13">
        <f t="shared" si="1"/>
        <v>1</v>
      </c>
      <c r="E6" s="12" t="s">
        <v>107</v>
      </c>
      <c r="F6" s="17">
        <f t="shared" si="2"/>
        <v>1</v>
      </c>
      <c r="G6" s="12"/>
      <c r="H6" s="36" t="s">
        <v>108</v>
      </c>
      <c r="I6" s="12"/>
      <c r="J6" s="21">
        <f>COUNTIF(Relatórios!F:F,E6)</f>
        <v>5</v>
      </c>
      <c r="K6" s="17">
        <v>5</v>
      </c>
      <c r="L6" s="17"/>
      <c r="M6" s="17"/>
      <c r="N6" s="17"/>
      <c r="O6" s="1"/>
      <c r="P6" s="1"/>
      <c r="Q6" s="1"/>
      <c r="R6" s="1"/>
      <c r="S6" s="1"/>
      <c r="T6" s="1"/>
      <c r="U6" s="1"/>
      <c r="V6" s="1"/>
      <c r="W6" s="1"/>
      <c r="X6" s="1"/>
      <c r="Y6" s="1"/>
      <c r="Z6" s="1"/>
      <c r="AA6" s="1"/>
    </row>
    <row r="7" spans="1:27" ht="13">
      <c r="A7" s="22" t="s">
        <v>53</v>
      </c>
      <c r="B7" s="23">
        <f t="shared" si="0"/>
        <v>0.5</v>
      </c>
      <c r="C7" s="22" t="s">
        <v>115</v>
      </c>
      <c r="D7" s="23">
        <f t="shared" si="1"/>
        <v>1</v>
      </c>
      <c r="E7" s="22" t="s">
        <v>116</v>
      </c>
      <c r="F7" s="26">
        <f t="shared" si="2"/>
        <v>1</v>
      </c>
      <c r="G7" s="22"/>
      <c r="H7" s="35" t="s">
        <v>117</v>
      </c>
      <c r="I7" s="22"/>
      <c r="J7" s="28">
        <f>COUNTIF(Relatórios!F:F,E7)</f>
        <v>1</v>
      </c>
      <c r="K7" s="26">
        <v>6</v>
      </c>
      <c r="L7" s="26"/>
      <c r="M7" s="26"/>
      <c r="N7" s="26"/>
      <c r="O7" s="1"/>
      <c r="P7" s="1"/>
      <c r="Q7" s="1"/>
      <c r="R7" s="1"/>
      <c r="S7" s="1"/>
      <c r="T7" s="1"/>
      <c r="U7" s="1"/>
      <c r="V7" s="1"/>
      <c r="W7" s="1"/>
      <c r="X7" s="1"/>
      <c r="Y7" s="1"/>
      <c r="Z7" s="1"/>
      <c r="AA7" s="1"/>
    </row>
    <row r="8" spans="1:27" ht="13">
      <c r="A8" s="12" t="s">
        <v>53</v>
      </c>
      <c r="B8" s="13">
        <f t="shared" si="0"/>
        <v>0.5</v>
      </c>
      <c r="C8" s="12" t="s">
        <v>121</v>
      </c>
      <c r="D8" s="13">
        <f t="shared" si="1"/>
        <v>1</v>
      </c>
      <c r="E8" s="12" t="s">
        <v>123</v>
      </c>
      <c r="F8" s="17">
        <f t="shared" si="2"/>
        <v>1</v>
      </c>
      <c r="G8" s="12"/>
      <c r="H8" s="31" t="s">
        <v>126</v>
      </c>
      <c r="I8" s="12" t="s">
        <v>130</v>
      </c>
      <c r="J8" s="21">
        <f>COUNTIF(Relatórios!F:F,E8)</f>
        <v>0</v>
      </c>
      <c r="K8" s="17">
        <v>7</v>
      </c>
      <c r="L8" s="17"/>
      <c r="M8" s="17"/>
      <c r="N8" s="17"/>
      <c r="O8" s="1"/>
      <c r="P8" s="1"/>
      <c r="Q8" s="1"/>
      <c r="R8" s="1"/>
      <c r="S8" s="1"/>
      <c r="T8" s="1"/>
      <c r="U8" s="1"/>
      <c r="V8" s="1"/>
      <c r="W8" s="1"/>
      <c r="X8" s="1"/>
      <c r="Y8" s="1"/>
      <c r="Z8" s="1"/>
      <c r="AA8" s="1"/>
    </row>
    <row r="9" spans="1:27" ht="13">
      <c r="A9" s="22" t="s">
        <v>64</v>
      </c>
      <c r="B9" s="23">
        <f t="shared" si="0"/>
        <v>1.5625E-2</v>
      </c>
      <c r="C9" s="22" t="s">
        <v>103</v>
      </c>
      <c r="D9" s="23">
        <f t="shared" si="1"/>
        <v>0.1111111111111111</v>
      </c>
      <c r="E9" s="22" t="s">
        <v>132</v>
      </c>
      <c r="F9" s="26">
        <f t="shared" si="2"/>
        <v>1</v>
      </c>
      <c r="G9" s="22" t="s">
        <v>137</v>
      </c>
      <c r="H9" s="38" t="s">
        <v>138</v>
      </c>
      <c r="I9" s="22" t="s">
        <v>143</v>
      </c>
      <c r="J9" s="28">
        <f>COUNTIF(Relatórios!F:F,E9)</f>
        <v>0</v>
      </c>
      <c r="K9" s="26">
        <v>8</v>
      </c>
      <c r="L9" s="26"/>
      <c r="M9" s="26"/>
      <c r="N9" s="26"/>
      <c r="O9" s="1"/>
      <c r="P9" s="1"/>
      <c r="Q9" s="1"/>
      <c r="R9" s="1"/>
      <c r="S9" s="1"/>
      <c r="T9" s="1"/>
      <c r="U9" s="1"/>
      <c r="V9" s="1"/>
      <c r="W9" s="1"/>
      <c r="X9" s="1"/>
      <c r="Y9" s="1"/>
      <c r="Z9" s="1"/>
      <c r="AA9" s="1"/>
    </row>
    <row r="10" spans="1:27" ht="13">
      <c r="A10" s="12" t="s">
        <v>64</v>
      </c>
      <c r="B10" s="13">
        <f t="shared" si="0"/>
        <v>1.5625E-2</v>
      </c>
      <c r="C10" s="12" t="s">
        <v>103</v>
      </c>
      <c r="D10" s="13">
        <f t="shared" si="1"/>
        <v>0.1111111111111111</v>
      </c>
      <c r="E10" s="12" t="s">
        <v>146</v>
      </c>
      <c r="F10" s="17">
        <f t="shared" si="2"/>
        <v>1</v>
      </c>
      <c r="G10" s="12" t="s">
        <v>147</v>
      </c>
      <c r="H10" s="31" t="s">
        <v>148</v>
      </c>
      <c r="I10" s="12" t="s">
        <v>143</v>
      </c>
      <c r="J10" s="21">
        <f>COUNTIF(Relatórios!F:F,E10)</f>
        <v>0</v>
      </c>
      <c r="K10" s="17">
        <v>9</v>
      </c>
      <c r="L10" s="17"/>
      <c r="M10" s="17"/>
      <c r="N10" s="17"/>
      <c r="O10" s="1"/>
      <c r="P10" s="1"/>
      <c r="Q10" s="1"/>
      <c r="R10" s="1"/>
      <c r="S10" s="1"/>
      <c r="T10" s="1"/>
      <c r="U10" s="1"/>
      <c r="V10" s="1"/>
      <c r="W10" s="1"/>
      <c r="X10" s="1"/>
      <c r="Y10" s="1"/>
      <c r="Z10" s="1"/>
      <c r="AA10" s="1"/>
    </row>
    <row r="11" spans="1:27" ht="13">
      <c r="A11" s="22" t="s">
        <v>64</v>
      </c>
      <c r="B11" s="23">
        <f t="shared" si="0"/>
        <v>1.5625E-2</v>
      </c>
      <c r="C11" s="22" t="s">
        <v>103</v>
      </c>
      <c r="D11" s="23">
        <f t="shared" si="1"/>
        <v>0.1111111111111111</v>
      </c>
      <c r="E11" s="22" t="s">
        <v>154</v>
      </c>
      <c r="F11" s="26">
        <f t="shared" si="2"/>
        <v>1</v>
      </c>
      <c r="G11" s="22" t="s">
        <v>155</v>
      </c>
      <c r="H11" s="38" t="s">
        <v>156</v>
      </c>
      <c r="I11" s="40" t="s">
        <v>159</v>
      </c>
      <c r="J11" s="28">
        <f>COUNTIF(Relatórios!F:F,E11)</f>
        <v>1</v>
      </c>
      <c r="K11" s="26">
        <v>10</v>
      </c>
      <c r="L11" s="26"/>
      <c r="M11" s="26"/>
      <c r="N11" s="26"/>
      <c r="O11" s="1"/>
      <c r="P11" s="1"/>
      <c r="Q11" s="1"/>
      <c r="R11" s="1"/>
      <c r="S11" s="1"/>
      <c r="T11" s="1"/>
      <c r="U11" s="1"/>
      <c r="V11" s="1"/>
      <c r="W11" s="1"/>
      <c r="X11" s="1"/>
      <c r="Y11" s="1"/>
      <c r="Z11" s="1"/>
      <c r="AA11" s="1"/>
    </row>
    <row r="12" spans="1:27" ht="13">
      <c r="A12" s="12" t="s">
        <v>64</v>
      </c>
      <c r="B12" s="13">
        <f t="shared" si="0"/>
        <v>1.5625E-2</v>
      </c>
      <c r="C12" s="12" t="s">
        <v>103</v>
      </c>
      <c r="D12" s="13">
        <f t="shared" si="1"/>
        <v>0.1111111111111111</v>
      </c>
      <c r="E12" s="12" t="s">
        <v>106</v>
      </c>
      <c r="F12" s="17">
        <f t="shared" si="2"/>
        <v>1</v>
      </c>
      <c r="G12" s="12" t="s">
        <v>169</v>
      </c>
      <c r="H12" s="31" t="s">
        <v>170</v>
      </c>
      <c r="I12" s="41" t="s">
        <v>110</v>
      </c>
      <c r="J12" s="21">
        <f>COUNTIF(Relatórios!F:F,E12)</f>
        <v>5</v>
      </c>
      <c r="K12" s="17">
        <v>11</v>
      </c>
      <c r="L12" s="17"/>
      <c r="M12" s="17"/>
      <c r="N12" s="17"/>
      <c r="O12" s="1"/>
      <c r="P12" s="1"/>
      <c r="Q12" s="1"/>
      <c r="R12" s="1"/>
      <c r="S12" s="1"/>
      <c r="T12" s="1"/>
      <c r="U12" s="1"/>
      <c r="V12" s="1"/>
      <c r="W12" s="1"/>
      <c r="X12" s="1"/>
      <c r="Y12" s="1"/>
      <c r="Z12" s="1"/>
      <c r="AA12" s="1"/>
    </row>
    <row r="13" spans="1:27" ht="13">
      <c r="A13" s="22" t="s">
        <v>64</v>
      </c>
      <c r="B13" s="23">
        <f t="shared" si="0"/>
        <v>1.5625E-2</v>
      </c>
      <c r="C13" s="22" t="s">
        <v>103</v>
      </c>
      <c r="D13" s="23">
        <f t="shared" si="1"/>
        <v>0.1111111111111111</v>
      </c>
      <c r="E13" s="22" t="s">
        <v>176</v>
      </c>
      <c r="F13" s="26">
        <f t="shared" si="2"/>
        <v>1</v>
      </c>
      <c r="G13" s="22" t="s">
        <v>177</v>
      </c>
      <c r="H13" s="38" t="s">
        <v>178</v>
      </c>
      <c r="I13" s="22"/>
      <c r="J13" s="28">
        <f>COUNTIF(Relatórios!F:F,E13)</f>
        <v>1</v>
      </c>
      <c r="K13" s="26">
        <v>12</v>
      </c>
      <c r="L13" s="26"/>
      <c r="M13" s="26"/>
      <c r="N13" s="26"/>
      <c r="O13" s="1"/>
      <c r="P13" s="1"/>
      <c r="Q13" s="1"/>
      <c r="R13" s="1"/>
      <c r="S13" s="1"/>
      <c r="T13" s="1"/>
      <c r="U13" s="1"/>
      <c r="V13" s="1"/>
      <c r="W13" s="1"/>
      <c r="X13" s="1"/>
      <c r="Y13" s="1"/>
      <c r="Z13" s="1"/>
      <c r="AA13" s="1"/>
    </row>
    <row r="14" spans="1:27" ht="13">
      <c r="A14" s="12" t="s">
        <v>64</v>
      </c>
      <c r="B14" s="13">
        <f t="shared" si="0"/>
        <v>1.5625E-2</v>
      </c>
      <c r="C14" s="12" t="s">
        <v>103</v>
      </c>
      <c r="D14" s="13">
        <f t="shared" si="1"/>
        <v>0.1111111111111111</v>
      </c>
      <c r="E14" s="12" t="s">
        <v>190</v>
      </c>
      <c r="F14" s="17">
        <f t="shared" si="2"/>
        <v>1</v>
      </c>
      <c r="G14" s="12" t="s">
        <v>177</v>
      </c>
      <c r="H14" s="31" t="s">
        <v>195</v>
      </c>
      <c r="I14" s="12"/>
      <c r="J14" s="21">
        <f>COUNTIF(Relatórios!F:F,E14)</f>
        <v>1</v>
      </c>
      <c r="K14" s="17">
        <v>13</v>
      </c>
      <c r="L14" s="17"/>
      <c r="M14" s="17"/>
      <c r="N14" s="17"/>
      <c r="O14" s="1"/>
      <c r="P14" s="1"/>
      <c r="Q14" s="1"/>
      <c r="R14" s="1"/>
      <c r="S14" s="1"/>
      <c r="T14" s="1"/>
      <c r="U14" s="1"/>
      <c r="V14" s="1"/>
      <c r="W14" s="1"/>
      <c r="X14" s="1"/>
      <c r="Y14" s="1"/>
      <c r="Z14" s="1"/>
      <c r="AA14" s="1"/>
    </row>
    <row r="15" spans="1:27" ht="13">
      <c r="A15" s="22" t="s">
        <v>64</v>
      </c>
      <c r="B15" s="23">
        <f t="shared" si="0"/>
        <v>1.5625E-2</v>
      </c>
      <c r="C15" s="22" t="s">
        <v>73</v>
      </c>
      <c r="D15" s="23">
        <f t="shared" si="1"/>
        <v>1.7857142857142856E-2</v>
      </c>
      <c r="E15" s="22" t="s">
        <v>201</v>
      </c>
      <c r="F15" s="26">
        <f t="shared" si="2"/>
        <v>1</v>
      </c>
      <c r="G15" s="22"/>
      <c r="H15" s="27" t="s">
        <v>203</v>
      </c>
      <c r="I15" s="22"/>
      <c r="J15" s="28">
        <f>COUNTIF(Relatórios!F:F,E15)</f>
        <v>0</v>
      </c>
      <c r="K15" s="26">
        <v>14</v>
      </c>
      <c r="L15" s="26"/>
      <c r="M15" s="26"/>
      <c r="N15" s="26"/>
      <c r="O15" s="1"/>
      <c r="P15" s="1"/>
      <c r="Q15" s="1"/>
      <c r="R15" s="1"/>
      <c r="S15" s="1"/>
      <c r="T15" s="1"/>
      <c r="U15" s="1"/>
      <c r="V15" s="1"/>
      <c r="W15" s="1"/>
      <c r="X15" s="1"/>
      <c r="Y15" s="1"/>
      <c r="Z15" s="1"/>
      <c r="AA15" s="1"/>
    </row>
    <row r="16" spans="1:27" ht="13">
      <c r="A16" s="12" t="s">
        <v>64</v>
      </c>
      <c r="B16" s="13">
        <f t="shared" si="0"/>
        <v>1.5625E-2</v>
      </c>
      <c r="C16" s="12" t="s">
        <v>73</v>
      </c>
      <c r="D16" s="13">
        <f t="shared" si="1"/>
        <v>1.7857142857142856E-2</v>
      </c>
      <c r="E16" s="12" t="s">
        <v>207</v>
      </c>
      <c r="F16" s="17">
        <f t="shared" si="2"/>
        <v>1</v>
      </c>
      <c r="G16" s="12"/>
      <c r="H16" s="18" t="s">
        <v>209</v>
      </c>
      <c r="I16" s="12"/>
      <c r="J16" s="21">
        <f>COUNTIF(Relatórios!F:F,E16)</f>
        <v>1</v>
      </c>
      <c r="K16" s="17">
        <v>15</v>
      </c>
      <c r="L16" s="17"/>
      <c r="M16" s="17"/>
      <c r="N16" s="17"/>
      <c r="O16" s="1"/>
      <c r="P16" s="1"/>
      <c r="Q16" s="1"/>
      <c r="R16" s="1"/>
      <c r="S16" s="1"/>
      <c r="T16" s="1"/>
      <c r="U16" s="1"/>
      <c r="V16" s="1"/>
      <c r="W16" s="1"/>
      <c r="X16" s="1"/>
      <c r="Y16" s="1"/>
      <c r="Z16" s="1"/>
      <c r="AA16" s="1"/>
    </row>
    <row r="17" spans="1:27" ht="13">
      <c r="A17" s="22" t="s">
        <v>64</v>
      </c>
      <c r="B17" s="23">
        <f t="shared" si="0"/>
        <v>1.5625E-2</v>
      </c>
      <c r="C17" s="22" t="s">
        <v>73</v>
      </c>
      <c r="D17" s="23">
        <f t="shared" si="1"/>
        <v>1.7857142857142856E-2</v>
      </c>
      <c r="E17" s="22" t="s">
        <v>213</v>
      </c>
      <c r="F17" s="26">
        <f t="shared" si="2"/>
        <v>1</v>
      </c>
      <c r="G17" s="22"/>
      <c r="H17" s="27" t="s">
        <v>215</v>
      </c>
      <c r="I17" s="22" t="s">
        <v>218</v>
      </c>
      <c r="J17" s="28">
        <f>COUNTIF(Relatórios!F:F,E17)</f>
        <v>0</v>
      </c>
      <c r="K17" s="26">
        <v>16</v>
      </c>
      <c r="L17" s="26"/>
      <c r="M17" s="26"/>
      <c r="N17" s="26"/>
      <c r="O17" s="1"/>
      <c r="P17" s="1"/>
      <c r="Q17" s="1"/>
      <c r="R17" s="1"/>
      <c r="S17" s="1"/>
      <c r="T17" s="1"/>
      <c r="U17" s="1"/>
      <c r="V17" s="1"/>
      <c r="W17" s="1"/>
      <c r="X17" s="1"/>
      <c r="Y17" s="1"/>
      <c r="Z17" s="1"/>
      <c r="AA17" s="1"/>
    </row>
    <row r="18" spans="1:27" ht="13">
      <c r="A18" s="12" t="s">
        <v>64</v>
      </c>
      <c r="B18" s="13">
        <f t="shared" si="0"/>
        <v>1.5625E-2</v>
      </c>
      <c r="C18" s="12" t="s">
        <v>73</v>
      </c>
      <c r="D18" s="13">
        <f t="shared" si="1"/>
        <v>1.7857142857142856E-2</v>
      </c>
      <c r="E18" s="12" t="s">
        <v>181</v>
      </c>
      <c r="F18" s="17">
        <f t="shared" si="2"/>
        <v>1</v>
      </c>
      <c r="G18" s="12"/>
      <c r="H18" s="18" t="s">
        <v>220</v>
      </c>
      <c r="I18" s="44" t="s">
        <v>221</v>
      </c>
      <c r="J18" s="21">
        <f>COUNTIF(Relatórios!F:F,E18)</f>
        <v>5</v>
      </c>
      <c r="K18" s="17">
        <v>17</v>
      </c>
      <c r="L18" s="17"/>
      <c r="M18" s="17"/>
      <c r="N18" s="17"/>
      <c r="O18" s="1"/>
      <c r="P18" s="1"/>
      <c r="Q18" s="1"/>
      <c r="R18" s="1"/>
      <c r="S18" s="1"/>
      <c r="T18" s="1"/>
      <c r="U18" s="1"/>
      <c r="V18" s="1"/>
      <c r="W18" s="1"/>
      <c r="X18" s="1"/>
      <c r="Y18" s="1"/>
      <c r="Z18" s="1"/>
      <c r="AA18" s="1"/>
    </row>
    <row r="19" spans="1:27" ht="13">
      <c r="A19" s="22" t="s">
        <v>64</v>
      </c>
      <c r="B19" s="23">
        <f t="shared" si="0"/>
        <v>1.5625E-2</v>
      </c>
      <c r="C19" s="22" t="s">
        <v>73</v>
      </c>
      <c r="D19" s="23">
        <f t="shared" si="1"/>
        <v>1.7857142857142856E-2</v>
      </c>
      <c r="E19" s="22" t="s">
        <v>86</v>
      </c>
      <c r="F19" s="26">
        <f t="shared" si="2"/>
        <v>1</v>
      </c>
      <c r="G19" s="22"/>
      <c r="H19" s="27" t="s">
        <v>225</v>
      </c>
      <c r="I19" s="22"/>
      <c r="J19" s="28">
        <f>COUNTIF(Relatórios!F:F,E19)</f>
        <v>1</v>
      </c>
      <c r="K19" s="26">
        <v>18</v>
      </c>
      <c r="L19" s="26"/>
      <c r="M19" s="26"/>
      <c r="N19" s="26"/>
      <c r="O19" s="1"/>
      <c r="P19" s="1"/>
      <c r="Q19" s="1"/>
      <c r="R19" s="1"/>
      <c r="S19" s="1"/>
      <c r="T19" s="1"/>
      <c r="U19" s="1"/>
      <c r="V19" s="1"/>
      <c r="W19" s="1"/>
      <c r="X19" s="1"/>
      <c r="Y19" s="1"/>
      <c r="Z19" s="1"/>
      <c r="AA19" s="1"/>
    </row>
    <row r="20" spans="1:27" ht="13">
      <c r="A20" s="12" t="s">
        <v>64</v>
      </c>
      <c r="B20" s="13">
        <f t="shared" si="0"/>
        <v>1.5625E-2</v>
      </c>
      <c r="C20" s="12" t="s">
        <v>73</v>
      </c>
      <c r="D20" s="13">
        <f t="shared" si="1"/>
        <v>1.7857142857142856E-2</v>
      </c>
      <c r="E20" s="12" t="s">
        <v>233</v>
      </c>
      <c r="F20" s="17">
        <f t="shared" si="2"/>
        <v>1</v>
      </c>
      <c r="G20" s="12" t="s">
        <v>234</v>
      </c>
      <c r="H20" s="18" t="s">
        <v>235</v>
      </c>
      <c r="I20" s="12"/>
      <c r="J20" s="21">
        <f>COUNTIF(Relatórios!F:F,E20)</f>
        <v>1</v>
      </c>
      <c r="K20" s="17">
        <v>19</v>
      </c>
      <c r="L20" s="17"/>
      <c r="M20" s="17"/>
      <c r="N20" s="17"/>
      <c r="O20" s="1"/>
      <c r="P20" s="1"/>
      <c r="Q20" s="1"/>
      <c r="R20" s="1"/>
      <c r="S20" s="1"/>
      <c r="T20" s="1"/>
      <c r="U20" s="1"/>
      <c r="V20" s="1"/>
      <c r="W20" s="1"/>
      <c r="X20" s="1"/>
      <c r="Y20" s="1"/>
      <c r="Z20" s="1"/>
      <c r="AA20" s="1"/>
    </row>
    <row r="21" spans="1:27" ht="13">
      <c r="A21" s="22" t="s">
        <v>64</v>
      </c>
      <c r="B21" s="23">
        <f t="shared" si="0"/>
        <v>1.5625E-2</v>
      </c>
      <c r="C21" s="22" t="s">
        <v>73</v>
      </c>
      <c r="D21" s="23">
        <f t="shared" si="1"/>
        <v>1.7857142857142856E-2</v>
      </c>
      <c r="E21" s="22" t="s">
        <v>125</v>
      </c>
      <c r="F21" s="26">
        <f t="shared" si="2"/>
        <v>1</v>
      </c>
      <c r="G21" s="22"/>
      <c r="H21" s="27" t="s">
        <v>243</v>
      </c>
      <c r="I21" s="22"/>
      <c r="J21" s="28">
        <f>COUNTIF(Relatórios!F:F,E21)</f>
        <v>25</v>
      </c>
      <c r="K21" s="26">
        <v>20</v>
      </c>
      <c r="L21" s="26"/>
      <c r="M21" s="26"/>
      <c r="N21" s="26"/>
      <c r="O21" s="1"/>
      <c r="P21" s="1"/>
      <c r="Q21" s="1"/>
      <c r="R21" s="1"/>
      <c r="S21" s="1"/>
      <c r="T21" s="1"/>
      <c r="U21" s="1"/>
      <c r="V21" s="1"/>
      <c r="W21" s="1"/>
      <c r="X21" s="1"/>
      <c r="Y21" s="1"/>
      <c r="Z21" s="1"/>
      <c r="AA21" s="1"/>
    </row>
    <row r="22" spans="1:27" ht="13">
      <c r="A22" s="12" t="s">
        <v>64</v>
      </c>
      <c r="B22" s="13">
        <f t="shared" si="0"/>
        <v>1.5625E-2</v>
      </c>
      <c r="C22" s="12" t="s">
        <v>73</v>
      </c>
      <c r="D22" s="13">
        <f t="shared" si="1"/>
        <v>1.7857142857142856E-2</v>
      </c>
      <c r="E22" s="12" t="s">
        <v>254</v>
      </c>
      <c r="F22" s="17">
        <f t="shared" si="2"/>
        <v>1</v>
      </c>
      <c r="G22" s="12" t="s">
        <v>255</v>
      </c>
      <c r="H22" s="18" t="s">
        <v>256</v>
      </c>
      <c r="I22" s="12"/>
      <c r="J22" s="21">
        <f>COUNTIF(Relatórios!F:F,E22)</f>
        <v>1</v>
      </c>
      <c r="K22" s="17">
        <v>21</v>
      </c>
      <c r="L22" s="17"/>
      <c r="M22" s="17"/>
      <c r="N22" s="17"/>
      <c r="O22" s="1"/>
      <c r="P22" s="1"/>
      <c r="Q22" s="1"/>
      <c r="R22" s="1"/>
      <c r="S22" s="1"/>
      <c r="T22" s="1"/>
      <c r="U22" s="1"/>
      <c r="V22" s="1"/>
      <c r="W22" s="1"/>
      <c r="X22" s="1"/>
      <c r="Y22" s="1"/>
      <c r="Z22" s="1"/>
      <c r="AA22" s="1"/>
    </row>
    <row r="23" spans="1:27" ht="13">
      <c r="A23" s="22" t="s">
        <v>64</v>
      </c>
      <c r="B23" s="23">
        <f t="shared" si="0"/>
        <v>1.5625E-2</v>
      </c>
      <c r="C23" s="22" t="s">
        <v>73</v>
      </c>
      <c r="D23" s="23">
        <f t="shared" si="1"/>
        <v>1.7857142857142856E-2</v>
      </c>
      <c r="E23" s="22" t="s">
        <v>261</v>
      </c>
      <c r="F23" s="26">
        <f t="shared" si="2"/>
        <v>1</v>
      </c>
      <c r="G23" s="22" t="s">
        <v>255</v>
      </c>
      <c r="H23" s="27" t="s">
        <v>262</v>
      </c>
      <c r="I23" s="22"/>
      <c r="J23" s="28">
        <f>COUNTIF(Relatórios!F:F,E23)</f>
        <v>0</v>
      </c>
      <c r="K23" s="26">
        <v>22</v>
      </c>
      <c r="L23" s="26"/>
      <c r="M23" s="26"/>
      <c r="N23" s="26"/>
      <c r="O23" s="1"/>
      <c r="P23" s="1"/>
      <c r="Q23" s="1"/>
      <c r="R23" s="1"/>
      <c r="S23" s="1"/>
      <c r="T23" s="1"/>
      <c r="U23" s="1"/>
      <c r="V23" s="1"/>
      <c r="W23" s="1"/>
      <c r="X23" s="1"/>
      <c r="Y23" s="1"/>
      <c r="Z23" s="1"/>
      <c r="AA23" s="1"/>
    </row>
    <row r="24" spans="1:27" ht="13">
      <c r="A24" s="12" t="s">
        <v>64</v>
      </c>
      <c r="B24" s="13">
        <f t="shared" si="0"/>
        <v>1.5625E-2</v>
      </c>
      <c r="C24" s="12" t="s">
        <v>73</v>
      </c>
      <c r="D24" s="13">
        <f t="shared" si="1"/>
        <v>1.7857142857142856E-2</v>
      </c>
      <c r="E24" s="12" t="s">
        <v>265</v>
      </c>
      <c r="F24" s="17">
        <f t="shared" si="2"/>
        <v>1</v>
      </c>
      <c r="G24" s="12" t="s">
        <v>255</v>
      </c>
      <c r="H24" s="18" t="s">
        <v>266</v>
      </c>
      <c r="I24" s="12"/>
      <c r="J24" s="21">
        <f>COUNTIF(Relatórios!F:F,E24)</f>
        <v>0</v>
      </c>
      <c r="K24" s="17">
        <v>23</v>
      </c>
      <c r="L24" s="17"/>
      <c r="M24" s="17"/>
      <c r="N24" s="17"/>
      <c r="O24" s="1"/>
      <c r="P24" s="1"/>
      <c r="Q24" s="1"/>
      <c r="R24" s="1"/>
      <c r="S24" s="1"/>
      <c r="T24" s="1"/>
      <c r="U24" s="1"/>
      <c r="V24" s="1"/>
      <c r="W24" s="1"/>
      <c r="X24" s="1"/>
      <c r="Y24" s="1"/>
      <c r="Z24" s="1"/>
      <c r="AA24" s="1"/>
    </row>
    <row r="25" spans="1:27" ht="13">
      <c r="A25" s="22" t="s">
        <v>64</v>
      </c>
      <c r="B25" s="23">
        <f t="shared" si="0"/>
        <v>1.5625E-2</v>
      </c>
      <c r="C25" s="22" t="s">
        <v>73</v>
      </c>
      <c r="D25" s="23">
        <f t="shared" si="1"/>
        <v>1.7857142857142856E-2</v>
      </c>
      <c r="E25" s="22" t="s">
        <v>268</v>
      </c>
      <c r="F25" s="26">
        <f t="shared" si="2"/>
        <v>1</v>
      </c>
      <c r="G25" s="22" t="s">
        <v>255</v>
      </c>
      <c r="H25" s="27" t="s">
        <v>269</v>
      </c>
      <c r="I25" s="22"/>
      <c r="J25" s="28">
        <f>COUNTIF(Relatórios!F:F,E25)</f>
        <v>0</v>
      </c>
      <c r="K25" s="26">
        <v>24</v>
      </c>
      <c r="L25" s="26"/>
      <c r="M25" s="26"/>
      <c r="N25" s="26"/>
      <c r="O25" s="1"/>
      <c r="P25" s="1"/>
      <c r="Q25" s="1"/>
      <c r="R25" s="1"/>
      <c r="S25" s="1"/>
      <c r="T25" s="1"/>
      <c r="U25" s="1"/>
      <c r="V25" s="1"/>
      <c r="W25" s="1"/>
      <c r="X25" s="1"/>
      <c r="Y25" s="1"/>
      <c r="Z25" s="1"/>
      <c r="AA25" s="1"/>
    </row>
    <row r="26" spans="1:27" ht="13">
      <c r="A26" s="12" t="s">
        <v>64</v>
      </c>
      <c r="B26" s="13">
        <f t="shared" si="0"/>
        <v>1.5625E-2</v>
      </c>
      <c r="C26" s="12" t="s">
        <v>73</v>
      </c>
      <c r="D26" s="13">
        <f t="shared" si="1"/>
        <v>1.7857142857142856E-2</v>
      </c>
      <c r="E26" s="12" t="s">
        <v>274</v>
      </c>
      <c r="F26" s="17">
        <f t="shared" si="2"/>
        <v>1</v>
      </c>
      <c r="G26" s="12"/>
      <c r="H26" s="18" t="s">
        <v>275</v>
      </c>
      <c r="I26" s="12" t="s">
        <v>278</v>
      </c>
      <c r="J26" s="21">
        <f>COUNTIF(Relatórios!F:F,E26)</f>
        <v>0</v>
      </c>
      <c r="K26" s="17">
        <v>25</v>
      </c>
      <c r="L26" s="17"/>
      <c r="M26" s="17"/>
      <c r="N26" s="17"/>
      <c r="O26" s="1"/>
      <c r="P26" s="1"/>
      <c r="Q26" s="1"/>
      <c r="R26" s="1"/>
      <c r="S26" s="1"/>
      <c r="T26" s="1"/>
      <c r="U26" s="1"/>
      <c r="V26" s="1"/>
      <c r="W26" s="1"/>
      <c r="X26" s="1"/>
      <c r="Y26" s="1"/>
      <c r="Z26" s="1"/>
      <c r="AA26" s="1"/>
    </row>
    <row r="27" spans="1:27" ht="13">
      <c r="A27" s="22" t="s">
        <v>64</v>
      </c>
      <c r="B27" s="23">
        <f t="shared" si="0"/>
        <v>1.5625E-2</v>
      </c>
      <c r="C27" s="22" t="s">
        <v>73</v>
      </c>
      <c r="D27" s="23">
        <f t="shared" si="1"/>
        <v>1.7857142857142856E-2</v>
      </c>
      <c r="E27" s="22" t="s">
        <v>285</v>
      </c>
      <c r="F27" s="26">
        <f t="shared" si="2"/>
        <v>1</v>
      </c>
      <c r="G27" s="22"/>
      <c r="H27" s="27" t="s">
        <v>287</v>
      </c>
      <c r="I27" s="46" t="s">
        <v>293</v>
      </c>
      <c r="J27" s="28">
        <f>COUNTIF(Relatórios!F:F,E27)</f>
        <v>1</v>
      </c>
      <c r="K27" s="26">
        <v>26</v>
      </c>
      <c r="L27" s="26"/>
      <c r="M27" s="26"/>
      <c r="N27" s="26"/>
      <c r="O27" s="1"/>
      <c r="P27" s="1"/>
      <c r="Q27" s="1"/>
      <c r="R27" s="1"/>
      <c r="S27" s="1"/>
      <c r="T27" s="1"/>
      <c r="U27" s="1"/>
      <c r="V27" s="1"/>
      <c r="W27" s="1"/>
      <c r="X27" s="1"/>
      <c r="Y27" s="1"/>
      <c r="Z27" s="1"/>
      <c r="AA27" s="1"/>
    </row>
    <row r="28" spans="1:27" ht="13">
      <c r="A28" s="12" t="s">
        <v>64</v>
      </c>
      <c r="B28" s="13">
        <f t="shared" si="0"/>
        <v>1.5625E-2</v>
      </c>
      <c r="C28" s="12" t="s">
        <v>73</v>
      </c>
      <c r="D28" s="13">
        <f t="shared" si="1"/>
        <v>1.7857142857142856E-2</v>
      </c>
      <c r="E28" s="12" t="s">
        <v>306</v>
      </c>
      <c r="F28" s="17">
        <f t="shared" si="2"/>
        <v>1</v>
      </c>
      <c r="G28" s="12"/>
      <c r="H28" s="18" t="s">
        <v>309</v>
      </c>
      <c r="I28" s="12"/>
      <c r="J28" s="21">
        <f>COUNTIF(Relatórios!F:F,E28)</f>
        <v>1</v>
      </c>
      <c r="K28" s="17">
        <v>27</v>
      </c>
      <c r="L28" s="17"/>
      <c r="M28" s="17"/>
      <c r="N28" s="17"/>
      <c r="O28" s="1"/>
      <c r="P28" s="1"/>
      <c r="Q28" s="1"/>
      <c r="R28" s="1"/>
      <c r="S28" s="1"/>
      <c r="T28" s="1"/>
      <c r="U28" s="1"/>
      <c r="V28" s="1"/>
      <c r="W28" s="1"/>
      <c r="X28" s="1"/>
      <c r="Y28" s="1"/>
      <c r="Z28" s="1"/>
      <c r="AA28" s="1"/>
    </row>
    <row r="29" spans="1:27" ht="13">
      <c r="A29" s="22" t="s">
        <v>64</v>
      </c>
      <c r="B29" s="23">
        <f t="shared" si="0"/>
        <v>1.5625E-2</v>
      </c>
      <c r="C29" s="22" t="s">
        <v>73</v>
      </c>
      <c r="D29" s="23">
        <f t="shared" si="1"/>
        <v>1.7857142857142856E-2</v>
      </c>
      <c r="E29" s="22" t="s">
        <v>165</v>
      </c>
      <c r="F29" s="26">
        <f t="shared" si="2"/>
        <v>1</v>
      </c>
      <c r="G29" s="22"/>
      <c r="H29" s="27" t="s">
        <v>321</v>
      </c>
      <c r="I29" s="22" t="s">
        <v>324</v>
      </c>
      <c r="J29" s="28">
        <f>COUNTIF(Relatórios!F:F,E29)</f>
        <v>2</v>
      </c>
      <c r="K29" s="26">
        <v>28</v>
      </c>
      <c r="L29" s="26"/>
      <c r="M29" s="26"/>
      <c r="N29" s="26"/>
      <c r="O29" s="1"/>
      <c r="P29" s="1"/>
      <c r="Q29" s="1"/>
      <c r="R29" s="1"/>
      <c r="S29" s="1"/>
      <c r="T29" s="1"/>
      <c r="U29" s="1"/>
      <c r="V29" s="1"/>
      <c r="W29" s="1"/>
      <c r="X29" s="1"/>
      <c r="Y29" s="1"/>
      <c r="Z29" s="1"/>
      <c r="AA29" s="1"/>
    </row>
    <row r="30" spans="1:27" ht="13">
      <c r="A30" s="12" t="s">
        <v>64</v>
      </c>
      <c r="B30" s="13">
        <f t="shared" si="0"/>
        <v>1.5625E-2</v>
      </c>
      <c r="C30" s="12" t="s">
        <v>73</v>
      </c>
      <c r="D30" s="13">
        <f t="shared" si="1"/>
        <v>1.7857142857142856E-2</v>
      </c>
      <c r="E30" s="12" t="s">
        <v>330</v>
      </c>
      <c r="F30" s="17">
        <f t="shared" si="2"/>
        <v>1</v>
      </c>
      <c r="G30" s="12" t="s">
        <v>332</v>
      </c>
      <c r="H30" s="18" t="s">
        <v>333</v>
      </c>
      <c r="I30" s="12" t="s">
        <v>336</v>
      </c>
      <c r="J30" s="21">
        <f>COUNTIF(Relatórios!F:F,E30)</f>
        <v>0</v>
      </c>
      <c r="K30" s="17">
        <v>29</v>
      </c>
      <c r="L30" s="17"/>
      <c r="M30" s="17"/>
      <c r="N30" s="17"/>
      <c r="O30" s="1"/>
      <c r="P30" s="1"/>
      <c r="Q30" s="1"/>
      <c r="R30" s="1"/>
      <c r="S30" s="1"/>
      <c r="T30" s="1"/>
      <c r="U30" s="1"/>
      <c r="V30" s="1"/>
      <c r="W30" s="1"/>
      <c r="X30" s="1"/>
      <c r="Y30" s="1"/>
      <c r="Z30" s="1"/>
      <c r="AA30" s="1"/>
    </row>
    <row r="31" spans="1:27" ht="13">
      <c r="A31" s="22" t="s">
        <v>64</v>
      </c>
      <c r="B31" s="23">
        <f t="shared" si="0"/>
        <v>1.5625E-2</v>
      </c>
      <c r="C31" s="22" t="s">
        <v>73</v>
      </c>
      <c r="D31" s="23">
        <f t="shared" si="1"/>
        <v>1.7857142857142856E-2</v>
      </c>
      <c r="E31" s="22" t="s">
        <v>247</v>
      </c>
      <c r="F31" s="26">
        <f t="shared" si="2"/>
        <v>1</v>
      </c>
      <c r="G31" s="22" t="s">
        <v>346</v>
      </c>
      <c r="H31" s="27" t="s">
        <v>347</v>
      </c>
      <c r="I31" s="22" t="s">
        <v>350</v>
      </c>
      <c r="J31" s="28">
        <f>COUNTIF(Relatórios!F:F,E31)</f>
        <v>4</v>
      </c>
      <c r="K31" s="26">
        <v>30</v>
      </c>
      <c r="L31" s="26"/>
      <c r="M31" s="26"/>
      <c r="N31" s="26"/>
      <c r="O31" s="1"/>
      <c r="P31" s="1"/>
      <c r="Q31" s="1"/>
      <c r="R31" s="1"/>
      <c r="S31" s="1"/>
      <c r="T31" s="1"/>
      <c r="U31" s="1"/>
      <c r="V31" s="1"/>
      <c r="W31" s="1"/>
      <c r="X31" s="1"/>
      <c r="Y31" s="1"/>
      <c r="Z31" s="1"/>
      <c r="AA31" s="1"/>
    </row>
    <row r="32" spans="1:27" ht="13">
      <c r="A32" s="12" t="s">
        <v>64</v>
      </c>
      <c r="B32" s="13">
        <f t="shared" si="0"/>
        <v>1.5625E-2</v>
      </c>
      <c r="C32" s="12" t="s">
        <v>73</v>
      </c>
      <c r="D32" s="13">
        <f t="shared" si="1"/>
        <v>1.7857142857142856E-2</v>
      </c>
      <c r="E32" s="12" t="s">
        <v>346</v>
      </c>
      <c r="F32" s="17">
        <f t="shared" si="2"/>
        <v>1</v>
      </c>
      <c r="G32" s="12"/>
      <c r="H32" s="47" t="s">
        <v>355</v>
      </c>
      <c r="I32" s="12"/>
      <c r="J32" s="21">
        <f>COUNTIF(Relatórios!F:F,E32)</f>
        <v>4</v>
      </c>
      <c r="K32" s="17">
        <v>31</v>
      </c>
      <c r="L32" s="17"/>
      <c r="M32" s="17"/>
      <c r="N32" s="17"/>
      <c r="O32" s="1"/>
      <c r="P32" s="1"/>
      <c r="Q32" s="1"/>
      <c r="R32" s="1"/>
      <c r="S32" s="1"/>
      <c r="T32" s="1"/>
      <c r="U32" s="1"/>
      <c r="V32" s="1"/>
      <c r="W32" s="1"/>
      <c r="X32" s="1"/>
      <c r="Y32" s="1"/>
      <c r="Z32" s="1"/>
      <c r="AA32" s="1"/>
    </row>
    <row r="33" spans="1:27" ht="13">
      <c r="A33" s="22" t="s">
        <v>64</v>
      </c>
      <c r="B33" s="23">
        <f t="shared" si="0"/>
        <v>1.5625E-2</v>
      </c>
      <c r="C33" s="22" t="s">
        <v>73</v>
      </c>
      <c r="D33" s="23">
        <f t="shared" si="1"/>
        <v>1.7857142857142856E-2</v>
      </c>
      <c r="E33" s="22" t="s">
        <v>369</v>
      </c>
      <c r="F33" s="26">
        <f t="shared" si="2"/>
        <v>1</v>
      </c>
      <c r="G33" s="22"/>
      <c r="H33" s="27" t="s">
        <v>371</v>
      </c>
      <c r="I33" s="22" t="s">
        <v>373</v>
      </c>
      <c r="J33" s="28">
        <f>COUNTIF(Relatórios!F:F,E33)</f>
        <v>6</v>
      </c>
      <c r="K33" s="26">
        <v>32</v>
      </c>
      <c r="L33" s="26"/>
      <c r="M33" s="26"/>
      <c r="N33" s="26"/>
      <c r="O33" s="1"/>
      <c r="P33" s="1"/>
      <c r="Q33" s="1"/>
      <c r="R33" s="1"/>
      <c r="S33" s="1"/>
      <c r="T33" s="1"/>
      <c r="U33" s="1"/>
      <c r="V33" s="1"/>
      <c r="W33" s="1"/>
      <c r="X33" s="1"/>
      <c r="Y33" s="1"/>
      <c r="Z33" s="1"/>
      <c r="AA33" s="1"/>
    </row>
    <row r="34" spans="1:27" ht="13">
      <c r="A34" s="12" t="s">
        <v>64</v>
      </c>
      <c r="B34" s="13">
        <f t="shared" si="0"/>
        <v>1.5625E-2</v>
      </c>
      <c r="C34" s="12" t="s">
        <v>73</v>
      </c>
      <c r="D34" s="13">
        <f t="shared" si="1"/>
        <v>1.7857142857142856E-2</v>
      </c>
      <c r="E34" s="12" t="s">
        <v>341</v>
      </c>
      <c r="F34" s="17">
        <f t="shared" si="2"/>
        <v>1</v>
      </c>
      <c r="G34" s="12"/>
      <c r="H34" s="18" t="s">
        <v>382</v>
      </c>
      <c r="I34" s="12"/>
      <c r="J34" s="21">
        <f>COUNTIF(Relatórios!F:F,E34)</f>
        <v>1</v>
      </c>
      <c r="K34" s="17">
        <v>33</v>
      </c>
      <c r="L34" s="17"/>
      <c r="M34" s="17"/>
      <c r="N34" s="17"/>
      <c r="O34" s="1"/>
      <c r="P34" s="1"/>
      <c r="Q34" s="1"/>
      <c r="R34" s="1"/>
      <c r="S34" s="1"/>
      <c r="T34" s="1"/>
      <c r="U34" s="1"/>
      <c r="V34" s="1"/>
      <c r="W34" s="1"/>
      <c r="X34" s="1"/>
      <c r="Y34" s="1"/>
      <c r="Z34" s="1"/>
      <c r="AA34" s="1"/>
    </row>
    <row r="35" spans="1:27" ht="13">
      <c r="A35" s="22" t="s">
        <v>64</v>
      </c>
      <c r="B35" s="23">
        <f t="shared" si="0"/>
        <v>1.5625E-2</v>
      </c>
      <c r="C35" s="22" t="s">
        <v>73</v>
      </c>
      <c r="D35" s="23">
        <f t="shared" si="1"/>
        <v>1.7857142857142856E-2</v>
      </c>
      <c r="E35" s="22" t="s">
        <v>392</v>
      </c>
      <c r="F35" s="26">
        <f t="shared" si="2"/>
        <v>1</v>
      </c>
      <c r="G35" s="22"/>
      <c r="H35" s="27" t="s">
        <v>394</v>
      </c>
      <c r="I35" s="22"/>
      <c r="J35" s="28">
        <f>COUNTIF(Relatórios!F:F,E35)</f>
        <v>1</v>
      </c>
      <c r="K35" s="26">
        <v>34</v>
      </c>
      <c r="L35" s="26"/>
      <c r="M35" s="26"/>
      <c r="N35" s="26"/>
      <c r="O35" s="1"/>
      <c r="P35" s="1"/>
      <c r="Q35" s="1"/>
      <c r="R35" s="1"/>
      <c r="S35" s="1"/>
      <c r="T35" s="1"/>
      <c r="U35" s="1"/>
      <c r="V35" s="1"/>
      <c r="W35" s="1"/>
      <c r="X35" s="1"/>
      <c r="Y35" s="1"/>
      <c r="Z35" s="1"/>
      <c r="AA35" s="1"/>
    </row>
    <row r="36" spans="1:27" ht="13">
      <c r="A36" s="12" t="s">
        <v>64</v>
      </c>
      <c r="B36" s="13">
        <f t="shared" si="0"/>
        <v>1.5625E-2</v>
      </c>
      <c r="C36" s="12" t="s">
        <v>267</v>
      </c>
      <c r="D36" s="13">
        <f t="shared" si="1"/>
        <v>1</v>
      </c>
      <c r="E36" s="12" t="s">
        <v>291</v>
      </c>
      <c r="F36" s="17">
        <f t="shared" si="2"/>
        <v>1</v>
      </c>
      <c r="G36" s="12" t="s">
        <v>399</v>
      </c>
      <c r="H36" s="18" t="s">
        <v>401</v>
      </c>
      <c r="I36" s="12"/>
      <c r="J36" s="21">
        <f>COUNTIF(Relatórios!F:F,E36)</f>
        <v>2</v>
      </c>
      <c r="K36" s="17">
        <v>35</v>
      </c>
      <c r="L36" s="17"/>
      <c r="M36" s="17"/>
      <c r="N36" s="17"/>
      <c r="O36" s="1"/>
      <c r="P36" s="1"/>
      <c r="Q36" s="1"/>
      <c r="R36" s="1"/>
      <c r="S36" s="1"/>
      <c r="T36" s="1"/>
      <c r="U36" s="1"/>
      <c r="V36" s="1"/>
      <c r="W36" s="1"/>
      <c r="X36" s="1"/>
      <c r="Y36" s="1"/>
      <c r="Z36" s="1"/>
      <c r="AA36" s="1"/>
    </row>
    <row r="37" spans="1:27" ht="13">
      <c r="A37" s="22" t="s">
        <v>64</v>
      </c>
      <c r="B37" s="23">
        <f t="shared" si="0"/>
        <v>1.5625E-2</v>
      </c>
      <c r="C37" s="22" t="s">
        <v>73</v>
      </c>
      <c r="D37" s="23">
        <f t="shared" si="1"/>
        <v>1.7857142857142856E-2</v>
      </c>
      <c r="E37" s="22" t="s">
        <v>409</v>
      </c>
      <c r="F37" s="26">
        <f t="shared" si="2"/>
        <v>1</v>
      </c>
      <c r="G37" s="22" t="s">
        <v>332</v>
      </c>
      <c r="H37" s="27" t="s">
        <v>410</v>
      </c>
      <c r="I37" s="22" t="s">
        <v>413</v>
      </c>
      <c r="J37" s="28">
        <f>COUNTIF(Relatórios!F:F,E37)</f>
        <v>0</v>
      </c>
      <c r="K37" s="26">
        <v>36</v>
      </c>
      <c r="L37" s="26"/>
      <c r="M37" s="26"/>
      <c r="N37" s="26"/>
      <c r="O37" s="1"/>
      <c r="P37" s="1"/>
      <c r="Q37" s="1"/>
      <c r="R37" s="1"/>
      <c r="S37" s="1"/>
      <c r="T37" s="1"/>
      <c r="U37" s="1"/>
      <c r="V37" s="1"/>
      <c r="W37" s="1"/>
      <c r="X37" s="1"/>
      <c r="Y37" s="1"/>
      <c r="Z37" s="1"/>
      <c r="AA37" s="1"/>
    </row>
    <row r="38" spans="1:27" ht="13">
      <c r="A38" s="12" t="s">
        <v>64</v>
      </c>
      <c r="B38" s="13">
        <f t="shared" si="0"/>
        <v>1.5625E-2</v>
      </c>
      <c r="C38" s="12" t="s">
        <v>73</v>
      </c>
      <c r="D38" s="13">
        <f t="shared" si="1"/>
        <v>1.7857142857142856E-2</v>
      </c>
      <c r="E38" s="12" t="s">
        <v>419</v>
      </c>
      <c r="F38" s="17">
        <f t="shared" si="2"/>
        <v>1</v>
      </c>
      <c r="G38" s="12"/>
      <c r="H38" s="18" t="s">
        <v>421</v>
      </c>
      <c r="I38" s="12" t="s">
        <v>424</v>
      </c>
      <c r="J38" s="21">
        <f>COUNTIF(Relatórios!F:F,E38)</f>
        <v>1</v>
      </c>
      <c r="K38" s="17">
        <v>37</v>
      </c>
      <c r="L38" s="17"/>
      <c r="M38" s="17"/>
      <c r="N38" s="17"/>
      <c r="O38" s="1"/>
      <c r="P38" s="1"/>
      <c r="Q38" s="1"/>
      <c r="R38" s="1"/>
      <c r="S38" s="1"/>
      <c r="T38" s="1"/>
      <c r="U38" s="1"/>
      <c r="V38" s="1"/>
      <c r="W38" s="1"/>
      <c r="X38" s="1"/>
      <c r="Y38" s="1"/>
      <c r="Z38" s="1"/>
      <c r="AA38" s="1"/>
    </row>
    <row r="39" spans="1:27" ht="13">
      <c r="A39" s="22" t="s">
        <v>64</v>
      </c>
      <c r="B39" s="23">
        <f t="shared" si="0"/>
        <v>1.5625E-2</v>
      </c>
      <c r="C39" s="22" t="s">
        <v>73</v>
      </c>
      <c r="D39" s="23">
        <f t="shared" si="1"/>
        <v>1.7857142857142856E-2</v>
      </c>
      <c r="E39" s="22" t="s">
        <v>431</v>
      </c>
      <c r="F39" s="26">
        <f t="shared" si="2"/>
        <v>1</v>
      </c>
      <c r="G39" s="22"/>
      <c r="H39" s="27" t="s">
        <v>434</v>
      </c>
      <c r="I39" s="22" t="s">
        <v>437</v>
      </c>
      <c r="J39" s="28">
        <f>COUNTIF(Relatórios!F:F,E39)</f>
        <v>1</v>
      </c>
      <c r="K39" s="26">
        <v>38</v>
      </c>
      <c r="L39" s="26"/>
      <c r="M39" s="26"/>
      <c r="N39" s="26"/>
      <c r="O39" s="1"/>
      <c r="P39" s="1"/>
      <c r="Q39" s="1"/>
      <c r="R39" s="1"/>
      <c r="S39" s="1"/>
      <c r="T39" s="1"/>
      <c r="U39" s="1"/>
      <c r="V39" s="1"/>
      <c r="W39" s="1"/>
      <c r="X39" s="1"/>
      <c r="Y39" s="1"/>
      <c r="Z39" s="1"/>
      <c r="AA39" s="1"/>
    </row>
    <row r="40" spans="1:27" ht="13">
      <c r="A40" s="12" t="s">
        <v>64</v>
      </c>
      <c r="B40" s="13">
        <f t="shared" si="0"/>
        <v>1.5625E-2</v>
      </c>
      <c r="C40" s="12" t="s">
        <v>73</v>
      </c>
      <c r="D40" s="13">
        <f t="shared" si="1"/>
        <v>1.7857142857142856E-2</v>
      </c>
      <c r="E40" s="12" t="s">
        <v>444</v>
      </c>
      <c r="F40" s="17">
        <f t="shared" si="2"/>
        <v>1</v>
      </c>
      <c r="G40" s="12" t="s">
        <v>445</v>
      </c>
      <c r="H40" s="18" t="s">
        <v>447</v>
      </c>
      <c r="I40" s="12" t="s">
        <v>452</v>
      </c>
      <c r="J40" s="21">
        <f>COUNTIF(Relatórios!F:F,E40)</f>
        <v>0</v>
      </c>
      <c r="K40" s="17">
        <v>39</v>
      </c>
      <c r="L40" s="17"/>
      <c r="M40" s="17"/>
      <c r="N40" s="17"/>
      <c r="O40" s="1"/>
      <c r="P40" s="1"/>
      <c r="Q40" s="1"/>
      <c r="R40" s="1"/>
      <c r="S40" s="1"/>
      <c r="T40" s="1"/>
      <c r="U40" s="1"/>
      <c r="V40" s="1"/>
      <c r="W40" s="1"/>
      <c r="X40" s="1"/>
      <c r="Y40" s="1"/>
      <c r="Z40" s="1"/>
      <c r="AA40" s="1"/>
    </row>
    <row r="41" spans="1:27" ht="13">
      <c r="A41" s="22" t="s">
        <v>64</v>
      </c>
      <c r="B41" s="23">
        <f t="shared" si="0"/>
        <v>1.5625E-2</v>
      </c>
      <c r="C41" s="22" t="s">
        <v>73</v>
      </c>
      <c r="D41" s="23">
        <f t="shared" si="1"/>
        <v>1.7857142857142856E-2</v>
      </c>
      <c r="E41" s="22" t="s">
        <v>466</v>
      </c>
      <c r="F41" s="26">
        <f t="shared" si="2"/>
        <v>1</v>
      </c>
      <c r="G41" s="22" t="s">
        <v>468</v>
      </c>
      <c r="H41" s="27" t="s">
        <v>470</v>
      </c>
      <c r="I41" s="22" t="s">
        <v>476</v>
      </c>
      <c r="J41" s="28">
        <f>COUNTIF(Relatórios!F:F,E41)</f>
        <v>1</v>
      </c>
      <c r="K41" s="26">
        <v>40</v>
      </c>
      <c r="L41" s="26"/>
      <c r="M41" s="26"/>
      <c r="N41" s="26"/>
      <c r="O41" s="1"/>
      <c r="P41" s="1"/>
      <c r="Q41" s="1"/>
      <c r="R41" s="1"/>
      <c r="S41" s="1"/>
      <c r="T41" s="1"/>
      <c r="U41" s="1"/>
      <c r="V41" s="1"/>
      <c r="W41" s="1"/>
      <c r="X41" s="1"/>
      <c r="Y41" s="1"/>
      <c r="Z41" s="1"/>
      <c r="AA41" s="1"/>
    </row>
    <row r="42" spans="1:27" ht="13">
      <c r="A42" s="12" t="s">
        <v>64</v>
      </c>
      <c r="B42" s="13">
        <f t="shared" si="0"/>
        <v>1.5625E-2</v>
      </c>
      <c r="C42" s="12" t="s">
        <v>73</v>
      </c>
      <c r="D42" s="13">
        <f t="shared" si="1"/>
        <v>1.7857142857142856E-2</v>
      </c>
      <c r="E42" s="12" t="s">
        <v>480</v>
      </c>
      <c r="F42" s="17">
        <f t="shared" si="2"/>
        <v>1</v>
      </c>
      <c r="G42" s="12" t="s">
        <v>481</v>
      </c>
      <c r="H42" s="18" t="s">
        <v>482</v>
      </c>
      <c r="I42" s="12" t="s">
        <v>483</v>
      </c>
      <c r="J42" s="21">
        <f>COUNTIF(Relatórios!F:F,E42)</f>
        <v>2</v>
      </c>
      <c r="K42" s="17">
        <v>41</v>
      </c>
      <c r="L42" s="17"/>
      <c r="M42" s="17"/>
      <c r="N42" s="17"/>
      <c r="O42" s="1"/>
      <c r="P42" s="1"/>
      <c r="Q42" s="1"/>
      <c r="R42" s="1"/>
      <c r="S42" s="1"/>
      <c r="T42" s="1"/>
      <c r="U42" s="1"/>
      <c r="V42" s="1"/>
      <c r="W42" s="1"/>
      <c r="X42" s="1"/>
      <c r="Y42" s="1"/>
      <c r="Z42" s="1"/>
      <c r="AA42" s="1"/>
    </row>
    <row r="43" spans="1:27" ht="13">
      <c r="A43" s="22" t="s">
        <v>64</v>
      </c>
      <c r="B43" s="23">
        <f t="shared" si="0"/>
        <v>1.5625E-2</v>
      </c>
      <c r="C43" s="22" t="s">
        <v>73</v>
      </c>
      <c r="D43" s="23">
        <f t="shared" si="1"/>
        <v>1.7857142857142856E-2</v>
      </c>
      <c r="E43" s="22" t="s">
        <v>485</v>
      </c>
      <c r="F43" s="26">
        <f t="shared" si="2"/>
        <v>1</v>
      </c>
      <c r="G43" s="22" t="s">
        <v>486</v>
      </c>
      <c r="H43" s="27" t="s">
        <v>487</v>
      </c>
      <c r="I43" s="22" t="s">
        <v>491</v>
      </c>
      <c r="J43" s="28">
        <f>COUNTIF(Relatórios!F:F,E43)</f>
        <v>2</v>
      </c>
      <c r="K43" s="26">
        <v>42</v>
      </c>
      <c r="L43" s="26"/>
      <c r="M43" s="26"/>
      <c r="N43" s="26"/>
      <c r="O43" s="1"/>
      <c r="P43" s="1"/>
      <c r="Q43" s="1"/>
      <c r="R43" s="1"/>
      <c r="S43" s="1"/>
      <c r="T43" s="1"/>
      <c r="U43" s="1"/>
      <c r="V43" s="1"/>
      <c r="W43" s="1"/>
      <c r="X43" s="1"/>
      <c r="Y43" s="1"/>
      <c r="Z43" s="1"/>
      <c r="AA43" s="1"/>
    </row>
    <row r="44" spans="1:27" ht="13">
      <c r="A44" s="12" t="s">
        <v>64</v>
      </c>
      <c r="B44" s="13">
        <f t="shared" si="0"/>
        <v>1.5625E-2</v>
      </c>
      <c r="C44" s="12" t="s">
        <v>73</v>
      </c>
      <c r="D44" s="13">
        <f t="shared" si="1"/>
        <v>1.7857142857142856E-2</v>
      </c>
      <c r="E44" s="12" t="s">
        <v>485</v>
      </c>
      <c r="F44" s="17">
        <f t="shared" si="2"/>
        <v>1</v>
      </c>
      <c r="G44" s="12" t="s">
        <v>492</v>
      </c>
      <c r="H44" s="18" t="s">
        <v>493</v>
      </c>
      <c r="I44" s="12" t="s">
        <v>494</v>
      </c>
      <c r="J44" s="21">
        <f>COUNTIF(Relatórios!F:F,E44)</f>
        <v>2</v>
      </c>
      <c r="K44" s="17">
        <v>43</v>
      </c>
      <c r="L44" s="17"/>
      <c r="M44" s="17"/>
      <c r="N44" s="17"/>
      <c r="O44" s="1"/>
      <c r="P44" s="1"/>
      <c r="Q44" s="1"/>
      <c r="R44" s="1"/>
      <c r="S44" s="1"/>
      <c r="T44" s="1"/>
      <c r="U44" s="1"/>
      <c r="V44" s="1"/>
      <c r="W44" s="1"/>
      <c r="X44" s="1"/>
      <c r="Y44" s="1"/>
      <c r="Z44" s="1"/>
      <c r="AA44" s="1"/>
    </row>
    <row r="45" spans="1:27" ht="13">
      <c r="A45" s="22" t="s">
        <v>64</v>
      </c>
      <c r="B45" s="23">
        <f t="shared" si="0"/>
        <v>1.5625E-2</v>
      </c>
      <c r="C45" s="22" t="s">
        <v>73</v>
      </c>
      <c r="D45" s="23">
        <f t="shared" si="1"/>
        <v>1.7857142857142856E-2</v>
      </c>
      <c r="E45" s="22" t="s">
        <v>497</v>
      </c>
      <c r="F45" s="26">
        <f t="shared" si="2"/>
        <v>1</v>
      </c>
      <c r="G45" s="22" t="s">
        <v>481</v>
      </c>
      <c r="H45" s="27" t="s">
        <v>498</v>
      </c>
      <c r="I45" s="22" t="s">
        <v>499</v>
      </c>
      <c r="J45" s="28">
        <f>COUNTIF(Relatórios!F:F,E45)</f>
        <v>1</v>
      </c>
      <c r="K45" s="26">
        <v>44</v>
      </c>
      <c r="L45" s="26"/>
      <c r="M45" s="26"/>
      <c r="N45" s="26"/>
      <c r="O45" s="1"/>
      <c r="P45" s="1"/>
      <c r="Q45" s="1"/>
      <c r="R45" s="1"/>
      <c r="S45" s="1"/>
      <c r="T45" s="1"/>
      <c r="U45" s="1"/>
      <c r="V45" s="1"/>
      <c r="W45" s="1"/>
      <c r="X45" s="1"/>
      <c r="Y45" s="1"/>
      <c r="Z45" s="1"/>
      <c r="AA45" s="1"/>
    </row>
    <row r="46" spans="1:27" ht="13">
      <c r="A46" s="12" t="s">
        <v>64</v>
      </c>
      <c r="B46" s="13">
        <f t="shared" si="0"/>
        <v>1.5625E-2</v>
      </c>
      <c r="C46" s="12" t="s">
        <v>73</v>
      </c>
      <c r="D46" s="13">
        <f t="shared" si="1"/>
        <v>1.7857142857142856E-2</v>
      </c>
      <c r="E46" s="12" t="s">
        <v>502</v>
      </c>
      <c r="F46" s="17">
        <f t="shared" si="2"/>
        <v>1</v>
      </c>
      <c r="G46" s="12" t="s">
        <v>481</v>
      </c>
      <c r="H46" s="18" t="s">
        <v>503</v>
      </c>
      <c r="I46" s="12" t="s">
        <v>507</v>
      </c>
      <c r="J46" s="21">
        <f>COUNTIF(Relatórios!F:F,E46)</f>
        <v>1</v>
      </c>
      <c r="K46" s="17">
        <v>45</v>
      </c>
      <c r="L46" s="17"/>
      <c r="M46" s="17"/>
      <c r="N46" s="17"/>
      <c r="O46" s="1"/>
      <c r="P46" s="1"/>
      <c r="Q46" s="1"/>
      <c r="R46" s="1"/>
      <c r="S46" s="1"/>
      <c r="T46" s="1"/>
      <c r="U46" s="1"/>
      <c r="V46" s="1"/>
      <c r="W46" s="1"/>
      <c r="X46" s="1"/>
      <c r="Y46" s="1"/>
      <c r="Z46" s="1"/>
      <c r="AA46" s="1"/>
    </row>
    <row r="47" spans="1:27" ht="13">
      <c r="A47" s="22" t="s">
        <v>64</v>
      </c>
      <c r="B47" s="23">
        <f t="shared" si="0"/>
        <v>1.5625E-2</v>
      </c>
      <c r="C47" s="22" t="s">
        <v>73</v>
      </c>
      <c r="D47" s="23">
        <f t="shared" si="1"/>
        <v>1.7857142857142856E-2</v>
      </c>
      <c r="E47" s="22" t="s">
        <v>509</v>
      </c>
      <c r="F47" s="26">
        <f t="shared" si="2"/>
        <v>1</v>
      </c>
      <c r="G47" s="22" t="s">
        <v>510</v>
      </c>
      <c r="H47" s="35" t="s">
        <v>511</v>
      </c>
      <c r="I47" s="22" t="s">
        <v>513</v>
      </c>
      <c r="J47" s="28">
        <f>COUNTIF(Relatórios!F:F,E47)</f>
        <v>0</v>
      </c>
      <c r="K47" s="26">
        <v>46</v>
      </c>
      <c r="L47" s="26"/>
      <c r="M47" s="26"/>
      <c r="N47" s="26"/>
      <c r="O47" s="1"/>
      <c r="P47" s="1"/>
      <c r="Q47" s="1"/>
      <c r="R47" s="1"/>
      <c r="S47" s="1"/>
      <c r="T47" s="1"/>
      <c r="U47" s="1"/>
      <c r="V47" s="1"/>
      <c r="W47" s="1"/>
      <c r="X47" s="1"/>
      <c r="Y47" s="1"/>
      <c r="Z47" s="1"/>
      <c r="AA47" s="1"/>
    </row>
    <row r="48" spans="1:27" ht="13">
      <c r="A48" s="12" t="s">
        <v>64</v>
      </c>
      <c r="B48" s="13">
        <f t="shared" si="0"/>
        <v>1.5625E-2</v>
      </c>
      <c r="C48" s="12" t="s">
        <v>73</v>
      </c>
      <c r="D48" s="13">
        <f t="shared" si="1"/>
        <v>1.7857142857142856E-2</v>
      </c>
      <c r="E48" s="12" t="s">
        <v>514</v>
      </c>
      <c r="F48" s="17">
        <f t="shared" si="2"/>
        <v>1</v>
      </c>
      <c r="G48" s="12" t="s">
        <v>481</v>
      </c>
      <c r="H48" s="18" t="s">
        <v>515</v>
      </c>
      <c r="I48" s="12" t="s">
        <v>516</v>
      </c>
      <c r="J48" s="21">
        <f>COUNTIF(Relatórios!F:F,E48)</f>
        <v>4</v>
      </c>
      <c r="K48" s="17">
        <v>47</v>
      </c>
      <c r="L48" s="17"/>
      <c r="M48" s="17"/>
      <c r="N48" s="17"/>
      <c r="O48" s="1"/>
      <c r="P48" s="1"/>
      <c r="Q48" s="1"/>
      <c r="R48" s="1"/>
      <c r="S48" s="1"/>
      <c r="T48" s="1"/>
      <c r="U48" s="1"/>
      <c r="V48" s="1"/>
      <c r="W48" s="1"/>
      <c r="X48" s="1"/>
      <c r="Y48" s="1"/>
      <c r="Z48" s="1"/>
      <c r="AA48" s="1"/>
    </row>
    <row r="49" spans="1:27" ht="13">
      <c r="A49" s="22" t="s">
        <v>64</v>
      </c>
      <c r="B49" s="23">
        <f t="shared" si="0"/>
        <v>1.5625E-2</v>
      </c>
      <c r="C49" s="22" t="s">
        <v>73</v>
      </c>
      <c r="D49" s="23">
        <f t="shared" si="1"/>
        <v>1.7857142857142856E-2</v>
      </c>
      <c r="E49" s="22" t="s">
        <v>517</v>
      </c>
      <c r="F49" s="26">
        <f t="shared" si="2"/>
        <v>1</v>
      </c>
      <c r="G49" s="22" t="s">
        <v>481</v>
      </c>
      <c r="H49" s="27" t="s">
        <v>520</v>
      </c>
      <c r="I49" s="22"/>
      <c r="J49" s="28">
        <f>COUNTIF(Relatórios!F:F,E49)</f>
        <v>1</v>
      </c>
      <c r="K49" s="26">
        <v>48</v>
      </c>
      <c r="L49" s="26"/>
      <c r="M49" s="57"/>
      <c r="N49" s="57"/>
      <c r="O49" s="58"/>
      <c r="P49" s="58"/>
      <c r="Q49" s="58"/>
      <c r="R49" s="58"/>
      <c r="S49" s="58"/>
      <c r="T49" s="58"/>
      <c r="U49" s="58"/>
      <c r="V49" s="58"/>
      <c r="W49" s="58"/>
      <c r="X49" s="58"/>
      <c r="Y49" s="58"/>
      <c r="Z49" s="58"/>
      <c r="AA49" s="58"/>
    </row>
    <row r="50" spans="1:27" ht="13">
      <c r="A50" s="12" t="s">
        <v>64</v>
      </c>
      <c r="B50" s="13">
        <f t="shared" si="0"/>
        <v>1.5625E-2</v>
      </c>
      <c r="C50" s="12" t="s">
        <v>73</v>
      </c>
      <c r="D50" s="13">
        <f t="shared" si="1"/>
        <v>1.7857142857142856E-2</v>
      </c>
      <c r="E50" s="12" t="s">
        <v>521</v>
      </c>
      <c r="F50" s="17">
        <f t="shared" si="2"/>
        <v>1</v>
      </c>
      <c r="G50" s="12" t="s">
        <v>481</v>
      </c>
      <c r="H50" s="18" t="s">
        <v>522</v>
      </c>
      <c r="I50" s="12"/>
      <c r="J50" s="21">
        <f>COUNTIF(Relatórios!F:F,E50)</f>
        <v>1</v>
      </c>
      <c r="K50" s="17">
        <v>49</v>
      </c>
      <c r="L50" s="17"/>
      <c r="M50" s="17"/>
      <c r="N50" s="17"/>
      <c r="O50" s="1"/>
      <c r="P50" s="1"/>
      <c r="Q50" s="1"/>
      <c r="R50" s="1"/>
      <c r="S50" s="1"/>
      <c r="T50" s="1"/>
      <c r="U50" s="1"/>
      <c r="V50" s="1"/>
      <c r="W50" s="1"/>
      <c r="X50" s="1"/>
      <c r="Y50" s="1"/>
      <c r="Z50" s="1"/>
      <c r="AA50" s="1"/>
    </row>
    <row r="51" spans="1:27" ht="13">
      <c r="A51" s="22" t="s">
        <v>64</v>
      </c>
      <c r="B51" s="23">
        <f t="shared" si="0"/>
        <v>1.5625E-2</v>
      </c>
      <c r="C51" s="22" t="s">
        <v>73</v>
      </c>
      <c r="D51" s="23">
        <f t="shared" si="1"/>
        <v>1.7857142857142856E-2</v>
      </c>
      <c r="E51" s="22" t="s">
        <v>526</v>
      </c>
      <c r="F51" s="26">
        <f t="shared" si="2"/>
        <v>1</v>
      </c>
      <c r="G51" s="22"/>
      <c r="H51" s="27" t="s">
        <v>527</v>
      </c>
      <c r="I51" s="22" t="s">
        <v>528</v>
      </c>
      <c r="J51" s="28">
        <f>COUNTIF(Relatórios!F:F,E51)</f>
        <v>0</v>
      </c>
      <c r="K51" s="26">
        <v>50</v>
      </c>
      <c r="L51" s="26"/>
      <c r="M51" s="26"/>
      <c r="N51" s="26"/>
      <c r="O51" s="1"/>
      <c r="P51" s="1"/>
      <c r="Q51" s="1"/>
      <c r="R51" s="1"/>
      <c r="S51" s="1"/>
      <c r="T51" s="1"/>
      <c r="U51" s="1"/>
      <c r="V51" s="1"/>
      <c r="W51" s="1"/>
      <c r="X51" s="1"/>
      <c r="Y51" s="1"/>
      <c r="Z51" s="1"/>
      <c r="AA51" s="1"/>
    </row>
    <row r="52" spans="1:27" ht="13">
      <c r="A52" s="12" t="s">
        <v>64</v>
      </c>
      <c r="B52" s="13">
        <f t="shared" si="0"/>
        <v>1.5625E-2</v>
      </c>
      <c r="C52" s="12" t="s">
        <v>103</v>
      </c>
      <c r="D52" s="13">
        <f t="shared" si="1"/>
        <v>0.1111111111111111</v>
      </c>
      <c r="E52" s="12" t="s">
        <v>532</v>
      </c>
      <c r="F52" s="17">
        <f t="shared" si="2"/>
        <v>1</v>
      </c>
      <c r="G52" s="12"/>
      <c r="H52" s="18" t="s">
        <v>533</v>
      </c>
      <c r="I52" s="12"/>
      <c r="J52" s="21">
        <f>COUNTIF(Relatórios!F:F,E52)</f>
        <v>1</v>
      </c>
      <c r="K52" s="17">
        <v>51</v>
      </c>
      <c r="L52" s="17"/>
      <c r="M52" s="17"/>
      <c r="N52" s="17"/>
      <c r="O52" s="1"/>
      <c r="P52" s="1"/>
      <c r="Q52" s="1"/>
      <c r="R52" s="1"/>
      <c r="S52" s="1"/>
      <c r="T52" s="1"/>
      <c r="U52" s="1"/>
      <c r="V52" s="1"/>
      <c r="W52" s="1"/>
      <c r="X52" s="1"/>
      <c r="Y52" s="1"/>
      <c r="Z52" s="1"/>
      <c r="AA52" s="1"/>
    </row>
    <row r="53" spans="1:27" ht="13">
      <c r="A53" s="22" t="s">
        <v>64</v>
      </c>
      <c r="B53" s="23">
        <f t="shared" si="0"/>
        <v>1.5625E-2</v>
      </c>
      <c r="C53" s="22" t="s">
        <v>103</v>
      </c>
      <c r="D53" s="23">
        <f t="shared" si="1"/>
        <v>0.1111111111111111</v>
      </c>
      <c r="E53" s="22" t="s">
        <v>536</v>
      </c>
      <c r="F53" s="26">
        <f t="shared" si="2"/>
        <v>1</v>
      </c>
      <c r="G53" s="22" t="s">
        <v>538</v>
      </c>
      <c r="H53" s="27" t="s">
        <v>539</v>
      </c>
      <c r="I53" s="22"/>
      <c r="J53" s="28">
        <f>COUNTIF(Relatórios!F:F,E53)</f>
        <v>0</v>
      </c>
      <c r="K53" s="26">
        <v>52</v>
      </c>
      <c r="L53" s="26"/>
      <c r="M53" s="26"/>
      <c r="N53" s="26"/>
      <c r="O53" s="1"/>
      <c r="P53" s="1"/>
      <c r="Q53" s="1"/>
      <c r="R53" s="1"/>
      <c r="S53" s="1"/>
      <c r="T53" s="1"/>
      <c r="U53" s="1"/>
      <c r="V53" s="1"/>
      <c r="W53" s="1"/>
      <c r="X53" s="1"/>
      <c r="Y53" s="1"/>
      <c r="Z53" s="1"/>
      <c r="AA53" s="1"/>
    </row>
    <row r="54" spans="1:27" ht="13">
      <c r="A54" s="12" t="s">
        <v>64</v>
      </c>
      <c r="B54" s="13">
        <f t="shared" si="0"/>
        <v>1.5625E-2</v>
      </c>
      <c r="C54" s="12" t="s">
        <v>73</v>
      </c>
      <c r="D54" s="13">
        <f t="shared" si="1"/>
        <v>1.7857142857142856E-2</v>
      </c>
      <c r="E54" s="12" t="s">
        <v>542</v>
      </c>
      <c r="F54" s="17">
        <f t="shared" si="2"/>
        <v>1</v>
      </c>
      <c r="G54" s="12"/>
      <c r="H54" s="18" t="s">
        <v>543</v>
      </c>
      <c r="I54" s="12"/>
      <c r="J54" s="21">
        <f>COUNTIF(Relatórios!F:F,E54)</f>
        <v>1</v>
      </c>
      <c r="K54" s="17">
        <v>53</v>
      </c>
      <c r="L54" s="17"/>
      <c r="M54" s="17"/>
      <c r="N54" s="17"/>
      <c r="O54" s="1"/>
      <c r="P54" s="1"/>
      <c r="Q54" s="1"/>
      <c r="R54" s="1"/>
      <c r="S54" s="1"/>
      <c r="T54" s="1"/>
      <c r="U54" s="1"/>
      <c r="V54" s="1"/>
      <c r="W54" s="1"/>
      <c r="X54" s="1"/>
      <c r="Y54" s="1"/>
      <c r="Z54" s="1"/>
      <c r="AA54" s="1"/>
    </row>
    <row r="55" spans="1:27" ht="13">
      <c r="A55" s="22" t="s">
        <v>64</v>
      </c>
      <c r="B55" s="23">
        <f t="shared" si="0"/>
        <v>1.5625E-2</v>
      </c>
      <c r="C55" s="22" t="s">
        <v>73</v>
      </c>
      <c r="D55" s="23">
        <f t="shared" si="1"/>
        <v>1.7857142857142856E-2</v>
      </c>
      <c r="E55" s="22" t="s">
        <v>546</v>
      </c>
      <c r="F55" s="26">
        <f t="shared" si="2"/>
        <v>1</v>
      </c>
      <c r="G55" s="22" t="s">
        <v>547</v>
      </c>
      <c r="H55" s="27" t="s">
        <v>548</v>
      </c>
      <c r="I55" s="22"/>
      <c r="J55" s="28">
        <f>COUNTIF(Relatórios!F:F,E55)</f>
        <v>1</v>
      </c>
      <c r="K55" s="26">
        <v>54</v>
      </c>
      <c r="L55" s="26"/>
      <c r="M55" s="26"/>
      <c r="N55" s="26"/>
      <c r="O55" s="1"/>
      <c r="P55" s="1"/>
      <c r="Q55" s="1"/>
      <c r="R55" s="1"/>
      <c r="S55" s="1"/>
      <c r="T55" s="1"/>
      <c r="U55" s="1"/>
      <c r="V55" s="1"/>
      <c r="W55" s="1"/>
      <c r="X55" s="1"/>
      <c r="Y55" s="1"/>
      <c r="Z55" s="1"/>
      <c r="AA55" s="1"/>
    </row>
    <row r="56" spans="1:27" ht="16">
      <c r="A56" s="12" t="s">
        <v>64</v>
      </c>
      <c r="B56" s="13">
        <f t="shared" si="0"/>
        <v>1.5625E-2</v>
      </c>
      <c r="C56" s="44" t="s">
        <v>73</v>
      </c>
      <c r="D56" s="13">
        <f t="shared" si="1"/>
        <v>1.7857142857142856E-2</v>
      </c>
      <c r="E56" s="12" t="s">
        <v>554</v>
      </c>
      <c r="F56" s="17">
        <f t="shared" si="2"/>
        <v>1</v>
      </c>
      <c r="G56" s="12" t="s">
        <v>542</v>
      </c>
      <c r="H56" s="61" t="s">
        <v>555</v>
      </c>
      <c r="I56" s="12" t="s">
        <v>559</v>
      </c>
      <c r="J56" s="21">
        <f>COUNTIF(Relatórios!F:F,E56)</f>
        <v>1</v>
      </c>
      <c r="K56" s="17">
        <v>55</v>
      </c>
      <c r="L56" s="17"/>
      <c r="M56" s="17"/>
      <c r="N56" s="17"/>
      <c r="O56" s="1"/>
      <c r="P56" s="1"/>
      <c r="Q56" s="1"/>
      <c r="R56" s="1"/>
      <c r="S56" s="1"/>
      <c r="T56" s="1"/>
      <c r="U56" s="1"/>
      <c r="V56" s="1"/>
      <c r="W56" s="1"/>
      <c r="X56" s="1"/>
      <c r="Y56" s="1"/>
      <c r="Z56" s="1"/>
      <c r="AA56" s="1"/>
    </row>
    <row r="57" spans="1:27" ht="13">
      <c r="A57" s="22" t="s">
        <v>69</v>
      </c>
      <c r="B57" s="23">
        <f t="shared" si="0"/>
        <v>0.5</v>
      </c>
      <c r="C57" s="22" t="s">
        <v>270</v>
      </c>
      <c r="D57" s="23">
        <f t="shared" si="1"/>
        <v>0.5</v>
      </c>
      <c r="E57" s="22" t="s">
        <v>560</v>
      </c>
      <c r="F57" s="26">
        <f t="shared" si="2"/>
        <v>1</v>
      </c>
      <c r="G57" s="22"/>
      <c r="H57" s="27" t="s">
        <v>561</v>
      </c>
      <c r="I57" s="22"/>
      <c r="J57" s="28">
        <f>COUNTIF(Relatórios!F:F,E57)</f>
        <v>3</v>
      </c>
      <c r="K57" s="26">
        <v>56</v>
      </c>
      <c r="L57" s="26"/>
      <c r="M57" s="26"/>
      <c r="N57" s="26"/>
      <c r="O57" s="1"/>
      <c r="P57" s="1"/>
      <c r="Q57" s="1"/>
      <c r="R57" s="1"/>
      <c r="S57" s="1"/>
      <c r="T57" s="1"/>
      <c r="U57" s="1"/>
      <c r="V57" s="1"/>
      <c r="W57" s="1"/>
      <c r="X57" s="1"/>
      <c r="Y57" s="1"/>
      <c r="Z57" s="1"/>
      <c r="AA57" s="1"/>
    </row>
    <row r="58" spans="1:27" ht="13">
      <c r="A58" s="12" t="s">
        <v>80</v>
      </c>
      <c r="B58" s="13">
        <f t="shared" si="0"/>
        <v>4.5454545454545456E-2</v>
      </c>
      <c r="C58" s="12" t="s">
        <v>307</v>
      </c>
      <c r="D58" s="13">
        <f t="shared" si="1"/>
        <v>1</v>
      </c>
      <c r="E58" s="12" t="s">
        <v>564</v>
      </c>
      <c r="F58" s="17">
        <f t="shared" si="2"/>
        <v>1</v>
      </c>
      <c r="G58" s="12" t="s">
        <v>565</v>
      </c>
      <c r="H58" s="18" t="s">
        <v>566</v>
      </c>
      <c r="I58" s="12" t="s">
        <v>571</v>
      </c>
      <c r="J58" s="21">
        <f>COUNTIF(Relatórios!F:F,E58)</f>
        <v>2</v>
      </c>
      <c r="K58" s="17">
        <v>57</v>
      </c>
      <c r="L58" s="17"/>
      <c r="M58" s="17"/>
      <c r="N58" s="17"/>
      <c r="O58" s="1"/>
      <c r="P58" s="1"/>
      <c r="Q58" s="1"/>
      <c r="R58" s="1"/>
      <c r="S58" s="1"/>
      <c r="T58" s="1"/>
      <c r="U58" s="1"/>
      <c r="V58" s="1"/>
      <c r="W58" s="1"/>
      <c r="X58" s="1"/>
      <c r="Y58" s="1"/>
      <c r="Z58" s="1"/>
      <c r="AA58" s="1"/>
    </row>
    <row r="59" spans="1:27" ht="13">
      <c r="A59" s="22" t="s">
        <v>56</v>
      </c>
      <c r="B59" s="23">
        <f t="shared" si="0"/>
        <v>5.5555555555555552E-2</v>
      </c>
      <c r="C59" s="22" t="s">
        <v>60</v>
      </c>
      <c r="D59" s="23">
        <f t="shared" si="1"/>
        <v>0.14285714285714285</v>
      </c>
      <c r="E59" s="22" t="s">
        <v>57</v>
      </c>
      <c r="F59" s="26">
        <f t="shared" si="2"/>
        <v>1</v>
      </c>
      <c r="G59" s="22" t="s">
        <v>60</v>
      </c>
      <c r="H59" s="27" t="s">
        <v>572</v>
      </c>
      <c r="I59" s="22"/>
      <c r="J59" s="28">
        <f>COUNTIF(Relatórios!F:F,E59)</f>
        <v>1</v>
      </c>
      <c r="K59" s="26">
        <v>58</v>
      </c>
      <c r="L59" s="26"/>
      <c r="M59" s="26"/>
      <c r="N59" s="26"/>
      <c r="O59" s="1"/>
      <c r="P59" s="1"/>
      <c r="Q59" s="1"/>
      <c r="R59" s="1"/>
      <c r="S59" s="1"/>
      <c r="T59" s="1"/>
      <c r="U59" s="1"/>
      <c r="V59" s="1"/>
      <c r="W59" s="1"/>
      <c r="X59" s="1"/>
      <c r="Y59" s="1"/>
      <c r="Z59" s="1"/>
      <c r="AA59" s="1"/>
    </row>
    <row r="60" spans="1:27" ht="13">
      <c r="A60" s="12" t="s">
        <v>58</v>
      </c>
      <c r="B60" s="13">
        <f t="shared" si="0"/>
        <v>1.1494252873563218E-2</v>
      </c>
      <c r="C60" s="12" t="s">
        <v>349</v>
      </c>
      <c r="D60" s="13">
        <f t="shared" si="1"/>
        <v>0.1111111111111111</v>
      </c>
      <c r="E60" s="12" t="s">
        <v>575</v>
      </c>
      <c r="F60" s="17">
        <f t="shared" si="2"/>
        <v>1</v>
      </c>
      <c r="G60" s="12"/>
      <c r="H60" s="18" t="s">
        <v>576</v>
      </c>
      <c r="I60" s="12"/>
      <c r="J60" s="21">
        <f>COUNTIF(Relatórios!F:F,E60)</f>
        <v>0</v>
      </c>
      <c r="K60" s="17">
        <v>59</v>
      </c>
      <c r="L60" s="17"/>
      <c r="M60" s="17"/>
      <c r="N60" s="17"/>
      <c r="O60" s="1"/>
      <c r="P60" s="1"/>
      <c r="Q60" s="1"/>
      <c r="R60" s="1"/>
      <c r="S60" s="1"/>
      <c r="T60" s="1"/>
      <c r="U60" s="1"/>
      <c r="V60" s="1"/>
      <c r="W60" s="1"/>
      <c r="X60" s="1"/>
      <c r="Y60" s="1"/>
      <c r="Z60" s="1"/>
      <c r="AA60" s="1"/>
    </row>
    <row r="61" spans="1:27" ht="13">
      <c r="A61" s="22" t="s">
        <v>58</v>
      </c>
      <c r="B61" s="23">
        <f t="shared" si="0"/>
        <v>1.1494252873563218E-2</v>
      </c>
      <c r="C61" s="22" t="s">
        <v>349</v>
      </c>
      <c r="D61" s="23">
        <f t="shared" si="1"/>
        <v>0.1111111111111111</v>
      </c>
      <c r="E61" s="22" t="s">
        <v>577</v>
      </c>
      <c r="F61" s="26">
        <f t="shared" si="2"/>
        <v>1</v>
      </c>
      <c r="G61" s="22"/>
      <c r="H61" s="27" t="s">
        <v>579</v>
      </c>
      <c r="I61" s="22" t="s">
        <v>582</v>
      </c>
      <c r="J61" s="28">
        <f>COUNTIF(Relatórios!F:F,E61)</f>
        <v>1</v>
      </c>
      <c r="K61" s="26">
        <v>60</v>
      </c>
      <c r="L61" s="26"/>
      <c r="M61" s="26"/>
      <c r="N61" s="26"/>
      <c r="O61" s="1"/>
      <c r="P61" s="1"/>
      <c r="Q61" s="1"/>
      <c r="R61" s="1"/>
      <c r="S61" s="1"/>
      <c r="T61" s="1"/>
      <c r="U61" s="1"/>
      <c r="V61" s="1"/>
      <c r="W61" s="1"/>
      <c r="X61" s="1"/>
      <c r="Y61" s="1"/>
      <c r="Z61" s="1"/>
      <c r="AA61" s="1"/>
    </row>
    <row r="62" spans="1:27" ht="13">
      <c r="A62" s="12" t="s">
        <v>58</v>
      </c>
      <c r="B62" s="13">
        <f t="shared" si="0"/>
        <v>1.1494252873563218E-2</v>
      </c>
      <c r="C62" s="12" t="s">
        <v>349</v>
      </c>
      <c r="D62" s="13">
        <f t="shared" si="1"/>
        <v>0.1111111111111111</v>
      </c>
      <c r="E62" s="12" t="s">
        <v>586</v>
      </c>
      <c r="F62" s="17">
        <f t="shared" si="2"/>
        <v>1</v>
      </c>
      <c r="G62" s="12"/>
      <c r="H62" s="18" t="s">
        <v>587</v>
      </c>
      <c r="I62" s="12"/>
      <c r="J62" s="21">
        <f>COUNTIF(Relatórios!F:F,E62)</f>
        <v>1</v>
      </c>
      <c r="K62" s="17">
        <v>61</v>
      </c>
      <c r="L62" s="17"/>
      <c r="M62" s="17"/>
      <c r="N62" s="17"/>
      <c r="O62" s="1"/>
      <c r="P62" s="1"/>
      <c r="Q62" s="1"/>
      <c r="R62" s="1"/>
      <c r="S62" s="1"/>
      <c r="T62" s="1"/>
      <c r="U62" s="1"/>
      <c r="V62" s="1"/>
      <c r="W62" s="1"/>
      <c r="X62" s="1"/>
      <c r="Y62" s="1"/>
      <c r="Z62" s="1"/>
      <c r="AA62" s="1"/>
    </row>
    <row r="63" spans="1:27" ht="13">
      <c r="A63" s="22" t="s">
        <v>58</v>
      </c>
      <c r="B63" s="23">
        <f t="shared" si="0"/>
        <v>1.1494252873563218E-2</v>
      </c>
      <c r="C63" s="22" t="s">
        <v>349</v>
      </c>
      <c r="D63" s="23">
        <f t="shared" si="1"/>
        <v>0.1111111111111111</v>
      </c>
      <c r="E63" s="22" t="s">
        <v>592</v>
      </c>
      <c r="F63" s="26">
        <f t="shared" si="2"/>
        <v>1</v>
      </c>
      <c r="G63" s="22" t="s">
        <v>593</v>
      </c>
      <c r="H63" s="27" t="s">
        <v>594</v>
      </c>
      <c r="I63" s="22" t="s">
        <v>597</v>
      </c>
      <c r="J63" s="28">
        <f>COUNTIF(Relatórios!F:F,E63)</f>
        <v>0</v>
      </c>
      <c r="K63" s="26">
        <v>62</v>
      </c>
      <c r="L63" s="26"/>
      <c r="M63" s="26"/>
      <c r="N63" s="26"/>
      <c r="O63" s="1"/>
      <c r="P63" s="1"/>
      <c r="Q63" s="1"/>
      <c r="R63" s="1"/>
      <c r="S63" s="1"/>
      <c r="T63" s="1"/>
      <c r="U63" s="1"/>
      <c r="V63" s="1"/>
      <c r="W63" s="1"/>
      <c r="X63" s="1"/>
      <c r="Y63" s="1"/>
      <c r="Z63" s="1"/>
      <c r="AA63" s="1"/>
    </row>
    <row r="64" spans="1:27" ht="13">
      <c r="A64" s="12" t="s">
        <v>58</v>
      </c>
      <c r="B64" s="13">
        <f t="shared" si="0"/>
        <v>1.1494252873563218E-2</v>
      </c>
      <c r="C64" s="12" t="s">
        <v>349</v>
      </c>
      <c r="D64" s="13">
        <f t="shared" si="1"/>
        <v>0.1111111111111111</v>
      </c>
      <c r="E64" s="12" t="s">
        <v>602</v>
      </c>
      <c r="F64" s="17">
        <f t="shared" si="2"/>
        <v>1</v>
      </c>
      <c r="G64" s="12"/>
      <c r="H64" s="18" t="s">
        <v>603</v>
      </c>
      <c r="I64" s="12" t="s">
        <v>604</v>
      </c>
      <c r="J64" s="21">
        <f>COUNTIF(Relatórios!F:F,E64)</f>
        <v>0</v>
      </c>
      <c r="K64" s="17">
        <v>63</v>
      </c>
      <c r="L64" s="17"/>
      <c r="M64" s="17"/>
      <c r="N64" s="17"/>
      <c r="O64" s="1"/>
      <c r="P64" s="1"/>
      <c r="Q64" s="1"/>
      <c r="R64" s="1"/>
      <c r="S64" s="1"/>
      <c r="T64" s="1"/>
      <c r="U64" s="1"/>
      <c r="V64" s="1"/>
      <c r="W64" s="1"/>
      <c r="X64" s="1"/>
      <c r="Y64" s="1"/>
      <c r="Z64" s="1"/>
      <c r="AA64" s="1"/>
    </row>
    <row r="65" spans="1:27" ht="13">
      <c r="A65" s="22" t="s">
        <v>58</v>
      </c>
      <c r="B65" s="23">
        <f t="shared" si="0"/>
        <v>1.1494252873563218E-2</v>
      </c>
      <c r="C65" s="22" t="s">
        <v>349</v>
      </c>
      <c r="D65" s="23">
        <f t="shared" si="1"/>
        <v>0.1111111111111111</v>
      </c>
      <c r="E65" s="22" t="s">
        <v>610</v>
      </c>
      <c r="F65" s="26">
        <f t="shared" si="2"/>
        <v>1</v>
      </c>
      <c r="G65" s="22"/>
      <c r="H65" s="63" t="s">
        <v>613</v>
      </c>
      <c r="I65" s="22" t="s">
        <v>617</v>
      </c>
      <c r="J65" s="28">
        <f>COUNTIF(Relatórios!F:F,E65)</f>
        <v>0</v>
      </c>
      <c r="K65" s="26">
        <v>64</v>
      </c>
      <c r="L65" s="26"/>
      <c r="M65" s="26"/>
      <c r="N65" s="26"/>
      <c r="O65" s="1"/>
      <c r="P65" s="1"/>
      <c r="Q65" s="1"/>
      <c r="R65" s="1"/>
      <c r="S65" s="1"/>
      <c r="T65" s="1"/>
      <c r="U65" s="1"/>
      <c r="V65" s="1"/>
      <c r="W65" s="1"/>
      <c r="X65" s="1"/>
      <c r="Y65" s="1"/>
      <c r="Z65" s="1"/>
      <c r="AA65" s="1"/>
    </row>
    <row r="66" spans="1:27" ht="13">
      <c r="A66" s="12" t="s">
        <v>58</v>
      </c>
      <c r="B66" s="13">
        <f t="shared" si="0"/>
        <v>1.1494252873563218E-2</v>
      </c>
      <c r="C66" s="12" t="s">
        <v>353</v>
      </c>
      <c r="D66" s="13">
        <f t="shared" si="1"/>
        <v>1</v>
      </c>
      <c r="E66" s="12" t="s">
        <v>626</v>
      </c>
      <c r="F66" s="17">
        <f t="shared" si="2"/>
        <v>1</v>
      </c>
      <c r="G66" s="12"/>
      <c r="H66" s="18" t="s">
        <v>629</v>
      </c>
      <c r="I66" s="12"/>
      <c r="J66" s="21">
        <f>COUNTIF(Relatórios!F:F,E66)</f>
        <v>2</v>
      </c>
      <c r="K66" s="17">
        <v>65</v>
      </c>
      <c r="L66" s="17"/>
      <c r="M66" s="17"/>
      <c r="N66" s="17"/>
      <c r="O66" s="1"/>
      <c r="P66" s="1"/>
      <c r="Q66" s="1"/>
      <c r="R66" s="1"/>
      <c r="S66" s="1"/>
      <c r="T66" s="1"/>
      <c r="U66" s="1"/>
      <c r="V66" s="1"/>
      <c r="W66" s="1"/>
      <c r="X66" s="1"/>
      <c r="Y66" s="1"/>
      <c r="Z66" s="1"/>
      <c r="AA66" s="1"/>
    </row>
    <row r="67" spans="1:27" ht="13">
      <c r="A67" s="22" t="s">
        <v>58</v>
      </c>
      <c r="B67" s="23">
        <f t="shared" si="0"/>
        <v>1.1494252873563218E-2</v>
      </c>
      <c r="C67" s="22" t="s">
        <v>359</v>
      </c>
      <c r="D67" s="23">
        <f t="shared" si="1"/>
        <v>1</v>
      </c>
      <c r="E67" s="22" t="s">
        <v>632</v>
      </c>
      <c r="F67" s="26">
        <f t="shared" si="2"/>
        <v>1</v>
      </c>
      <c r="G67" s="22" t="s">
        <v>633</v>
      </c>
      <c r="H67" s="27" t="s">
        <v>634</v>
      </c>
      <c r="I67" s="22" t="s">
        <v>636</v>
      </c>
      <c r="J67" s="28">
        <f>COUNTIF(Relatórios!F:F,E67)</f>
        <v>0</v>
      </c>
      <c r="K67" s="26">
        <v>66</v>
      </c>
      <c r="L67" s="26"/>
      <c r="M67" s="26"/>
      <c r="N67" s="26"/>
      <c r="O67" s="1"/>
      <c r="P67" s="1"/>
      <c r="Q67" s="1"/>
      <c r="R67" s="1"/>
      <c r="S67" s="1"/>
      <c r="T67" s="1"/>
      <c r="U67" s="1"/>
      <c r="V67" s="1"/>
      <c r="W67" s="1"/>
      <c r="X67" s="1"/>
      <c r="Y67" s="1"/>
      <c r="Z67" s="1"/>
      <c r="AA67" s="1"/>
    </row>
    <row r="68" spans="1:27" ht="13">
      <c r="A68" s="12" t="s">
        <v>58</v>
      </c>
      <c r="B68" s="13">
        <f t="shared" si="0"/>
        <v>1.1494252873563218E-2</v>
      </c>
      <c r="C68" s="12" t="s">
        <v>365</v>
      </c>
      <c r="D68" s="13">
        <f t="shared" si="1"/>
        <v>0.25</v>
      </c>
      <c r="E68" s="12" t="s">
        <v>641</v>
      </c>
      <c r="F68" s="17">
        <f t="shared" si="2"/>
        <v>1</v>
      </c>
      <c r="G68" s="12" t="s">
        <v>642</v>
      </c>
      <c r="H68" s="18" t="s">
        <v>643</v>
      </c>
      <c r="I68" s="12"/>
      <c r="J68" s="21">
        <f>COUNTIF(Relatórios!F:F,E68)</f>
        <v>0</v>
      </c>
      <c r="K68" s="17">
        <v>67</v>
      </c>
      <c r="L68" s="17"/>
      <c r="M68" s="64"/>
      <c r="N68" s="64"/>
      <c r="O68" s="58"/>
      <c r="P68" s="58"/>
      <c r="Q68" s="58"/>
      <c r="R68" s="58"/>
      <c r="S68" s="58"/>
      <c r="T68" s="58"/>
      <c r="U68" s="58"/>
      <c r="V68" s="58"/>
      <c r="W68" s="58"/>
      <c r="X68" s="58"/>
      <c r="Y68" s="58"/>
      <c r="Z68" s="58"/>
      <c r="AA68" s="58"/>
    </row>
    <row r="69" spans="1:27" ht="13">
      <c r="A69" s="22" t="s">
        <v>58</v>
      </c>
      <c r="B69" s="23">
        <f t="shared" si="0"/>
        <v>1.1494252873563218E-2</v>
      </c>
      <c r="C69" s="22" t="s">
        <v>370</v>
      </c>
      <c r="D69" s="23">
        <f t="shared" si="1"/>
        <v>1</v>
      </c>
      <c r="E69" s="22" t="s">
        <v>646</v>
      </c>
      <c r="F69" s="26">
        <f t="shared" si="2"/>
        <v>1</v>
      </c>
      <c r="G69" s="22"/>
      <c r="H69" s="27" t="s">
        <v>648</v>
      </c>
      <c r="I69" s="22"/>
      <c r="J69" s="28">
        <f>COUNTIF(Relatórios!F:F,E69)</f>
        <v>0</v>
      </c>
      <c r="K69" s="26">
        <v>68</v>
      </c>
      <c r="L69" s="26"/>
      <c r="M69" s="26"/>
      <c r="N69" s="26"/>
      <c r="O69" s="1"/>
      <c r="P69" s="1"/>
      <c r="Q69" s="1"/>
      <c r="R69" s="1"/>
      <c r="S69" s="1"/>
      <c r="T69" s="1"/>
      <c r="U69" s="1"/>
      <c r="V69" s="1"/>
      <c r="W69" s="1"/>
      <c r="X69" s="1"/>
      <c r="Y69" s="1"/>
      <c r="Z69" s="1"/>
      <c r="AA69" s="1"/>
    </row>
    <row r="70" spans="1:27" ht="13">
      <c r="A70" s="12" t="s">
        <v>58</v>
      </c>
      <c r="B70" s="13">
        <f t="shared" si="0"/>
        <v>1.1494252873563218E-2</v>
      </c>
      <c r="C70" s="12" t="s">
        <v>372</v>
      </c>
      <c r="D70" s="13">
        <f t="shared" si="1"/>
        <v>0.25</v>
      </c>
      <c r="E70" s="12" t="s">
        <v>650</v>
      </c>
      <c r="F70" s="17">
        <f t="shared" si="2"/>
        <v>1</v>
      </c>
      <c r="G70" s="12" t="s">
        <v>651</v>
      </c>
      <c r="H70" s="18" t="s">
        <v>652</v>
      </c>
      <c r="I70" s="12"/>
      <c r="J70" s="21">
        <f>COUNTIF(Relatórios!F:F,E70)</f>
        <v>0</v>
      </c>
      <c r="K70" s="17">
        <v>69</v>
      </c>
      <c r="L70" s="17"/>
      <c r="M70" s="17"/>
      <c r="N70" s="17"/>
      <c r="O70" s="1"/>
      <c r="P70" s="1"/>
      <c r="Q70" s="1"/>
      <c r="R70" s="1"/>
      <c r="S70" s="1"/>
      <c r="T70" s="1"/>
      <c r="U70" s="1"/>
      <c r="V70" s="1"/>
      <c r="W70" s="1"/>
      <c r="X70" s="1"/>
      <c r="Y70" s="1"/>
      <c r="Z70" s="1"/>
      <c r="AA70" s="1"/>
    </row>
    <row r="71" spans="1:27" ht="13">
      <c r="A71" s="22" t="s">
        <v>58</v>
      </c>
      <c r="B71" s="23">
        <f t="shared" si="0"/>
        <v>1.1494252873563218E-2</v>
      </c>
      <c r="C71" s="22" t="s">
        <v>372</v>
      </c>
      <c r="D71" s="23">
        <f t="shared" si="1"/>
        <v>0.25</v>
      </c>
      <c r="E71" s="22" t="s">
        <v>655</v>
      </c>
      <c r="F71" s="26">
        <f t="shared" si="2"/>
        <v>1</v>
      </c>
      <c r="G71" s="22" t="s">
        <v>656</v>
      </c>
      <c r="H71" s="27" t="s">
        <v>658</v>
      </c>
      <c r="I71" s="22"/>
      <c r="J71" s="28">
        <f>COUNTIF(Relatórios!F:F,E71)</f>
        <v>1</v>
      </c>
      <c r="K71" s="26">
        <v>70</v>
      </c>
      <c r="L71" s="26"/>
      <c r="M71" s="26"/>
      <c r="N71" s="26"/>
      <c r="O71" s="1"/>
      <c r="P71" s="1"/>
      <c r="Q71" s="1"/>
      <c r="R71" s="1"/>
      <c r="S71" s="1"/>
      <c r="T71" s="1"/>
      <c r="U71" s="1"/>
      <c r="V71" s="1"/>
      <c r="W71" s="1"/>
      <c r="X71" s="1"/>
      <c r="Y71" s="1"/>
      <c r="Z71" s="1"/>
      <c r="AA71" s="1"/>
    </row>
    <row r="72" spans="1:27" ht="13">
      <c r="A72" s="12" t="s">
        <v>58</v>
      </c>
      <c r="B72" s="13">
        <f t="shared" si="0"/>
        <v>1.1494252873563218E-2</v>
      </c>
      <c r="C72" s="12" t="s">
        <v>372</v>
      </c>
      <c r="D72" s="13">
        <f t="shared" si="1"/>
        <v>0.25</v>
      </c>
      <c r="E72" s="12" t="s">
        <v>663</v>
      </c>
      <c r="F72" s="17">
        <f t="shared" si="2"/>
        <v>1</v>
      </c>
      <c r="G72" s="12"/>
      <c r="H72" s="18" t="s">
        <v>664</v>
      </c>
      <c r="I72" s="12"/>
      <c r="J72" s="21">
        <f>COUNTIF(Relatórios!F:F,E72)</f>
        <v>0</v>
      </c>
      <c r="K72" s="17">
        <v>71</v>
      </c>
      <c r="L72" s="17"/>
      <c r="M72" s="17"/>
      <c r="N72" s="17"/>
      <c r="O72" s="1"/>
      <c r="P72" s="1"/>
      <c r="Q72" s="1"/>
      <c r="R72" s="1"/>
      <c r="S72" s="1"/>
      <c r="T72" s="1"/>
      <c r="U72" s="1"/>
      <c r="V72" s="1"/>
      <c r="W72" s="1"/>
      <c r="X72" s="1"/>
      <c r="Y72" s="1"/>
      <c r="Z72" s="1"/>
      <c r="AA72" s="1"/>
    </row>
    <row r="73" spans="1:27" ht="13">
      <c r="A73" s="22" t="s">
        <v>58</v>
      </c>
      <c r="B73" s="23">
        <f t="shared" si="0"/>
        <v>1.1494252873563218E-2</v>
      </c>
      <c r="C73" s="22" t="s">
        <v>95</v>
      </c>
      <c r="D73" s="23">
        <f t="shared" si="1"/>
        <v>0.2</v>
      </c>
      <c r="E73" s="22" t="s">
        <v>665</v>
      </c>
      <c r="F73" s="26">
        <f t="shared" si="2"/>
        <v>1</v>
      </c>
      <c r="G73" s="22"/>
      <c r="H73" s="27" t="s">
        <v>666</v>
      </c>
      <c r="I73" s="22"/>
      <c r="J73" s="28">
        <f>COUNTIF(Relatórios!F:F,E73)</f>
        <v>0</v>
      </c>
      <c r="K73" s="26">
        <v>72</v>
      </c>
      <c r="L73" s="26"/>
      <c r="M73" s="26"/>
      <c r="N73" s="26"/>
      <c r="O73" s="1"/>
      <c r="P73" s="1"/>
      <c r="Q73" s="1"/>
      <c r="R73" s="1"/>
      <c r="S73" s="1"/>
      <c r="T73" s="1"/>
      <c r="U73" s="1"/>
      <c r="V73" s="1"/>
      <c r="W73" s="1"/>
      <c r="X73" s="1"/>
      <c r="Y73" s="1"/>
      <c r="Z73" s="1"/>
      <c r="AA73" s="1"/>
    </row>
    <row r="74" spans="1:27" ht="13">
      <c r="A74" s="12" t="s">
        <v>58</v>
      </c>
      <c r="B74" s="13">
        <f t="shared" si="0"/>
        <v>1.1494252873563218E-2</v>
      </c>
      <c r="C74" s="12" t="s">
        <v>95</v>
      </c>
      <c r="D74" s="13">
        <f t="shared" si="1"/>
        <v>0.2</v>
      </c>
      <c r="E74" s="12" t="s">
        <v>667</v>
      </c>
      <c r="F74" s="17">
        <f t="shared" si="2"/>
        <v>1</v>
      </c>
      <c r="G74" s="12"/>
      <c r="H74" s="18" t="s">
        <v>668</v>
      </c>
      <c r="I74" s="12"/>
      <c r="J74" s="21">
        <f>COUNTIF(Relatórios!F:F,E74)</f>
        <v>0</v>
      </c>
      <c r="K74" s="17">
        <v>73</v>
      </c>
      <c r="L74" s="17"/>
      <c r="M74" s="17"/>
      <c r="N74" s="17"/>
      <c r="O74" s="1"/>
      <c r="P74" s="1"/>
      <c r="Q74" s="1"/>
      <c r="R74" s="1"/>
      <c r="S74" s="1"/>
      <c r="T74" s="1"/>
      <c r="U74" s="1"/>
      <c r="V74" s="1"/>
      <c r="W74" s="1"/>
      <c r="X74" s="1"/>
      <c r="Y74" s="1"/>
      <c r="Z74" s="1"/>
      <c r="AA74" s="1"/>
    </row>
    <row r="75" spans="1:27" ht="13">
      <c r="A75" s="22" t="s">
        <v>58</v>
      </c>
      <c r="B75" s="23">
        <f t="shared" si="0"/>
        <v>1.1494252873563218E-2</v>
      </c>
      <c r="C75" s="22" t="s">
        <v>95</v>
      </c>
      <c r="D75" s="23">
        <f t="shared" si="1"/>
        <v>0.2</v>
      </c>
      <c r="E75" s="22" t="s">
        <v>677</v>
      </c>
      <c r="F75" s="26">
        <f t="shared" si="2"/>
        <v>1</v>
      </c>
      <c r="G75" s="22"/>
      <c r="H75" s="27" t="s">
        <v>678</v>
      </c>
      <c r="I75" s="22"/>
      <c r="J75" s="28">
        <f>COUNTIF(Relatórios!F:F,E75)</f>
        <v>0</v>
      </c>
      <c r="K75" s="26">
        <v>74</v>
      </c>
      <c r="L75" s="26"/>
      <c r="M75" s="26"/>
      <c r="N75" s="26"/>
      <c r="O75" s="1"/>
      <c r="P75" s="1"/>
      <c r="Q75" s="1"/>
      <c r="R75" s="1"/>
      <c r="S75" s="1"/>
      <c r="T75" s="1"/>
      <c r="U75" s="1"/>
      <c r="V75" s="1"/>
      <c r="W75" s="1"/>
      <c r="X75" s="1"/>
      <c r="Y75" s="1"/>
      <c r="Z75" s="1"/>
      <c r="AA75" s="1"/>
    </row>
    <row r="76" spans="1:27" ht="13">
      <c r="A76" s="12" t="s">
        <v>58</v>
      </c>
      <c r="B76" s="13">
        <f t="shared" si="0"/>
        <v>1.1494252873563218E-2</v>
      </c>
      <c r="C76" s="12" t="s">
        <v>375</v>
      </c>
      <c r="D76" s="13">
        <f t="shared" si="1"/>
        <v>0.5</v>
      </c>
      <c r="E76" s="12" t="s">
        <v>679</v>
      </c>
      <c r="F76" s="17">
        <f t="shared" si="2"/>
        <v>1</v>
      </c>
      <c r="G76" s="12"/>
      <c r="H76" s="18" t="s">
        <v>680</v>
      </c>
      <c r="I76" s="12"/>
      <c r="J76" s="21">
        <f>COUNTIF(Relatórios!F:F,E76)</f>
        <v>0</v>
      </c>
      <c r="K76" s="17">
        <v>75</v>
      </c>
      <c r="L76" s="17"/>
      <c r="M76" s="17"/>
      <c r="N76" s="17"/>
      <c r="O76" s="1"/>
      <c r="P76" s="1"/>
      <c r="Q76" s="1"/>
      <c r="R76" s="1"/>
      <c r="S76" s="1"/>
      <c r="T76" s="1"/>
      <c r="U76" s="1"/>
      <c r="V76" s="1"/>
      <c r="W76" s="1"/>
      <c r="X76" s="1"/>
      <c r="Y76" s="1"/>
      <c r="Z76" s="1"/>
      <c r="AA76" s="1"/>
    </row>
    <row r="77" spans="1:27" ht="13">
      <c r="A77" s="22" t="s">
        <v>58</v>
      </c>
      <c r="B77" s="23">
        <f t="shared" si="0"/>
        <v>1.1494252873563218E-2</v>
      </c>
      <c r="C77" s="22" t="s">
        <v>379</v>
      </c>
      <c r="D77" s="23">
        <f t="shared" si="1"/>
        <v>0.5</v>
      </c>
      <c r="E77" s="22" t="s">
        <v>683</v>
      </c>
      <c r="F77" s="26">
        <f t="shared" si="2"/>
        <v>1</v>
      </c>
      <c r="G77" s="22"/>
      <c r="H77" s="27" t="s">
        <v>685</v>
      </c>
      <c r="I77" s="22"/>
      <c r="J77" s="28">
        <f>COUNTIF(Relatórios!F:F,E77)</f>
        <v>0</v>
      </c>
      <c r="K77" s="26">
        <v>76</v>
      </c>
      <c r="L77" s="26"/>
      <c r="M77" s="26"/>
      <c r="N77" s="26"/>
      <c r="O77" s="1"/>
      <c r="P77" s="1"/>
      <c r="Q77" s="1"/>
      <c r="R77" s="1"/>
      <c r="S77" s="1"/>
      <c r="T77" s="1"/>
      <c r="U77" s="1"/>
      <c r="V77" s="1"/>
      <c r="W77" s="1"/>
      <c r="X77" s="1"/>
      <c r="Y77" s="1"/>
      <c r="Z77" s="1"/>
      <c r="AA77" s="1"/>
    </row>
    <row r="78" spans="1:27" ht="13">
      <c r="A78" s="12" t="s">
        <v>58</v>
      </c>
      <c r="B78" s="13">
        <f t="shared" si="0"/>
        <v>1.1494252873563218E-2</v>
      </c>
      <c r="C78" s="12" t="s">
        <v>387</v>
      </c>
      <c r="D78" s="13">
        <f t="shared" si="1"/>
        <v>1</v>
      </c>
      <c r="E78" s="12" t="s">
        <v>690</v>
      </c>
      <c r="F78" s="17">
        <f t="shared" si="2"/>
        <v>1</v>
      </c>
      <c r="G78" s="12" t="s">
        <v>692</v>
      </c>
      <c r="H78" s="18" t="s">
        <v>693</v>
      </c>
      <c r="I78" s="12" t="s">
        <v>700</v>
      </c>
      <c r="J78" s="21">
        <f>COUNTIF(Relatórios!F:F,E78)</f>
        <v>0</v>
      </c>
      <c r="K78" s="17">
        <v>77</v>
      </c>
      <c r="L78" s="17"/>
      <c r="M78" s="17"/>
      <c r="N78" s="17"/>
      <c r="O78" s="1"/>
      <c r="P78" s="1"/>
      <c r="Q78" s="1"/>
      <c r="R78" s="1"/>
      <c r="S78" s="1"/>
      <c r="T78" s="1"/>
      <c r="U78" s="1"/>
      <c r="V78" s="1"/>
      <c r="W78" s="1"/>
      <c r="X78" s="1"/>
      <c r="Y78" s="1"/>
      <c r="Z78" s="1"/>
      <c r="AA78" s="1"/>
    </row>
    <row r="79" spans="1:27" ht="13">
      <c r="A79" s="22" t="s">
        <v>58</v>
      </c>
      <c r="B79" s="23">
        <f t="shared" si="0"/>
        <v>1.1494252873563218E-2</v>
      </c>
      <c r="C79" s="22" t="s">
        <v>393</v>
      </c>
      <c r="D79" s="23">
        <f t="shared" si="1"/>
        <v>0.2</v>
      </c>
      <c r="E79" s="22" t="s">
        <v>670</v>
      </c>
      <c r="F79" s="26">
        <f t="shared" si="2"/>
        <v>1</v>
      </c>
      <c r="G79" s="22"/>
      <c r="H79" s="27" t="s">
        <v>706</v>
      </c>
      <c r="I79" s="22"/>
      <c r="J79" s="28">
        <f>COUNTIF(Relatórios!F:F,E79)</f>
        <v>1</v>
      </c>
      <c r="K79" s="26">
        <v>78</v>
      </c>
      <c r="L79" s="26"/>
      <c r="M79" s="26"/>
      <c r="N79" s="26"/>
      <c r="O79" s="1"/>
      <c r="P79" s="1"/>
      <c r="Q79" s="1"/>
      <c r="R79" s="1"/>
      <c r="S79" s="1"/>
      <c r="T79" s="1"/>
      <c r="U79" s="1"/>
      <c r="V79" s="1"/>
      <c r="W79" s="1"/>
      <c r="X79" s="1"/>
      <c r="Y79" s="1"/>
      <c r="Z79" s="1"/>
      <c r="AA79" s="1"/>
    </row>
    <row r="80" spans="1:27" ht="13">
      <c r="A80" s="12" t="s">
        <v>58</v>
      </c>
      <c r="B80" s="13">
        <f t="shared" si="0"/>
        <v>1.1494252873563218E-2</v>
      </c>
      <c r="C80" s="12" t="s">
        <v>393</v>
      </c>
      <c r="D80" s="13">
        <f t="shared" si="1"/>
        <v>0.2</v>
      </c>
      <c r="E80" s="12" t="s">
        <v>578</v>
      </c>
      <c r="F80" s="17">
        <f t="shared" si="2"/>
        <v>1</v>
      </c>
      <c r="G80" s="12"/>
      <c r="H80" s="18" t="s">
        <v>709</v>
      </c>
      <c r="I80" s="12"/>
      <c r="J80" s="21">
        <f>COUNTIF(Relatórios!F:F,E80)</f>
        <v>1</v>
      </c>
      <c r="K80" s="17">
        <v>79</v>
      </c>
      <c r="L80" s="17"/>
      <c r="M80" s="17"/>
      <c r="N80" s="17"/>
      <c r="O80" s="1"/>
      <c r="P80" s="1"/>
      <c r="Q80" s="1"/>
      <c r="R80" s="1"/>
      <c r="S80" s="1"/>
      <c r="T80" s="1"/>
      <c r="U80" s="1"/>
      <c r="V80" s="1"/>
      <c r="W80" s="1"/>
      <c r="X80" s="1"/>
      <c r="Y80" s="1"/>
      <c r="Z80" s="1"/>
      <c r="AA80" s="1"/>
    </row>
    <row r="81" spans="1:27" ht="13">
      <c r="A81" s="22" t="s">
        <v>58</v>
      </c>
      <c r="B81" s="23">
        <f t="shared" si="0"/>
        <v>1.1494252873563218E-2</v>
      </c>
      <c r="C81" s="22" t="s">
        <v>393</v>
      </c>
      <c r="D81" s="23">
        <f t="shared" si="1"/>
        <v>0.2</v>
      </c>
      <c r="E81" s="22" t="s">
        <v>711</v>
      </c>
      <c r="F81" s="26">
        <f t="shared" si="2"/>
        <v>1</v>
      </c>
      <c r="G81" s="22" t="s">
        <v>712</v>
      </c>
      <c r="H81" s="27" t="s">
        <v>713</v>
      </c>
      <c r="I81" s="22" t="s">
        <v>717</v>
      </c>
      <c r="J81" s="28">
        <f>COUNTIF(Relatórios!F:F,E81)</f>
        <v>0</v>
      </c>
      <c r="K81" s="26">
        <v>80</v>
      </c>
      <c r="L81" s="26"/>
      <c r="M81" s="26"/>
      <c r="N81" s="26"/>
      <c r="O81" s="1"/>
      <c r="P81" s="1"/>
      <c r="Q81" s="1"/>
      <c r="R81" s="1"/>
      <c r="S81" s="1"/>
      <c r="T81" s="1"/>
      <c r="U81" s="1"/>
      <c r="V81" s="1"/>
      <c r="W81" s="1"/>
      <c r="X81" s="1"/>
      <c r="Y81" s="1"/>
      <c r="Z81" s="1"/>
      <c r="AA81" s="1"/>
    </row>
    <row r="82" spans="1:27" ht="13">
      <c r="A82" s="12" t="s">
        <v>58</v>
      </c>
      <c r="B82" s="13">
        <f t="shared" si="0"/>
        <v>1.1494252873563218E-2</v>
      </c>
      <c r="C82" s="12" t="s">
        <v>395</v>
      </c>
      <c r="D82" s="13">
        <f t="shared" si="1"/>
        <v>0.25</v>
      </c>
      <c r="E82" s="12" t="s">
        <v>719</v>
      </c>
      <c r="F82" s="17">
        <f t="shared" si="2"/>
        <v>1</v>
      </c>
      <c r="G82" s="12"/>
      <c r="H82" s="18" t="s">
        <v>720</v>
      </c>
      <c r="I82" s="12"/>
      <c r="J82" s="21">
        <f>COUNTIF(Relatórios!F:F,E82)</f>
        <v>0</v>
      </c>
      <c r="K82" s="17">
        <v>81</v>
      </c>
      <c r="L82" s="17"/>
      <c r="M82" s="17"/>
      <c r="N82" s="17"/>
      <c r="O82" s="1"/>
      <c r="P82" s="1"/>
      <c r="Q82" s="1"/>
      <c r="R82" s="1"/>
      <c r="S82" s="1"/>
      <c r="T82" s="1"/>
      <c r="U82" s="1"/>
      <c r="V82" s="1"/>
      <c r="W82" s="1"/>
      <c r="X82" s="1"/>
      <c r="Y82" s="1"/>
      <c r="Z82" s="1"/>
      <c r="AA82" s="1"/>
    </row>
    <row r="83" spans="1:27" ht="13">
      <c r="A83" s="22" t="s">
        <v>58</v>
      </c>
      <c r="B83" s="23">
        <f t="shared" si="0"/>
        <v>1.1494252873563218E-2</v>
      </c>
      <c r="C83" s="22" t="s">
        <v>396</v>
      </c>
      <c r="D83" s="23">
        <f t="shared" si="1"/>
        <v>0.25</v>
      </c>
      <c r="E83" s="22" t="s">
        <v>589</v>
      </c>
      <c r="F83" s="26">
        <f t="shared" si="2"/>
        <v>1</v>
      </c>
      <c r="G83" s="22"/>
      <c r="H83" s="27" t="s">
        <v>733</v>
      </c>
      <c r="I83" s="22"/>
      <c r="J83" s="28">
        <f>COUNTIF(Relatórios!F:F,E83)</f>
        <v>1</v>
      </c>
      <c r="K83" s="26">
        <v>82</v>
      </c>
      <c r="L83" s="26"/>
      <c r="M83" s="57"/>
      <c r="N83" s="57"/>
      <c r="O83" s="58"/>
      <c r="P83" s="58"/>
      <c r="Q83" s="58"/>
      <c r="R83" s="58"/>
      <c r="S83" s="58"/>
      <c r="T83" s="58"/>
      <c r="U83" s="58"/>
      <c r="V83" s="58"/>
      <c r="W83" s="58"/>
      <c r="X83" s="58"/>
      <c r="Y83" s="58"/>
      <c r="Z83" s="58"/>
      <c r="AA83" s="58"/>
    </row>
    <row r="84" spans="1:27" ht="13">
      <c r="A84" s="16" t="s">
        <v>58</v>
      </c>
      <c r="B84" s="13">
        <f t="shared" si="0"/>
        <v>1.1494252873563218E-2</v>
      </c>
      <c r="C84" s="16" t="s">
        <v>397</v>
      </c>
      <c r="D84" s="13">
        <f t="shared" si="1"/>
        <v>0.125</v>
      </c>
      <c r="E84" s="16" t="s">
        <v>598</v>
      </c>
      <c r="F84" s="17">
        <f t="shared" si="2"/>
        <v>1</v>
      </c>
      <c r="G84" s="12"/>
      <c r="H84" s="18" t="s">
        <v>735</v>
      </c>
      <c r="I84" s="12"/>
      <c r="J84" s="21">
        <f>COUNTIF(Relatórios!F:F,E84)</f>
        <v>1</v>
      </c>
      <c r="K84" s="17">
        <v>83</v>
      </c>
      <c r="L84" s="17"/>
      <c r="M84" s="17"/>
      <c r="N84" s="17"/>
      <c r="O84" s="1"/>
      <c r="P84" s="1"/>
      <c r="Q84" s="1"/>
      <c r="R84" s="1"/>
      <c r="S84" s="1"/>
      <c r="T84" s="1"/>
      <c r="U84" s="1"/>
      <c r="V84" s="1"/>
      <c r="W84" s="1"/>
      <c r="X84" s="1"/>
      <c r="Y84" s="1"/>
      <c r="Z84" s="1"/>
      <c r="AA84" s="1"/>
    </row>
    <row r="85" spans="1:27" ht="13">
      <c r="A85" s="22" t="s">
        <v>58</v>
      </c>
      <c r="B85" s="23">
        <f t="shared" si="0"/>
        <v>1.1494252873563218E-2</v>
      </c>
      <c r="C85" s="22" t="s">
        <v>398</v>
      </c>
      <c r="D85" s="23">
        <f t="shared" si="1"/>
        <v>0.5</v>
      </c>
      <c r="E85" s="22" t="s">
        <v>618</v>
      </c>
      <c r="F85" s="26">
        <f t="shared" si="2"/>
        <v>1</v>
      </c>
      <c r="G85" s="22"/>
      <c r="H85" s="27" t="s">
        <v>751</v>
      </c>
      <c r="I85" s="22"/>
      <c r="J85" s="28">
        <f>COUNTIF(Relatórios!F:F,E85)</f>
        <v>1</v>
      </c>
      <c r="K85" s="26">
        <v>84</v>
      </c>
      <c r="L85" s="26"/>
      <c r="M85" s="26"/>
      <c r="N85" s="26"/>
      <c r="O85" s="1"/>
      <c r="P85" s="1"/>
      <c r="Q85" s="1"/>
      <c r="R85" s="1"/>
      <c r="S85" s="1"/>
      <c r="T85" s="1"/>
      <c r="U85" s="1"/>
      <c r="V85" s="1"/>
      <c r="W85" s="1"/>
      <c r="X85" s="1"/>
      <c r="Y85" s="1"/>
      <c r="Z85" s="1"/>
      <c r="AA85" s="1"/>
    </row>
    <row r="86" spans="1:27" ht="13">
      <c r="A86" s="12" t="s">
        <v>58</v>
      </c>
      <c r="B86" s="13">
        <f t="shared" si="0"/>
        <v>1.1494252873563218E-2</v>
      </c>
      <c r="C86" s="12" t="s">
        <v>403</v>
      </c>
      <c r="D86" s="13">
        <f t="shared" si="1"/>
        <v>1</v>
      </c>
      <c r="E86" s="12" t="s">
        <v>771</v>
      </c>
      <c r="F86" s="17">
        <f t="shared" si="2"/>
        <v>1</v>
      </c>
      <c r="G86" s="12"/>
      <c r="H86" s="18" t="s">
        <v>775</v>
      </c>
      <c r="I86" s="12" t="s">
        <v>783</v>
      </c>
      <c r="J86" s="21">
        <f>COUNTIF(Relatórios!F:F,E86)</f>
        <v>0</v>
      </c>
      <c r="K86" s="17">
        <v>85</v>
      </c>
      <c r="L86" s="17"/>
      <c r="M86" s="17"/>
      <c r="N86" s="17"/>
      <c r="O86" s="1"/>
      <c r="P86" s="1"/>
      <c r="Q86" s="1"/>
      <c r="R86" s="1"/>
      <c r="S86" s="1"/>
      <c r="T86" s="1"/>
      <c r="U86" s="1"/>
      <c r="V86" s="1"/>
      <c r="W86" s="1"/>
      <c r="X86" s="1"/>
      <c r="Y86" s="1"/>
      <c r="Z86" s="1"/>
      <c r="AA86" s="1"/>
    </row>
    <row r="87" spans="1:27" ht="13">
      <c r="A87" s="22" t="s">
        <v>58</v>
      </c>
      <c r="B87" s="23">
        <f t="shared" si="0"/>
        <v>1.1494252873563218E-2</v>
      </c>
      <c r="C87" s="22" t="s">
        <v>404</v>
      </c>
      <c r="D87" s="23">
        <f t="shared" si="1"/>
        <v>0.14285714285714285</v>
      </c>
      <c r="E87" s="22" t="s">
        <v>793</v>
      </c>
      <c r="F87" s="26">
        <f t="shared" si="2"/>
        <v>1</v>
      </c>
      <c r="G87" s="22"/>
      <c r="H87" s="27" t="s">
        <v>794</v>
      </c>
      <c r="I87" s="22"/>
      <c r="J87" s="28">
        <f>COUNTIF(Relatórios!F:F,E87)</f>
        <v>1</v>
      </c>
      <c r="K87" s="26">
        <v>86</v>
      </c>
      <c r="L87" s="26"/>
      <c r="M87" s="26"/>
      <c r="N87" s="26"/>
      <c r="O87" s="1"/>
      <c r="P87" s="1"/>
      <c r="Q87" s="1"/>
      <c r="R87" s="1"/>
      <c r="S87" s="1"/>
      <c r="T87" s="1"/>
      <c r="U87" s="1"/>
      <c r="V87" s="1"/>
      <c r="W87" s="1"/>
      <c r="X87" s="1"/>
      <c r="Y87" s="1"/>
      <c r="Z87" s="1"/>
      <c r="AA87" s="1"/>
    </row>
    <row r="88" spans="1:27" ht="13">
      <c r="A88" s="12" t="s">
        <v>58</v>
      </c>
      <c r="B88" s="13">
        <f t="shared" si="0"/>
        <v>1.1494252873563218E-2</v>
      </c>
      <c r="C88" s="12" t="s">
        <v>404</v>
      </c>
      <c r="D88" s="13">
        <f t="shared" si="1"/>
        <v>0.14285714285714285</v>
      </c>
      <c r="E88" s="12" t="s">
        <v>645</v>
      </c>
      <c r="F88" s="17">
        <f t="shared" si="2"/>
        <v>1</v>
      </c>
      <c r="G88" s="12"/>
      <c r="H88" s="47" t="s">
        <v>797</v>
      </c>
      <c r="I88" s="12"/>
      <c r="J88" s="21">
        <f>COUNTIF(Relatórios!F:F,E88)</f>
        <v>1</v>
      </c>
      <c r="K88" s="17">
        <v>87</v>
      </c>
      <c r="L88" s="17"/>
      <c r="M88" s="17"/>
      <c r="N88" s="17"/>
      <c r="O88" s="54"/>
      <c r="P88" s="54"/>
      <c r="Q88" s="54"/>
      <c r="R88" s="54"/>
      <c r="S88" s="54"/>
      <c r="T88" s="54"/>
      <c r="U88" s="54"/>
      <c r="V88" s="54"/>
      <c r="W88" s="54"/>
      <c r="X88" s="54"/>
      <c r="Y88" s="54"/>
      <c r="Z88" s="54"/>
      <c r="AA88" s="54"/>
    </row>
    <row r="89" spans="1:27" ht="13">
      <c r="A89" s="22" t="s">
        <v>58</v>
      </c>
      <c r="B89" s="23">
        <f t="shared" si="0"/>
        <v>1.1494252873563218E-2</v>
      </c>
      <c r="C89" s="22" t="s">
        <v>404</v>
      </c>
      <c r="D89" s="23">
        <f t="shared" si="1"/>
        <v>0.14285714285714285</v>
      </c>
      <c r="E89" s="22" t="s">
        <v>801</v>
      </c>
      <c r="F89" s="26">
        <f t="shared" si="2"/>
        <v>1</v>
      </c>
      <c r="G89" s="22"/>
      <c r="H89" s="27" t="s">
        <v>802</v>
      </c>
      <c r="I89" s="22" t="s">
        <v>804</v>
      </c>
      <c r="J89" s="28">
        <f>COUNTIF(Relatórios!F:F,E89)</f>
        <v>5</v>
      </c>
      <c r="K89" s="26">
        <v>88</v>
      </c>
      <c r="L89" s="26"/>
      <c r="M89" s="26"/>
      <c r="N89" s="26"/>
      <c r="O89" s="1"/>
      <c r="P89" s="1"/>
      <c r="Q89" s="1"/>
      <c r="R89" s="1"/>
      <c r="S89" s="1"/>
      <c r="T89" s="1"/>
      <c r="U89" s="1"/>
      <c r="V89" s="1"/>
      <c r="W89" s="1"/>
      <c r="X89" s="1"/>
      <c r="Y89" s="1"/>
      <c r="Z89" s="1"/>
      <c r="AA89" s="1"/>
    </row>
    <row r="90" spans="1:27" ht="13">
      <c r="A90" s="12" t="s">
        <v>56</v>
      </c>
      <c r="B90" s="13">
        <f t="shared" si="0"/>
        <v>5.5555555555555552E-2</v>
      </c>
      <c r="C90" s="12" t="s">
        <v>60</v>
      </c>
      <c r="D90" s="13">
        <f t="shared" si="1"/>
        <v>0.14285714285714285</v>
      </c>
      <c r="E90" s="12" t="s">
        <v>805</v>
      </c>
      <c r="F90" s="17">
        <f t="shared" si="2"/>
        <v>1</v>
      </c>
      <c r="G90" s="12" t="s">
        <v>57</v>
      </c>
      <c r="H90" s="18" t="s">
        <v>806</v>
      </c>
      <c r="I90" s="12" t="s">
        <v>810</v>
      </c>
      <c r="J90" s="21">
        <f>COUNTIF(Relatórios!F:F,E90)</f>
        <v>0</v>
      </c>
      <c r="K90" s="17">
        <v>89</v>
      </c>
      <c r="L90" s="17"/>
      <c r="M90" s="17"/>
      <c r="N90" s="17"/>
      <c r="O90" s="1"/>
      <c r="P90" s="1"/>
      <c r="Q90" s="1"/>
      <c r="R90" s="1"/>
      <c r="S90" s="1"/>
      <c r="T90" s="1"/>
      <c r="U90" s="1"/>
      <c r="V90" s="1"/>
      <c r="W90" s="1"/>
      <c r="X90" s="1"/>
      <c r="Y90" s="1"/>
      <c r="Z90" s="1"/>
      <c r="AA90" s="1"/>
    </row>
    <row r="91" spans="1:27" ht="13">
      <c r="A91" s="22" t="s">
        <v>56</v>
      </c>
      <c r="B91" s="23">
        <f t="shared" si="0"/>
        <v>5.5555555555555552E-2</v>
      </c>
      <c r="C91" s="22" t="s">
        <v>60</v>
      </c>
      <c r="D91" s="23">
        <f t="shared" si="1"/>
        <v>0.14285714285714285</v>
      </c>
      <c r="E91" s="22" t="s">
        <v>820</v>
      </c>
      <c r="F91" s="26">
        <f t="shared" si="2"/>
        <v>1</v>
      </c>
      <c r="G91" s="22" t="s">
        <v>57</v>
      </c>
      <c r="H91" s="27" t="s">
        <v>821</v>
      </c>
      <c r="I91" s="22"/>
      <c r="J91" s="28">
        <f>COUNTIF(Relatórios!F:F,E91)</f>
        <v>0</v>
      </c>
      <c r="K91" s="26">
        <v>90</v>
      </c>
      <c r="L91" s="26"/>
      <c r="M91" s="26"/>
      <c r="N91" s="26"/>
      <c r="O91" s="1"/>
      <c r="P91" s="1"/>
      <c r="Q91" s="1"/>
      <c r="R91" s="1"/>
      <c r="S91" s="1"/>
      <c r="T91" s="1"/>
      <c r="U91" s="1"/>
      <c r="V91" s="1"/>
      <c r="W91" s="1"/>
      <c r="X91" s="1"/>
      <c r="Y91" s="1"/>
      <c r="Z91" s="1"/>
      <c r="AA91" s="1"/>
    </row>
    <row r="92" spans="1:27" ht="13">
      <c r="A92" s="12" t="s">
        <v>56</v>
      </c>
      <c r="B92" s="13">
        <f t="shared" si="0"/>
        <v>5.5555555555555552E-2</v>
      </c>
      <c r="C92" s="12" t="s">
        <v>60</v>
      </c>
      <c r="D92" s="13">
        <f t="shared" si="1"/>
        <v>0.14285714285714285</v>
      </c>
      <c r="E92" s="12" t="s">
        <v>822</v>
      </c>
      <c r="F92" s="17">
        <f t="shared" si="2"/>
        <v>1</v>
      </c>
      <c r="G92" s="12"/>
      <c r="H92" s="18" t="s">
        <v>823</v>
      </c>
      <c r="I92" s="12"/>
      <c r="J92" s="21">
        <f>COUNTIF(Relatórios!F:F,E92)</f>
        <v>0</v>
      </c>
      <c r="K92" s="17">
        <v>91</v>
      </c>
      <c r="L92" s="17"/>
      <c r="M92" s="17"/>
      <c r="N92" s="17"/>
      <c r="O92" s="1"/>
      <c r="P92" s="1"/>
      <c r="Q92" s="1"/>
      <c r="R92" s="1"/>
      <c r="S92" s="1"/>
      <c r="T92" s="1"/>
      <c r="U92" s="1"/>
      <c r="V92" s="1"/>
      <c r="W92" s="1"/>
      <c r="X92" s="1"/>
      <c r="Y92" s="1"/>
      <c r="Z92" s="1"/>
      <c r="AA92" s="1"/>
    </row>
    <row r="93" spans="1:27" ht="13">
      <c r="A93" s="22" t="s">
        <v>56</v>
      </c>
      <c r="B93" s="23">
        <f t="shared" si="0"/>
        <v>5.5555555555555552E-2</v>
      </c>
      <c r="C93" s="22" t="s">
        <v>60</v>
      </c>
      <c r="D93" s="23">
        <f t="shared" si="1"/>
        <v>0.14285714285714285</v>
      </c>
      <c r="E93" s="22" t="s">
        <v>826</v>
      </c>
      <c r="F93" s="26">
        <f t="shared" si="2"/>
        <v>1</v>
      </c>
      <c r="G93" s="22"/>
      <c r="H93" s="27" t="s">
        <v>827</v>
      </c>
      <c r="I93" s="22"/>
      <c r="J93" s="28">
        <f>COUNTIF(Relatórios!F:F,E93)</f>
        <v>0</v>
      </c>
      <c r="K93" s="26">
        <v>92</v>
      </c>
      <c r="L93" s="26"/>
      <c r="M93" s="57"/>
      <c r="N93" s="57"/>
      <c r="O93" s="58"/>
      <c r="P93" s="58"/>
      <c r="Q93" s="58"/>
      <c r="R93" s="58"/>
      <c r="S93" s="58"/>
      <c r="T93" s="58"/>
      <c r="U93" s="58"/>
      <c r="V93" s="58"/>
      <c r="W93" s="58"/>
      <c r="X93" s="58"/>
      <c r="Y93" s="58"/>
      <c r="Z93" s="58"/>
      <c r="AA93" s="58"/>
    </row>
    <row r="94" spans="1:27" ht="13">
      <c r="A94" s="12" t="s">
        <v>56</v>
      </c>
      <c r="B94" s="13">
        <f t="shared" si="0"/>
        <v>5.5555555555555552E-2</v>
      </c>
      <c r="C94" s="12" t="s">
        <v>60</v>
      </c>
      <c r="D94" s="13">
        <f t="shared" si="1"/>
        <v>0.14285714285714285</v>
      </c>
      <c r="E94" s="12" t="s">
        <v>828</v>
      </c>
      <c r="F94" s="17">
        <f t="shared" si="2"/>
        <v>1</v>
      </c>
      <c r="G94" s="12"/>
      <c r="H94" s="18" t="s">
        <v>829</v>
      </c>
      <c r="I94" s="12"/>
      <c r="J94" s="21">
        <f>COUNTIF(Relatórios!F:F,E94)</f>
        <v>0</v>
      </c>
      <c r="K94" s="17">
        <v>93</v>
      </c>
      <c r="L94" s="17"/>
      <c r="M94" s="17"/>
      <c r="N94" s="17"/>
      <c r="O94" s="1"/>
      <c r="P94" s="1"/>
      <c r="Q94" s="1"/>
      <c r="R94" s="1"/>
      <c r="S94" s="1"/>
      <c r="T94" s="1"/>
      <c r="U94" s="1"/>
      <c r="V94" s="1"/>
      <c r="W94" s="1"/>
      <c r="X94" s="1"/>
      <c r="Y94" s="1"/>
      <c r="Z94" s="1"/>
      <c r="AA94" s="1"/>
    </row>
    <row r="95" spans="1:27" ht="13">
      <c r="A95" s="22" t="s">
        <v>58</v>
      </c>
      <c r="B95" s="23">
        <f t="shared" si="0"/>
        <v>1.1494252873563218E-2</v>
      </c>
      <c r="C95" s="22" t="s">
        <v>397</v>
      </c>
      <c r="D95" s="23">
        <f t="shared" si="1"/>
        <v>0.125</v>
      </c>
      <c r="E95" s="22" t="s">
        <v>832</v>
      </c>
      <c r="F95" s="26">
        <f t="shared" si="2"/>
        <v>1</v>
      </c>
      <c r="G95" s="22"/>
      <c r="H95" s="27" t="s">
        <v>833</v>
      </c>
      <c r="I95" s="22" t="s">
        <v>834</v>
      </c>
      <c r="J95" s="28">
        <f>COUNTIF(Relatórios!F:F,E95)</f>
        <v>2</v>
      </c>
      <c r="K95" s="26">
        <v>94</v>
      </c>
      <c r="L95" s="26"/>
      <c r="M95" s="26"/>
      <c r="N95" s="26"/>
      <c r="O95" s="1"/>
      <c r="P95" s="1"/>
      <c r="Q95" s="1"/>
      <c r="R95" s="1"/>
      <c r="S95" s="1"/>
      <c r="T95" s="1"/>
      <c r="U95" s="1"/>
      <c r="V95" s="1"/>
      <c r="W95" s="1"/>
      <c r="X95" s="1"/>
      <c r="Y95" s="1"/>
      <c r="Z95" s="1"/>
      <c r="AA95" s="1"/>
    </row>
    <row r="96" spans="1:27" ht="13">
      <c r="A96" s="12" t="s">
        <v>92</v>
      </c>
      <c r="B96" s="13">
        <f t="shared" si="0"/>
        <v>9.0909090909090912E-2</v>
      </c>
      <c r="C96" s="12" t="s">
        <v>412</v>
      </c>
      <c r="D96" s="13">
        <f t="shared" si="1"/>
        <v>9.0909090909090912E-2</v>
      </c>
      <c r="E96" s="12" t="s">
        <v>835</v>
      </c>
      <c r="F96" s="17">
        <f t="shared" si="2"/>
        <v>1</v>
      </c>
      <c r="G96" s="12"/>
      <c r="H96" s="18" t="s">
        <v>836</v>
      </c>
      <c r="I96" s="12"/>
      <c r="J96" s="21">
        <f>COUNTIF(Relatórios!F:F,E96)</f>
        <v>1</v>
      </c>
      <c r="K96" s="17">
        <v>95</v>
      </c>
      <c r="L96" s="17"/>
      <c r="M96" s="17"/>
      <c r="N96" s="17"/>
      <c r="O96" s="1"/>
      <c r="P96" s="1"/>
      <c r="Q96" s="1"/>
      <c r="R96" s="1"/>
      <c r="S96" s="1"/>
      <c r="T96" s="1"/>
      <c r="U96" s="1"/>
      <c r="V96" s="1"/>
      <c r="W96" s="1"/>
      <c r="X96" s="1"/>
      <c r="Y96" s="1"/>
      <c r="Z96" s="1"/>
      <c r="AA96" s="1"/>
    </row>
    <row r="97" spans="1:27" ht="13">
      <c r="A97" s="22" t="s">
        <v>92</v>
      </c>
      <c r="B97" s="23">
        <f t="shared" si="0"/>
        <v>9.0909090909090912E-2</v>
      </c>
      <c r="C97" s="22" t="s">
        <v>412</v>
      </c>
      <c r="D97" s="23">
        <f t="shared" si="1"/>
        <v>9.0909090909090912E-2</v>
      </c>
      <c r="E97" s="22" t="s">
        <v>839</v>
      </c>
      <c r="F97" s="26">
        <f t="shared" si="2"/>
        <v>1</v>
      </c>
      <c r="G97" s="22"/>
      <c r="H97" s="27" t="s">
        <v>840</v>
      </c>
      <c r="I97" s="22" t="s">
        <v>841</v>
      </c>
      <c r="J97" s="28">
        <f>COUNTIF(Relatórios!F:F,E97)</f>
        <v>1</v>
      </c>
      <c r="K97" s="26">
        <v>96</v>
      </c>
      <c r="L97" s="26"/>
      <c r="M97" s="26"/>
      <c r="N97" s="26"/>
      <c r="O97" s="1"/>
      <c r="P97" s="1"/>
      <c r="Q97" s="1"/>
      <c r="R97" s="1"/>
      <c r="S97" s="1"/>
      <c r="T97" s="1"/>
      <c r="U97" s="1"/>
      <c r="V97" s="1"/>
      <c r="W97" s="1"/>
      <c r="X97" s="1"/>
      <c r="Y97" s="1"/>
      <c r="Z97" s="1"/>
      <c r="AA97" s="1"/>
    </row>
    <row r="98" spans="1:27" ht="13">
      <c r="A98" s="12" t="s">
        <v>92</v>
      </c>
      <c r="B98" s="13">
        <f t="shared" si="0"/>
        <v>9.0909090909090912E-2</v>
      </c>
      <c r="C98" s="12" t="s">
        <v>412</v>
      </c>
      <c r="D98" s="13">
        <f t="shared" si="1"/>
        <v>9.0909090909090912E-2</v>
      </c>
      <c r="E98" s="12" t="s">
        <v>842</v>
      </c>
      <c r="F98" s="17">
        <f t="shared" si="2"/>
        <v>1</v>
      </c>
      <c r="G98" s="12"/>
      <c r="H98" s="18" t="s">
        <v>843</v>
      </c>
      <c r="I98" s="12" t="s">
        <v>844</v>
      </c>
      <c r="J98" s="21">
        <f>COUNTIF(Relatórios!F:F,E98)</f>
        <v>3</v>
      </c>
      <c r="K98" s="17">
        <v>97</v>
      </c>
      <c r="L98" s="17"/>
      <c r="M98" s="17"/>
      <c r="N98" s="17"/>
      <c r="O98" s="1"/>
      <c r="P98" s="1"/>
      <c r="Q98" s="1"/>
      <c r="R98" s="1"/>
      <c r="S98" s="1"/>
      <c r="T98" s="1"/>
      <c r="U98" s="1"/>
      <c r="V98" s="1"/>
      <c r="W98" s="1"/>
      <c r="X98" s="1"/>
      <c r="Y98" s="1"/>
      <c r="Z98" s="1"/>
      <c r="AA98" s="1"/>
    </row>
    <row r="99" spans="1:27" ht="13">
      <c r="A99" s="22" t="s">
        <v>92</v>
      </c>
      <c r="B99" s="23">
        <f t="shared" si="0"/>
        <v>9.0909090909090912E-2</v>
      </c>
      <c r="C99" s="22" t="s">
        <v>412</v>
      </c>
      <c r="D99" s="23">
        <f t="shared" si="1"/>
        <v>9.0909090909090912E-2</v>
      </c>
      <c r="E99" s="22" t="s">
        <v>847</v>
      </c>
      <c r="F99" s="26">
        <f t="shared" si="2"/>
        <v>1</v>
      </c>
      <c r="G99" s="22"/>
      <c r="H99" s="27" t="s">
        <v>848</v>
      </c>
      <c r="I99" s="22" t="s">
        <v>850</v>
      </c>
      <c r="J99" s="28">
        <f>COUNTIF(Relatórios!F:F,E99)</f>
        <v>5</v>
      </c>
      <c r="K99" s="26">
        <v>98</v>
      </c>
      <c r="L99" s="26"/>
      <c r="M99" s="26"/>
      <c r="N99" s="26"/>
      <c r="O99" s="1"/>
      <c r="P99" s="1"/>
      <c r="Q99" s="1"/>
      <c r="R99" s="1"/>
      <c r="S99" s="1"/>
      <c r="T99" s="1"/>
      <c r="U99" s="1"/>
      <c r="V99" s="1"/>
      <c r="W99" s="1"/>
      <c r="X99" s="1"/>
      <c r="Y99" s="1"/>
      <c r="Z99" s="1"/>
      <c r="AA99" s="1"/>
    </row>
    <row r="100" spans="1:27" ht="13">
      <c r="A100" s="12" t="s">
        <v>92</v>
      </c>
      <c r="B100" s="13">
        <f t="shared" si="0"/>
        <v>9.0909090909090912E-2</v>
      </c>
      <c r="C100" s="12" t="s">
        <v>412</v>
      </c>
      <c r="D100" s="13">
        <f t="shared" si="1"/>
        <v>9.0909090909090912E-2</v>
      </c>
      <c r="E100" s="12" t="s">
        <v>851</v>
      </c>
      <c r="F100" s="17">
        <f t="shared" si="2"/>
        <v>1</v>
      </c>
      <c r="G100" s="12" t="s">
        <v>852</v>
      </c>
      <c r="H100" s="47" t="s">
        <v>853</v>
      </c>
      <c r="I100" s="12" t="s">
        <v>855</v>
      </c>
      <c r="J100" s="21">
        <f>COUNTIF(Relatórios!F:F,E100)</f>
        <v>2</v>
      </c>
      <c r="K100" s="17">
        <v>99</v>
      </c>
      <c r="L100" s="17"/>
      <c r="M100" s="17"/>
      <c r="N100" s="17"/>
      <c r="O100" s="54"/>
      <c r="P100" s="54"/>
      <c r="Q100" s="54"/>
      <c r="R100" s="54"/>
      <c r="S100" s="54"/>
      <c r="T100" s="54"/>
      <c r="U100" s="54"/>
      <c r="V100" s="54"/>
      <c r="W100" s="54"/>
      <c r="X100" s="54"/>
      <c r="Y100" s="54"/>
      <c r="Z100" s="54"/>
      <c r="AA100" s="54"/>
    </row>
    <row r="101" spans="1:27" ht="13">
      <c r="A101" s="22" t="s">
        <v>92</v>
      </c>
      <c r="B101" s="23">
        <f t="shared" si="0"/>
        <v>9.0909090909090912E-2</v>
      </c>
      <c r="C101" s="22" t="s">
        <v>412</v>
      </c>
      <c r="D101" s="23">
        <f t="shared" si="1"/>
        <v>9.0909090909090912E-2</v>
      </c>
      <c r="E101" s="22" t="s">
        <v>858</v>
      </c>
      <c r="F101" s="26">
        <f t="shared" si="2"/>
        <v>1</v>
      </c>
      <c r="G101" s="22" t="s">
        <v>859</v>
      </c>
      <c r="H101" s="85" t="s">
        <v>860</v>
      </c>
      <c r="I101" s="22"/>
      <c r="J101" s="28">
        <f>COUNTIF(Relatórios!F:F,E101)</f>
        <v>2</v>
      </c>
      <c r="K101" s="26">
        <v>100</v>
      </c>
      <c r="L101" s="26"/>
      <c r="M101" s="26"/>
      <c r="N101" s="26"/>
      <c r="O101" s="1"/>
      <c r="P101" s="1"/>
      <c r="Q101" s="1"/>
      <c r="R101" s="1"/>
      <c r="S101" s="1"/>
      <c r="T101" s="1"/>
      <c r="U101" s="1"/>
      <c r="V101" s="1"/>
      <c r="W101" s="1"/>
      <c r="X101" s="1"/>
      <c r="Y101" s="1"/>
      <c r="Z101" s="1"/>
      <c r="AA101" s="1"/>
    </row>
    <row r="102" spans="1:27" ht="13">
      <c r="A102" s="12" t="s">
        <v>92</v>
      </c>
      <c r="B102" s="13">
        <f t="shared" si="0"/>
        <v>9.0909090909090912E-2</v>
      </c>
      <c r="C102" s="12" t="s">
        <v>412</v>
      </c>
      <c r="D102" s="13">
        <f t="shared" si="1"/>
        <v>9.0909090909090912E-2</v>
      </c>
      <c r="E102" s="12" t="s">
        <v>859</v>
      </c>
      <c r="F102" s="17">
        <f t="shared" si="2"/>
        <v>1</v>
      </c>
      <c r="G102" s="12" t="s">
        <v>863</v>
      </c>
      <c r="H102" s="18" t="s">
        <v>864</v>
      </c>
      <c r="I102" s="86" t="s">
        <v>865</v>
      </c>
      <c r="J102" s="21">
        <f>COUNTIF(Relatórios!F:F,E102)</f>
        <v>15</v>
      </c>
      <c r="K102" s="17">
        <v>101</v>
      </c>
      <c r="L102" s="17"/>
      <c r="M102" s="17"/>
      <c r="N102" s="17"/>
      <c r="O102" s="1"/>
      <c r="P102" s="1"/>
      <c r="Q102" s="1"/>
      <c r="R102" s="1"/>
      <c r="S102" s="1"/>
      <c r="T102" s="1"/>
      <c r="U102" s="1"/>
      <c r="V102" s="1"/>
      <c r="W102" s="1"/>
      <c r="X102" s="1"/>
      <c r="Y102" s="1"/>
      <c r="Z102" s="1"/>
      <c r="AA102" s="1"/>
    </row>
    <row r="103" spans="1:27" ht="13">
      <c r="A103" s="22" t="s">
        <v>92</v>
      </c>
      <c r="B103" s="23">
        <f t="shared" si="0"/>
        <v>9.0909090909090912E-2</v>
      </c>
      <c r="C103" s="22" t="s">
        <v>438</v>
      </c>
      <c r="D103" s="23">
        <f t="shared" si="1"/>
        <v>1</v>
      </c>
      <c r="E103" s="22" t="s">
        <v>868</v>
      </c>
      <c r="F103" s="26">
        <f t="shared" si="2"/>
        <v>1</v>
      </c>
      <c r="G103" s="22" t="s">
        <v>869</v>
      </c>
      <c r="H103" s="27" t="s">
        <v>870</v>
      </c>
      <c r="I103" s="22" t="s">
        <v>871</v>
      </c>
      <c r="J103" s="28">
        <f>COUNTIF(Relatórios!F:F,E103)</f>
        <v>3</v>
      </c>
      <c r="K103" s="26">
        <v>102</v>
      </c>
      <c r="L103" s="26"/>
      <c r="M103" s="26"/>
      <c r="N103" s="26"/>
    </row>
    <row r="104" spans="1:27" ht="13">
      <c r="A104" s="12" t="s">
        <v>64</v>
      </c>
      <c r="B104" s="13">
        <f t="shared" si="0"/>
        <v>1.5625E-2</v>
      </c>
      <c r="C104" s="12" t="s">
        <v>73</v>
      </c>
      <c r="D104" s="13">
        <f t="shared" si="1"/>
        <v>1.7857142857142856E-2</v>
      </c>
      <c r="E104" s="12" t="s">
        <v>872</v>
      </c>
      <c r="F104" s="17">
        <f t="shared" si="2"/>
        <v>1</v>
      </c>
      <c r="G104" s="12" t="s">
        <v>873</v>
      </c>
      <c r="H104" s="18" t="s">
        <v>874</v>
      </c>
      <c r="I104" s="12"/>
      <c r="J104" s="21">
        <f>COUNTIF(Relatórios!F:F,E104)</f>
        <v>3</v>
      </c>
      <c r="K104" s="17">
        <v>103</v>
      </c>
      <c r="L104" s="17"/>
      <c r="M104" s="17"/>
      <c r="N104" s="17"/>
    </row>
    <row r="105" spans="1:27" ht="13">
      <c r="A105" s="22" t="s">
        <v>56</v>
      </c>
      <c r="B105" s="23">
        <f t="shared" si="0"/>
        <v>5.5555555555555552E-2</v>
      </c>
      <c r="C105" s="22" t="s">
        <v>451</v>
      </c>
      <c r="D105" s="23">
        <f t="shared" si="1"/>
        <v>1</v>
      </c>
      <c r="E105" s="22" t="s">
        <v>451</v>
      </c>
      <c r="F105" s="26">
        <f t="shared" si="2"/>
        <v>1</v>
      </c>
      <c r="G105" s="22" t="s">
        <v>877</v>
      </c>
      <c r="H105" s="27" t="s">
        <v>878</v>
      </c>
      <c r="I105" s="22" t="s">
        <v>879</v>
      </c>
      <c r="J105" s="28">
        <f>COUNTIF(Relatórios!F:F,E105)</f>
        <v>2</v>
      </c>
      <c r="K105" s="26">
        <v>104</v>
      </c>
      <c r="L105" s="26"/>
      <c r="M105" s="26"/>
      <c r="N105" s="26"/>
    </row>
    <row r="106" spans="1:27" ht="13">
      <c r="A106" s="12" t="s">
        <v>56</v>
      </c>
      <c r="B106" s="13">
        <f t="shared" si="0"/>
        <v>5.5555555555555552E-2</v>
      </c>
      <c r="C106" s="12" t="s">
        <v>227</v>
      </c>
      <c r="D106" s="13">
        <f t="shared" si="1"/>
        <v>1</v>
      </c>
      <c r="E106" s="12" t="s">
        <v>227</v>
      </c>
      <c r="F106" s="17">
        <f t="shared" si="2"/>
        <v>1</v>
      </c>
      <c r="G106" s="12"/>
      <c r="H106" s="18" t="s">
        <v>880</v>
      </c>
      <c r="I106" s="12"/>
      <c r="J106" s="21">
        <f>COUNTIF(Relatórios!F:F,E106)</f>
        <v>1</v>
      </c>
      <c r="K106" s="17">
        <v>105</v>
      </c>
      <c r="L106" s="17"/>
      <c r="M106" s="17"/>
      <c r="N106" s="17"/>
    </row>
    <row r="107" spans="1:27" ht="13">
      <c r="A107" s="22" t="s">
        <v>56</v>
      </c>
      <c r="B107" s="23">
        <f t="shared" si="0"/>
        <v>5.5555555555555552E-2</v>
      </c>
      <c r="C107" s="22" t="s">
        <v>653</v>
      </c>
      <c r="D107" s="23">
        <f t="shared" si="1"/>
        <v>1</v>
      </c>
      <c r="E107" s="22" t="s">
        <v>653</v>
      </c>
      <c r="F107" s="26">
        <f t="shared" si="2"/>
        <v>1</v>
      </c>
      <c r="G107" s="22" t="s">
        <v>653</v>
      </c>
      <c r="H107" s="27" t="s">
        <v>881</v>
      </c>
      <c r="I107" s="22"/>
      <c r="J107" s="28">
        <f>COUNTIF(Relatórios!F:F,E107)</f>
        <v>1</v>
      </c>
      <c r="K107" s="26">
        <v>106</v>
      </c>
      <c r="L107" s="26"/>
      <c r="M107" s="26"/>
      <c r="N107" s="26"/>
    </row>
    <row r="108" spans="1:27" ht="13">
      <c r="A108" s="87" t="s">
        <v>64</v>
      </c>
      <c r="B108" s="13">
        <f t="shared" si="0"/>
        <v>1.5625E-2</v>
      </c>
      <c r="C108" s="12" t="s">
        <v>73</v>
      </c>
      <c r="D108" s="13">
        <f t="shared" si="1"/>
        <v>1.7857142857142856E-2</v>
      </c>
      <c r="E108" s="12" t="s">
        <v>884</v>
      </c>
      <c r="F108" s="17">
        <f t="shared" si="2"/>
        <v>1</v>
      </c>
      <c r="G108" s="12" t="s">
        <v>885</v>
      </c>
      <c r="H108" s="88" t="s">
        <v>886</v>
      </c>
      <c r="I108" s="12"/>
      <c r="J108" s="21">
        <f>COUNTIF(Relatórios!F:F,E108)</f>
        <v>1</v>
      </c>
      <c r="K108" s="17">
        <v>107</v>
      </c>
      <c r="L108" s="17"/>
      <c r="M108" s="17"/>
      <c r="N108" s="17"/>
    </row>
    <row r="109" spans="1:27" ht="13">
      <c r="A109" s="22" t="s">
        <v>8</v>
      </c>
      <c r="B109" s="23">
        <f t="shared" si="0"/>
        <v>0.5</v>
      </c>
      <c r="C109" s="22" t="s">
        <v>212</v>
      </c>
      <c r="D109" s="23">
        <f t="shared" si="1"/>
        <v>1</v>
      </c>
      <c r="E109" s="22" t="s">
        <v>887</v>
      </c>
      <c r="F109" s="26">
        <f t="shared" si="2"/>
        <v>1</v>
      </c>
      <c r="G109" s="22"/>
      <c r="H109" s="89" t="s">
        <v>888</v>
      </c>
      <c r="I109" s="22" t="s">
        <v>890</v>
      </c>
      <c r="J109" s="28">
        <f>COUNTIF(Relatórios!F:F,E109)</f>
        <v>1</v>
      </c>
      <c r="K109" s="26">
        <v>108</v>
      </c>
      <c r="L109" s="26"/>
      <c r="M109" s="26"/>
      <c r="N109" s="26"/>
    </row>
    <row r="110" spans="1:27" ht="13">
      <c r="A110" s="12" t="s">
        <v>56</v>
      </c>
      <c r="B110" s="13">
        <f t="shared" si="0"/>
        <v>5.5555555555555552E-2</v>
      </c>
      <c r="C110" s="12" t="s">
        <v>654</v>
      </c>
      <c r="D110" s="13">
        <f t="shared" si="1"/>
        <v>1</v>
      </c>
      <c r="E110" s="12" t="s">
        <v>654</v>
      </c>
      <c r="F110" s="17">
        <f t="shared" si="2"/>
        <v>1</v>
      </c>
      <c r="G110" s="12" t="s">
        <v>854</v>
      </c>
      <c r="H110" s="88" t="s">
        <v>892</v>
      </c>
      <c r="I110" s="12"/>
      <c r="J110" s="21">
        <f>COUNTIF(Relatórios!F:F,E110)</f>
        <v>1</v>
      </c>
      <c r="K110" s="17">
        <v>109</v>
      </c>
      <c r="L110" s="17"/>
      <c r="M110" s="17"/>
      <c r="N110" s="17"/>
    </row>
    <row r="111" spans="1:27" ht="13">
      <c r="A111" s="22" t="s">
        <v>58</v>
      </c>
      <c r="B111" s="23">
        <f t="shared" si="0"/>
        <v>1.1494252873563218E-2</v>
      </c>
      <c r="C111" s="22" t="s">
        <v>95</v>
      </c>
      <c r="D111" s="23">
        <f t="shared" si="1"/>
        <v>0.2</v>
      </c>
      <c r="E111" s="22" t="s">
        <v>893</v>
      </c>
      <c r="F111" s="26">
        <f t="shared" si="2"/>
        <v>1</v>
      </c>
      <c r="G111" s="22" t="s">
        <v>894</v>
      </c>
      <c r="H111" s="90" t="s">
        <v>895</v>
      </c>
      <c r="I111" s="22"/>
      <c r="J111" s="28">
        <f>COUNTIF(Relatórios!F:F,E111)</f>
        <v>1</v>
      </c>
      <c r="K111" s="26">
        <v>110</v>
      </c>
      <c r="L111" s="26"/>
      <c r="M111" s="26"/>
      <c r="N111" s="26"/>
    </row>
    <row r="112" spans="1:27" ht="13">
      <c r="A112" s="12" t="s">
        <v>92</v>
      </c>
      <c r="B112" s="13">
        <f t="shared" si="0"/>
        <v>9.0909090909090912E-2</v>
      </c>
      <c r="C112" s="12" t="s">
        <v>412</v>
      </c>
      <c r="D112" s="13">
        <f t="shared" si="1"/>
        <v>9.0909090909090912E-2</v>
      </c>
      <c r="E112" s="12" t="s">
        <v>898</v>
      </c>
      <c r="F112" s="17">
        <f t="shared" si="2"/>
        <v>1</v>
      </c>
      <c r="G112" s="12" t="s">
        <v>900</v>
      </c>
      <c r="H112" s="12" t="s">
        <v>481</v>
      </c>
      <c r="I112" s="12"/>
      <c r="J112" s="21">
        <f>COUNTIF(Relatórios!F:F,E112)</f>
        <v>1</v>
      </c>
      <c r="K112" s="17">
        <v>111</v>
      </c>
      <c r="L112" s="17"/>
      <c r="M112" s="17"/>
      <c r="N112" s="17"/>
    </row>
    <row r="113" spans="1:14" ht="13">
      <c r="A113" s="22" t="s">
        <v>92</v>
      </c>
      <c r="B113" s="23">
        <f t="shared" ref="B113:B118" si="3">1/(COUNTIF($A$2:$A$311,A113))</f>
        <v>9.0909090909090912E-2</v>
      </c>
      <c r="C113" s="22" t="s">
        <v>412</v>
      </c>
      <c r="D113" s="23">
        <f t="shared" ref="D113:D118" si="4">IF(C113="Não se aplica",0,1/(COUNTIF($C$2:$C$311,C113)))</f>
        <v>9.0909090909090912E-2</v>
      </c>
      <c r="E113" s="22" t="s">
        <v>901</v>
      </c>
      <c r="F113" s="26">
        <f t="shared" si="2"/>
        <v>1</v>
      </c>
      <c r="G113" s="22"/>
      <c r="H113" s="40" t="s">
        <v>902</v>
      </c>
      <c r="I113" s="22"/>
      <c r="J113" s="26">
        <f>COUNTIF(Relatórios!F:F,E113)</f>
        <v>1</v>
      </c>
      <c r="K113" s="26">
        <v>113</v>
      </c>
      <c r="L113" s="26"/>
    </row>
    <row r="114" spans="1:14" ht="13">
      <c r="A114" s="12" t="s">
        <v>56</v>
      </c>
      <c r="B114" s="13">
        <f t="shared" si="3"/>
        <v>5.5555555555555552E-2</v>
      </c>
      <c r="C114" s="12" t="s">
        <v>660</v>
      </c>
      <c r="D114" s="13">
        <f t="shared" si="4"/>
        <v>1</v>
      </c>
      <c r="E114" s="12" t="s">
        <v>660</v>
      </c>
      <c r="F114" s="17">
        <f t="shared" si="2"/>
        <v>1</v>
      </c>
      <c r="G114" s="12"/>
      <c r="H114" s="41" t="s">
        <v>880</v>
      </c>
      <c r="I114" s="12"/>
      <c r="J114" s="17">
        <f>COUNTIF(Relatórios!F:F,E114)</f>
        <v>2</v>
      </c>
      <c r="K114" s="12">
        <v>114</v>
      </c>
      <c r="L114" s="17"/>
      <c r="M114" s="17"/>
      <c r="N114" s="21"/>
    </row>
    <row r="115" spans="1:14" ht="13">
      <c r="A115" s="22" t="s">
        <v>69</v>
      </c>
      <c r="B115" s="23">
        <f t="shared" si="3"/>
        <v>0.5</v>
      </c>
      <c r="C115" s="28" t="s">
        <v>270</v>
      </c>
      <c r="D115" s="23">
        <f t="shared" si="4"/>
        <v>0.5</v>
      </c>
      <c r="E115" s="91" t="s">
        <v>905</v>
      </c>
      <c r="F115" s="26">
        <f t="shared" si="2"/>
        <v>1</v>
      </c>
      <c r="G115" s="28"/>
      <c r="H115" s="38" t="s">
        <v>906</v>
      </c>
      <c r="I115" s="28"/>
      <c r="J115" s="26">
        <f>COUNTIF(Relatórios!F:F,E115)</f>
        <v>2</v>
      </c>
      <c r="K115" s="28">
        <v>115</v>
      </c>
      <c r="L115" s="28"/>
      <c r="M115" s="28"/>
      <c r="N115" s="28"/>
    </row>
    <row r="116" spans="1:14" ht="13">
      <c r="A116" s="87" t="s">
        <v>64</v>
      </c>
      <c r="B116" s="13">
        <f t="shared" si="3"/>
        <v>1.5625E-2</v>
      </c>
      <c r="C116" s="21" t="s">
        <v>73</v>
      </c>
      <c r="D116" s="13">
        <f t="shared" si="4"/>
        <v>1.7857142857142856E-2</v>
      </c>
      <c r="E116" s="92" t="s">
        <v>907</v>
      </c>
      <c r="F116" s="17">
        <f t="shared" si="2"/>
        <v>1</v>
      </c>
      <c r="G116" s="21" t="s">
        <v>908</v>
      </c>
      <c r="H116" s="31" t="s">
        <v>909</v>
      </c>
      <c r="I116" s="21"/>
      <c r="J116" s="17">
        <f>COUNTIF(Relatórios!F:F,E116)</f>
        <v>1</v>
      </c>
      <c r="K116" s="21">
        <v>116</v>
      </c>
      <c r="L116" s="21"/>
      <c r="M116" s="21"/>
      <c r="N116" s="21"/>
    </row>
    <row r="117" spans="1:14" ht="13">
      <c r="A117" s="22" t="s">
        <v>56</v>
      </c>
      <c r="B117" s="23">
        <f t="shared" si="3"/>
        <v>5.5555555555555552E-2</v>
      </c>
      <c r="C117" s="29" t="s">
        <v>661</v>
      </c>
      <c r="D117" s="23">
        <f t="shared" si="4"/>
        <v>1</v>
      </c>
      <c r="E117" s="29" t="s">
        <v>661</v>
      </c>
      <c r="F117" s="26">
        <f t="shared" si="2"/>
        <v>1</v>
      </c>
      <c r="G117" s="28"/>
      <c r="H117" s="38" t="s">
        <v>912</v>
      </c>
      <c r="I117" s="28"/>
      <c r="J117" s="26">
        <f>COUNTIF(Relatórios!F:F,E117)</f>
        <v>1</v>
      </c>
      <c r="K117" s="28">
        <v>117</v>
      </c>
      <c r="L117" s="28"/>
      <c r="M117" s="28"/>
      <c r="N117" s="28"/>
    </row>
    <row r="118" spans="1:14" ht="13">
      <c r="A118" s="21" t="s">
        <v>56</v>
      </c>
      <c r="B118" s="13">
        <f t="shared" si="3"/>
        <v>5.5555555555555552E-2</v>
      </c>
      <c r="C118" s="21" t="s">
        <v>662</v>
      </c>
      <c r="D118" s="13">
        <f t="shared" si="4"/>
        <v>1</v>
      </c>
      <c r="E118" s="21" t="s">
        <v>662</v>
      </c>
      <c r="F118" s="17">
        <f t="shared" si="2"/>
        <v>1</v>
      </c>
      <c r="G118" s="21"/>
      <c r="H118" s="31" t="s">
        <v>913</v>
      </c>
      <c r="I118" s="21"/>
      <c r="J118" s="17">
        <f>COUNTIF(Relatórios!F:F,E118)</f>
        <v>1</v>
      </c>
      <c r="K118" s="21">
        <v>118</v>
      </c>
      <c r="L118" s="21"/>
      <c r="M118" s="21"/>
      <c r="N118" s="21"/>
    </row>
    <row r="119" spans="1:14" ht="13">
      <c r="A119" s="48" t="s">
        <v>58</v>
      </c>
      <c r="B119" s="93">
        <v>0.01</v>
      </c>
      <c r="C119" s="94" t="s">
        <v>397</v>
      </c>
      <c r="D119" s="93">
        <v>0.13</v>
      </c>
      <c r="E119" s="94" t="s">
        <v>914</v>
      </c>
      <c r="F119" s="95">
        <v>1</v>
      </c>
      <c r="G119" s="96" t="s">
        <v>914</v>
      </c>
      <c r="H119" s="97" t="s">
        <v>917</v>
      </c>
      <c r="I119" s="98"/>
      <c r="J119" s="95">
        <v>2</v>
      </c>
      <c r="K119" s="99">
        <v>119</v>
      </c>
      <c r="L119" s="99">
        <v>1</v>
      </c>
      <c r="M119" s="28"/>
      <c r="N119" s="28"/>
    </row>
    <row r="120" spans="1:14" ht="13">
      <c r="A120" s="16" t="s">
        <v>80</v>
      </c>
      <c r="B120" s="93">
        <v>0.05</v>
      </c>
      <c r="C120" s="94" t="s">
        <v>331</v>
      </c>
      <c r="D120" s="93">
        <v>0.2</v>
      </c>
      <c r="E120" s="94" t="s">
        <v>918</v>
      </c>
      <c r="F120" s="95">
        <v>1</v>
      </c>
      <c r="G120" s="96" t="s">
        <v>918</v>
      </c>
      <c r="H120" s="97" t="s">
        <v>919</v>
      </c>
      <c r="I120" s="98"/>
      <c r="J120" s="95">
        <v>2</v>
      </c>
      <c r="K120" s="95">
        <v>120</v>
      </c>
      <c r="L120" s="95">
        <v>3</v>
      </c>
      <c r="M120" s="21"/>
      <c r="N120" s="21"/>
    </row>
    <row r="121" spans="1:14" ht="13">
      <c r="A121" s="48" t="s">
        <v>56</v>
      </c>
      <c r="B121" s="93">
        <v>0.06</v>
      </c>
      <c r="C121" s="94" t="s">
        <v>56</v>
      </c>
      <c r="D121" s="93">
        <v>0.2</v>
      </c>
      <c r="E121" s="94" t="s">
        <v>920</v>
      </c>
      <c r="F121" s="95">
        <v>1</v>
      </c>
      <c r="G121" s="96" t="s">
        <v>920</v>
      </c>
      <c r="H121" s="97" t="s">
        <v>921</v>
      </c>
      <c r="I121" s="98"/>
      <c r="J121" s="95">
        <v>7</v>
      </c>
      <c r="K121" s="99">
        <v>121</v>
      </c>
      <c r="L121" s="99">
        <v>5</v>
      </c>
      <c r="M121" s="28"/>
      <c r="N121" s="28"/>
    </row>
    <row r="122" spans="1:14" ht="13">
      <c r="A122" s="16" t="s">
        <v>58</v>
      </c>
      <c r="B122" s="93">
        <v>0.01</v>
      </c>
      <c r="C122" s="94" t="s">
        <v>380</v>
      </c>
      <c r="D122" s="93">
        <v>0.2</v>
      </c>
      <c r="E122" s="94" t="s">
        <v>924</v>
      </c>
      <c r="F122" s="95">
        <v>1</v>
      </c>
      <c r="G122" s="96" t="s">
        <v>924</v>
      </c>
      <c r="H122" s="97" t="s">
        <v>925</v>
      </c>
      <c r="I122" s="98"/>
      <c r="J122" s="95">
        <v>0</v>
      </c>
      <c r="K122" s="95">
        <v>122</v>
      </c>
      <c r="L122" s="95">
        <v>6</v>
      </c>
      <c r="M122" s="21"/>
      <c r="N122" s="21"/>
    </row>
    <row r="123" spans="1:14" ht="13">
      <c r="A123" s="48" t="s">
        <v>58</v>
      </c>
      <c r="B123" s="93">
        <v>0.01</v>
      </c>
      <c r="C123" s="94" t="s">
        <v>365</v>
      </c>
      <c r="D123" s="93">
        <v>0.25</v>
      </c>
      <c r="E123" s="94" t="s">
        <v>926</v>
      </c>
      <c r="F123" s="95">
        <v>1</v>
      </c>
      <c r="G123" s="96" t="s">
        <v>926</v>
      </c>
      <c r="H123" s="97" t="s">
        <v>927</v>
      </c>
      <c r="I123" s="98"/>
      <c r="J123" s="95">
        <v>1</v>
      </c>
      <c r="K123" s="99">
        <v>123</v>
      </c>
      <c r="L123" s="99">
        <v>8</v>
      </c>
      <c r="M123" s="28"/>
      <c r="N123" s="28"/>
    </row>
    <row r="124" spans="1:14" ht="13">
      <c r="A124" s="16" t="s">
        <v>58</v>
      </c>
      <c r="B124" s="93">
        <v>0.01</v>
      </c>
      <c r="C124" s="94" t="s">
        <v>380</v>
      </c>
      <c r="D124" s="93">
        <v>0.2</v>
      </c>
      <c r="E124" s="94" t="s">
        <v>928</v>
      </c>
      <c r="F124" s="95">
        <v>1</v>
      </c>
      <c r="G124" s="96" t="s">
        <v>928</v>
      </c>
      <c r="H124" s="97" t="s">
        <v>929</v>
      </c>
      <c r="I124" s="98"/>
      <c r="J124" s="95">
        <v>1</v>
      </c>
      <c r="K124" s="95">
        <v>124</v>
      </c>
      <c r="L124" s="95">
        <v>9</v>
      </c>
      <c r="M124" s="21"/>
      <c r="N124" s="21"/>
    </row>
    <row r="125" spans="1:14" ht="13">
      <c r="A125" s="48" t="s">
        <v>58</v>
      </c>
      <c r="B125" s="93">
        <v>0.01</v>
      </c>
      <c r="C125" s="94" t="s">
        <v>380</v>
      </c>
      <c r="D125" s="93">
        <v>0.2</v>
      </c>
      <c r="E125" s="94" t="s">
        <v>930</v>
      </c>
      <c r="F125" s="95">
        <v>1</v>
      </c>
      <c r="G125" s="96" t="s">
        <v>930</v>
      </c>
      <c r="H125" s="97" t="s">
        <v>931</v>
      </c>
      <c r="I125" s="98"/>
      <c r="J125" s="95">
        <v>1</v>
      </c>
      <c r="K125" s="99">
        <v>125</v>
      </c>
      <c r="L125" s="99">
        <v>10</v>
      </c>
      <c r="M125" s="28"/>
      <c r="N125" s="28"/>
    </row>
    <row r="126" spans="1:14" ht="13">
      <c r="A126" s="16" t="s">
        <v>64</v>
      </c>
      <c r="B126" s="93">
        <v>0.02</v>
      </c>
      <c r="C126" s="94" t="s">
        <v>73</v>
      </c>
      <c r="D126" s="93">
        <v>0.02</v>
      </c>
      <c r="E126" s="94" t="s">
        <v>934</v>
      </c>
      <c r="F126" s="95">
        <v>1</v>
      </c>
      <c r="G126" s="96" t="s">
        <v>934</v>
      </c>
      <c r="H126" s="97" t="s">
        <v>935</v>
      </c>
      <c r="I126" s="98"/>
      <c r="J126" s="95">
        <v>1</v>
      </c>
      <c r="K126" s="95">
        <v>126</v>
      </c>
      <c r="L126" s="95">
        <v>11</v>
      </c>
      <c r="M126" s="21"/>
      <c r="N126" s="21"/>
    </row>
    <row r="127" spans="1:14" ht="13">
      <c r="A127" s="48" t="s">
        <v>58</v>
      </c>
      <c r="B127" s="93">
        <v>0.01</v>
      </c>
      <c r="C127" s="94" t="s">
        <v>397</v>
      </c>
      <c r="D127" s="93">
        <v>0.13</v>
      </c>
      <c r="E127" s="94" t="s">
        <v>936</v>
      </c>
      <c r="F127" s="95">
        <v>1</v>
      </c>
      <c r="G127" s="96" t="s">
        <v>936</v>
      </c>
      <c r="H127" s="97" t="s">
        <v>917</v>
      </c>
      <c r="I127" s="98"/>
      <c r="J127" s="95">
        <v>9</v>
      </c>
      <c r="K127" s="99">
        <v>127</v>
      </c>
      <c r="L127" s="99">
        <v>13</v>
      </c>
      <c r="M127" s="28"/>
      <c r="N127" s="28"/>
    </row>
    <row r="128" spans="1:14" ht="13">
      <c r="A128" s="16" t="s">
        <v>58</v>
      </c>
      <c r="B128" s="93">
        <v>0.01</v>
      </c>
      <c r="C128" s="94" t="s">
        <v>393</v>
      </c>
      <c r="D128" s="93">
        <v>0.2</v>
      </c>
      <c r="E128" s="94" t="s">
        <v>937</v>
      </c>
      <c r="F128" s="95">
        <v>1</v>
      </c>
      <c r="G128" s="96" t="s">
        <v>937</v>
      </c>
      <c r="H128" s="97" t="s">
        <v>938</v>
      </c>
      <c r="I128" s="98"/>
      <c r="J128" s="95">
        <v>2</v>
      </c>
      <c r="K128" s="95">
        <v>128</v>
      </c>
      <c r="L128" s="95">
        <v>16</v>
      </c>
      <c r="M128" s="21"/>
      <c r="N128" s="21"/>
    </row>
    <row r="129" spans="1:14" ht="13">
      <c r="A129" s="48" t="s">
        <v>58</v>
      </c>
      <c r="B129" s="93">
        <v>0.01</v>
      </c>
      <c r="C129" s="94" t="s">
        <v>349</v>
      </c>
      <c r="D129" s="93">
        <v>0.11</v>
      </c>
      <c r="E129" s="94" t="s">
        <v>940</v>
      </c>
      <c r="F129" s="95">
        <v>1</v>
      </c>
      <c r="G129" s="96" t="s">
        <v>940</v>
      </c>
      <c r="H129" s="97" t="s">
        <v>942</v>
      </c>
      <c r="I129" s="98"/>
      <c r="J129" s="95">
        <v>1</v>
      </c>
      <c r="K129" s="99">
        <v>129</v>
      </c>
      <c r="L129" s="99">
        <v>23</v>
      </c>
      <c r="M129" s="28"/>
      <c r="N129" s="28"/>
    </row>
    <row r="130" spans="1:14" ht="13">
      <c r="A130" s="16" t="s">
        <v>58</v>
      </c>
      <c r="B130" s="93">
        <v>0.01</v>
      </c>
      <c r="C130" s="94" t="s">
        <v>397</v>
      </c>
      <c r="D130" s="93">
        <v>0.13</v>
      </c>
      <c r="E130" s="94" t="s">
        <v>943</v>
      </c>
      <c r="F130" s="95">
        <v>1</v>
      </c>
      <c r="G130" s="96" t="s">
        <v>943</v>
      </c>
      <c r="H130" s="97" t="s">
        <v>944</v>
      </c>
      <c r="I130" s="98"/>
      <c r="J130" s="95">
        <v>1</v>
      </c>
      <c r="K130" s="95">
        <v>130</v>
      </c>
      <c r="L130" s="95">
        <v>60</v>
      </c>
      <c r="M130" s="21"/>
      <c r="N130" s="21"/>
    </row>
    <row r="131" spans="1:14" ht="13">
      <c r="A131" s="48" t="s">
        <v>58</v>
      </c>
      <c r="B131" s="93">
        <v>0.01</v>
      </c>
      <c r="C131" s="94" t="s">
        <v>397</v>
      </c>
      <c r="D131" s="93">
        <v>0.13</v>
      </c>
      <c r="E131" s="94" t="s">
        <v>945</v>
      </c>
      <c r="F131" s="95">
        <v>1</v>
      </c>
      <c r="G131" s="96" t="s">
        <v>945</v>
      </c>
      <c r="H131" s="100" t="s">
        <v>946</v>
      </c>
      <c r="I131" s="98"/>
      <c r="J131" s="95">
        <v>0</v>
      </c>
      <c r="K131" s="99">
        <v>131</v>
      </c>
      <c r="L131" s="99">
        <v>68</v>
      </c>
      <c r="M131" s="28"/>
      <c r="N131" s="28"/>
    </row>
    <row r="132" spans="1:14" ht="13">
      <c r="A132" s="16" t="s">
        <v>64</v>
      </c>
      <c r="B132" s="93">
        <v>0.02</v>
      </c>
      <c r="C132" s="94" t="s">
        <v>380</v>
      </c>
      <c r="D132" s="93">
        <v>0.2</v>
      </c>
      <c r="E132" s="94" t="s">
        <v>947</v>
      </c>
      <c r="F132" s="95">
        <v>1</v>
      </c>
      <c r="G132" s="96" t="s">
        <v>947</v>
      </c>
      <c r="H132" s="97" t="s">
        <v>948</v>
      </c>
      <c r="I132" s="98"/>
      <c r="J132" s="95">
        <v>1</v>
      </c>
      <c r="K132" s="95">
        <v>132</v>
      </c>
      <c r="L132" s="95">
        <v>73</v>
      </c>
      <c r="M132" s="21"/>
      <c r="N132" s="21"/>
    </row>
    <row r="133" spans="1:14" ht="13">
      <c r="A133" s="48" t="s">
        <v>58</v>
      </c>
      <c r="B133" s="93">
        <v>0.01</v>
      </c>
      <c r="C133" s="94" t="s">
        <v>56</v>
      </c>
      <c r="D133" s="93">
        <v>0.2</v>
      </c>
      <c r="E133" s="94" t="s">
        <v>951</v>
      </c>
      <c r="F133" s="95">
        <v>1</v>
      </c>
      <c r="G133" s="96" t="s">
        <v>951</v>
      </c>
      <c r="H133" s="97" t="s">
        <v>952</v>
      </c>
      <c r="I133" s="98"/>
      <c r="J133" s="95">
        <v>1</v>
      </c>
      <c r="K133" s="99">
        <v>133</v>
      </c>
      <c r="L133" s="99">
        <v>74</v>
      </c>
      <c r="M133" s="28"/>
      <c r="N133" s="28"/>
    </row>
    <row r="134" spans="1:14" ht="13">
      <c r="A134" s="16" t="s">
        <v>64</v>
      </c>
      <c r="B134" s="93">
        <v>0.02</v>
      </c>
      <c r="C134" s="94" t="s">
        <v>73</v>
      </c>
      <c r="D134" s="93">
        <v>0.02</v>
      </c>
      <c r="E134" s="94" t="s">
        <v>955</v>
      </c>
      <c r="F134" s="95">
        <v>1</v>
      </c>
      <c r="G134" s="96" t="s">
        <v>955</v>
      </c>
      <c r="H134" s="97" t="s">
        <v>956</v>
      </c>
      <c r="I134" s="98"/>
      <c r="J134" s="95">
        <v>1</v>
      </c>
      <c r="K134" s="95">
        <v>134</v>
      </c>
      <c r="L134" s="95">
        <v>76</v>
      </c>
      <c r="M134" s="21"/>
      <c r="N134" s="21"/>
    </row>
    <row r="135" spans="1:14" ht="13">
      <c r="A135" s="48" t="s">
        <v>58</v>
      </c>
      <c r="B135" s="93">
        <v>0.01</v>
      </c>
      <c r="C135" s="94" t="s">
        <v>404</v>
      </c>
      <c r="D135" s="93">
        <v>0.14000000000000001</v>
      </c>
      <c r="E135" s="94" t="s">
        <v>914</v>
      </c>
      <c r="F135" s="95">
        <v>1</v>
      </c>
      <c r="G135" s="96" t="s">
        <v>914</v>
      </c>
      <c r="H135" s="97" t="s">
        <v>957</v>
      </c>
      <c r="I135" s="98"/>
      <c r="J135" s="95">
        <v>2</v>
      </c>
      <c r="K135" s="99">
        <v>135</v>
      </c>
      <c r="L135" s="99">
        <v>77</v>
      </c>
      <c r="M135" s="28"/>
      <c r="N135" s="28"/>
    </row>
    <row r="136" spans="1:14" ht="13">
      <c r="A136" s="16" t="s">
        <v>58</v>
      </c>
      <c r="B136" s="93">
        <v>0.01</v>
      </c>
      <c r="C136" s="94" t="s">
        <v>364</v>
      </c>
      <c r="D136" s="93">
        <v>1</v>
      </c>
      <c r="E136" s="94" t="s">
        <v>958</v>
      </c>
      <c r="F136" s="95">
        <v>1</v>
      </c>
      <c r="G136" s="96" t="s">
        <v>958</v>
      </c>
      <c r="H136" s="97" t="s">
        <v>959</v>
      </c>
      <c r="I136" s="98"/>
      <c r="J136" s="95">
        <v>1</v>
      </c>
      <c r="K136" s="95">
        <v>136</v>
      </c>
      <c r="L136" s="95">
        <v>83</v>
      </c>
      <c r="M136" s="21"/>
      <c r="N136" s="21"/>
    </row>
    <row r="137" spans="1:14" ht="13">
      <c r="A137" s="48" t="s">
        <v>58</v>
      </c>
      <c r="B137" s="93">
        <v>0.01</v>
      </c>
      <c r="C137" s="94" t="s">
        <v>396</v>
      </c>
      <c r="D137" s="93">
        <v>0.25</v>
      </c>
      <c r="E137" s="94" t="s">
        <v>960</v>
      </c>
      <c r="F137" s="95">
        <v>1</v>
      </c>
      <c r="G137" s="96" t="s">
        <v>960</v>
      </c>
      <c r="H137" s="97" t="s">
        <v>961</v>
      </c>
      <c r="I137" s="98"/>
      <c r="J137" s="95">
        <v>1</v>
      </c>
      <c r="K137" s="99">
        <v>137</v>
      </c>
      <c r="L137" s="99">
        <v>87</v>
      </c>
      <c r="M137" s="28"/>
      <c r="N137" s="28"/>
    </row>
    <row r="138" spans="1:14" ht="13">
      <c r="A138" s="16" t="s">
        <v>58</v>
      </c>
      <c r="B138" s="93">
        <v>0.01</v>
      </c>
      <c r="C138" s="94" t="s">
        <v>367</v>
      </c>
      <c r="D138" s="93">
        <v>0.5</v>
      </c>
      <c r="E138" s="94" t="s">
        <v>962</v>
      </c>
      <c r="F138" s="95">
        <v>1</v>
      </c>
      <c r="G138" s="96" t="s">
        <v>962</v>
      </c>
      <c r="H138" s="97" t="s">
        <v>963</v>
      </c>
      <c r="I138" s="98"/>
      <c r="J138" s="95">
        <v>1</v>
      </c>
      <c r="K138" s="95">
        <v>138</v>
      </c>
      <c r="L138" s="95">
        <v>89</v>
      </c>
      <c r="M138" s="21"/>
      <c r="N138" s="21"/>
    </row>
    <row r="139" spans="1:14" ht="13">
      <c r="A139" s="48" t="s">
        <v>64</v>
      </c>
      <c r="B139" s="93">
        <v>0.02</v>
      </c>
      <c r="C139" s="94" t="s">
        <v>73</v>
      </c>
      <c r="D139" s="93">
        <v>0.02</v>
      </c>
      <c r="E139" s="94" t="s">
        <v>964</v>
      </c>
      <c r="F139" s="95">
        <v>1</v>
      </c>
      <c r="G139" s="96" t="s">
        <v>964</v>
      </c>
      <c r="H139" s="97" t="s">
        <v>965</v>
      </c>
      <c r="I139" s="98"/>
      <c r="J139" s="95">
        <v>1</v>
      </c>
      <c r="K139" s="99">
        <v>139</v>
      </c>
      <c r="L139" s="99">
        <v>91</v>
      </c>
      <c r="M139" s="28"/>
      <c r="N139" s="28"/>
    </row>
    <row r="140" spans="1:14" ht="13">
      <c r="A140" s="16" t="s">
        <v>64</v>
      </c>
      <c r="B140" s="93">
        <v>0.02</v>
      </c>
      <c r="C140" s="94" t="s">
        <v>103</v>
      </c>
      <c r="D140" s="93">
        <v>0.11</v>
      </c>
      <c r="E140" s="94" t="s">
        <v>966</v>
      </c>
      <c r="F140" s="95">
        <v>1</v>
      </c>
      <c r="G140" s="96" t="s">
        <v>966</v>
      </c>
      <c r="H140" s="97" t="s">
        <v>968</v>
      </c>
      <c r="I140" s="98"/>
      <c r="J140" s="95">
        <v>1</v>
      </c>
      <c r="K140" s="95">
        <v>140</v>
      </c>
      <c r="L140" s="95">
        <v>92</v>
      </c>
      <c r="M140" s="21"/>
      <c r="N140" s="21"/>
    </row>
    <row r="141" spans="1:14" ht="13">
      <c r="A141" s="48" t="s">
        <v>58</v>
      </c>
      <c r="B141" s="93">
        <v>0.01</v>
      </c>
      <c r="C141" s="94" t="s">
        <v>396</v>
      </c>
      <c r="D141" s="93">
        <v>0.25</v>
      </c>
      <c r="E141" s="94" t="s">
        <v>969</v>
      </c>
      <c r="F141" s="95">
        <v>1</v>
      </c>
      <c r="G141" s="96" t="s">
        <v>969</v>
      </c>
      <c r="H141" s="97" t="s">
        <v>970</v>
      </c>
      <c r="I141" s="98"/>
      <c r="J141" s="95">
        <v>1</v>
      </c>
      <c r="K141" s="99">
        <v>141</v>
      </c>
      <c r="L141" s="99">
        <v>94</v>
      </c>
      <c r="M141" s="28"/>
      <c r="N141" s="28"/>
    </row>
    <row r="142" spans="1:14" ht="13">
      <c r="A142" s="16" t="s">
        <v>58</v>
      </c>
      <c r="B142" s="93">
        <v>0.01</v>
      </c>
      <c r="C142" s="94" t="s">
        <v>396</v>
      </c>
      <c r="D142" s="93">
        <v>0.25</v>
      </c>
      <c r="E142" s="94" t="s">
        <v>971</v>
      </c>
      <c r="F142" s="95">
        <v>1</v>
      </c>
      <c r="G142" s="96" t="s">
        <v>971</v>
      </c>
      <c r="H142" s="97" t="s">
        <v>973</v>
      </c>
      <c r="I142" s="98"/>
      <c r="J142" s="95">
        <v>1</v>
      </c>
      <c r="K142" s="95">
        <v>142</v>
      </c>
      <c r="L142" s="95">
        <v>95</v>
      </c>
      <c r="M142" s="21"/>
      <c r="N142" s="21"/>
    </row>
    <row r="143" spans="1:14" ht="13">
      <c r="A143" s="48" t="s">
        <v>58</v>
      </c>
      <c r="B143" s="93">
        <v>0.01</v>
      </c>
      <c r="C143" s="94" t="s">
        <v>400</v>
      </c>
      <c r="D143" s="93">
        <v>0.5</v>
      </c>
      <c r="E143" s="94" t="s">
        <v>974</v>
      </c>
      <c r="F143" s="95">
        <v>1</v>
      </c>
      <c r="G143" s="96" t="s">
        <v>974</v>
      </c>
      <c r="H143" s="97" t="s">
        <v>975</v>
      </c>
      <c r="I143" s="98"/>
      <c r="J143" s="95">
        <v>1</v>
      </c>
      <c r="K143" s="99">
        <v>143</v>
      </c>
      <c r="L143" s="99">
        <v>96</v>
      </c>
      <c r="M143" s="28"/>
      <c r="N143" s="28"/>
    </row>
    <row r="144" spans="1:14" ht="13">
      <c r="A144" s="16" t="s">
        <v>58</v>
      </c>
      <c r="B144" s="93">
        <v>0.01</v>
      </c>
      <c r="C144" s="94" t="s">
        <v>73</v>
      </c>
      <c r="D144" s="93">
        <v>0.02</v>
      </c>
      <c r="E144" s="94" t="s">
        <v>976</v>
      </c>
      <c r="F144" s="95">
        <v>1</v>
      </c>
      <c r="G144" s="96" t="s">
        <v>976</v>
      </c>
      <c r="H144" s="97" t="s">
        <v>977</v>
      </c>
      <c r="I144" s="98"/>
      <c r="J144" s="95">
        <v>1</v>
      </c>
      <c r="K144" s="95">
        <v>144</v>
      </c>
      <c r="L144" s="95">
        <v>97</v>
      </c>
      <c r="M144" s="21"/>
      <c r="N144" s="21"/>
    </row>
    <row r="145" spans="1:14" ht="13">
      <c r="A145" s="48" t="s">
        <v>58</v>
      </c>
      <c r="B145" s="93">
        <v>0.01</v>
      </c>
      <c r="C145" s="94" t="s">
        <v>372</v>
      </c>
      <c r="D145" s="93">
        <v>0.25</v>
      </c>
      <c r="E145" s="94" t="s">
        <v>978</v>
      </c>
      <c r="F145" s="95">
        <v>1</v>
      </c>
      <c r="G145" s="96" t="s">
        <v>978</v>
      </c>
      <c r="H145" s="97" t="s">
        <v>979</v>
      </c>
      <c r="I145" s="98"/>
      <c r="J145" s="95">
        <v>1</v>
      </c>
      <c r="K145" s="99">
        <v>145</v>
      </c>
      <c r="L145" s="99">
        <v>98</v>
      </c>
      <c r="M145" s="28"/>
      <c r="N145" s="28"/>
    </row>
    <row r="146" spans="1:14" ht="13">
      <c r="A146" s="16" t="s">
        <v>64</v>
      </c>
      <c r="B146" s="93">
        <v>0.02</v>
      </c>
      <c r="C146" s="94" t="s">
        <v>73</v>
      </c>
      <c r="D146" s="93">
        <v>0.02</v>
      </c>
      <c r="E146" s="94" t="s">
        <v>980</v>
      </c>
      <c r="F146" s="95">
        <v>1</v>
      </c>
      <c r="G146" s="96" t="s">
        <v>980</v>
      </c>
      <c r="H146" s="97" t="s">
        <v>981</v>
      </c>
      <c r="I146" s="98"/>
      <c r="J146" s="95">
        <v>1</v>
      </c>
      <c r="K146" s="95">
        <v>146</v>
      </c>
      <c r="L146" s="95">
        <v>103</v>
      </c>
      <c r="M146" s="21"/>
      <c r="N146" s="21"/>
    </row>
    <row r="147" spans="1:14" ht="13">
      <c r="A147" s="48" t="s">
        <v>58</v>
      </c>
      <c r="B147" s="93">
        <v>0.01</v>
      </c>
      <c r="C147" s="94" t="s">
        <v>398</v>
      </c>
      <c r="D147" s="93">
        <v>1</v>
      </c>
      <c r="E147" s="94" t="s">
        <v>988</v>
      </c>
      <c r="F147" s="95">
        <v>1</v>
      </c>
      <c r="G147" s="96" t="s">
        <v>988</v>
      </c>
      <c r="H147" s="97" t="s">
        <v>989</v>
      </c>
      <c r="I147" s="98"/>
      <c r="J147" s="95">
        <v>1</v>
      </c>
      <c r="K147" s="99">
        <v>147</v>
      </c>
      <c r="L147" s="99">
        <v>104</v>
      </c>
      <c r="M147" s="28"/>
      <c r="N147" s="28"/>
    </row>
    <row r="148" spans="1:14" ht="13">
      <c r="A148" s="16" t="s">
        <v>64</v>
      </c>
      <c r="B148" s="93">
        <v>0.02</v>
      </c>
      <c r="C148" s="94" t="s">
        <v>73</v>
      </c>
      <c r="D148" s="93">
        <v>0.02</v>
      </c>
      <c r="E148" s="94" t="s">
        <v>993</v>
      </c>
      <c r="F148" s="95">
        <v>1</v>
      </c>
      <c r="G148" s="96" t="s">
        <v>993</v>
      </c>
      <c r="H148" s="97" t="s">
        <v>994</v>
      </c>
      <c r="I148" s="98"/>
      <c r="J148" s="95">
        <v>1</v>
      </c>
      <c r="K148" s="95">
        <v>148</v>
      </c>
      <c r="L148" s="95">
        <v>105</v>
      </c>
      <c r="M148" s="21"/>
      <c r="N148" s="21"/>
    </row>
    <row r="149" spans="1:14" ht="13">
      <c r="A149" s="48" t="s">
        <v>58</v>
      </c>
      <c r="B149" s="93">
        <v>0.01</v>
      </c>
      <c r="C149" s="94" t="s">
        <v>367</v>
      </c>
      <c r="D149" s="93">
        <v>0.5</v>
      </c>
      <c r="E149" s="94" t="s">
        <v>996</v>
      </c>
      <c r="F149" s="95">
        <v>1</v>
      </c>
      <c r="G149" s="96" t="s">
        <v>996</v>
      </c>
      <c r="H149" s="97" t="s">
        <v>997</v>
      </c>
      <c r="I149" s="98"/>
      <c r="J149" s="95">
        <v>1</v>
      </c>
      <c r="K149" s="99">
        <v>149</v>
      </c>
      <c r="L149" s="99">
        <v>108</v>
      </c>
      <c r="M149" s="28"/>
      <c r="N149" s="28"/>
    </row>
    <row r="150" spans="1:14" ht="13">
      <c r="A150" s="16" t="s">
        <v>58</v>
      </c>
      <c r="B150" s="93">
        <v>0.01</v>
      </c>
      <c r="C150" s="94" t="s">
        <v>404</v>
      </c>
      <c r="D150" s="93">
        <v>0.14000000000000001</v>
      </c>
      <c r="E150" s="94" t="s">
        <v>1000</v>
      </c>
      <c r="F150" s="95">
        <v>1</v>
      </c>
      <c r="G150" s="96" t="s">
        <v>1000</v>
      </c>
      <c r="H150" s="97" t="s">
        <v>1001</v>
      </c>
      <c r="I150" s="98"/>
      <c r="J150" s="95">
        <v>1</v>
      </c>
      <c r="K150" s="95">
        <v>150</v>
      </c>
      <c r="L150" s="95">
        <v>111</v>
      </c>
      <c r="M150" s="21"/>
      <c r="N150" s="21"/>
    </row>
    <row r="151" spans="1:14" ht="13">
      <c r="A151" s="48" t="s">
        <v>64</v>
      </c>
      <c r="B151" s="93">
        <v>0.02</v>
      </c>
      <c r="C151" s="94" t="s">
        <v>73</v>
      </c>
      <c r="D151" s="93">
        <v>0.02</v>
      </c>
      <c r="E151" s="94" t="s">
        <v>1002</v>
      </c>
      <c r="F151" s="95">
        <v>1</v>
      </c>
      <c r="G151" s="96" t="s">
        <v>1002</v>
      </c>
      <c r="H151" s="97" t="s">
        <v>1003</v>
      </c>
      <c r="I151" s="98"/>
      <c r="J151" s="95">
        <v>1</v>
      </c>
      <c r="K151" s="99">
        <v>151</v>
      </c>
      <c r="L151" s="99">
        <v>114</v>
      </c>
      <c r="M151" s="28"/>
      <c r="N151" s="28"/>
    </row>
    <row r="152" spans="1:14" ht="13">
      <c r="A152" s="16" t="s">
        <v>58</v>
      </c>
      <c r="B152" s="93">
        <v>0.01</v>
      </c>
      <c r="C152" s="94" t="s">
        <v>380</v>
      </c>
      <c r="D152" s="93">
        <v>0.2</v>
      </c>
      <c r="E152" s="94" t="s">
        <v>924</v>
      </c>
      <c r="F152" s="95">
        <v>1</v>
      </c>
      <c r="G152" s="96" t="s">
        <v>924</v>
      </c>
      <c r="H152" s="97" t="s">
        <v>1005</v>
      </c>
      <c r="I152" s="98"/>
      <c r="J152" s="95">
        <v>0</v>
      </c>
      <c r="K152" s="95">
        <v>152</v>
      </c>
      <c r="L152" s="95">
        <v>115</v>
      </c>
      <c r="M152" s="21"/>
      <c r="N152" s="21"/>
    </row>
    <row r="153" spans="1:14" ht="13">
      <c r="A153" s="48" t="s">
        <v>58</v>
      </c>
      <c r="B153" s="93">
        <v>0.01</v>
      </c>
      <c r="C153" s="94" t="s">
        <v>400</v>
      </c>
      <c r="D153" s="93">
        <v>0.5</v>
      </c>
      <c r="E153" s="94" t="s">
        <v>1006</v>
      </c>
      <c r="F153" s="95">
        <v>1</v>
      </c>
      <c r="G153" s="96" t="s">
        <v>1006</v>
      </c>
      <c r="H153" s="97" t="s">
        <v>1007</v>
      </c>
      <c r="I153" s="98"/>
      <c r="J153" s="95">
        <v>1</v>
      </c>
      <c r="K153" s="99">
        <v>153</v>
      </c>
      <c r="L153" s="99">
        <v>127</v>
      </c>
      <c r="M153" s="28"/>
      <c r="N153" s="28"/>
    </row>
    <row r="154" spans="1:14" ht="13">
      <c r="A154" s="16" t="s">
        <v>58</v>
      </c>
      <c r="B154" s="93">
        <v>0.01</v>
      </c>
      <c r="C154" s="94" t="s">
        <v>379</v>
      </c>
      <c r="D154" s="93">
        <v>0.5</v>
      </c>
      <c r="E154" s="94" t="s">
        <v>1010</v>
      </c>
      <c r="F154" s="95">
        <v>1</v>
      </c>
      <c r="G154" s="96" t="s">
        <v>1010</v>
      </c>
      <c r="H154" s="97" t="s">
        <v>1011</v>
      </c>
      <c r="I154" s="98"/>
      <c r="J154" s="95">
        <v>1</v>
      </c>
      <c r="K154" s="95">
        <v>154</v>
      </c>
      <c r="L154" s="95">
        <v>128</v>
      </c>
      <c r="M154" s="21"/>
      <c r="N154" s="21"/>
    </row>
    <row r="155" spans="1:14" ht="13">
      <c r="A155" s="48" t="s">
        <v>58</v>
      </c>
      <c r="B155" s="93">
        <v>0.01</v>
      </c>
      <c r="C155" s="94" t="s">
        <v>365</v>
      </c>
      <c r="D155" s="93">
        <v>0.25</v>
      </c>
      <c r="E155" s="94" t="s">
        <v>1012</v>
      </c>
      <c r="F155" s="95">
        <v>1</v>
      </c>
      <c r="G155" s="96" t="s">
        <v>1012</v>
      </c>
      <c r="H155" s="97" t="s">
        <v>1013</v>
      </c>
      <c r="I155" s="98"/>
      <c r="J155" s="95">
        <v>1</v>
      </c>
      <c r="K155" s="99">
        <v>155</v>
      </c>
      <c r="L155" s="99">
        <v>129</v>
      </c>
      <c r="M155" s="28"/>
      <c r="N155" s="28"/>
    </row>
    <row r="156" spans="1:14" ht="13">
      <c r="A156" s="16" t="s">
        <v>80</v>
      </c>
      <c r="B156" s="93">
        <v>0.05</v>
      </c>
      <c r="C156" s="94" t="s">
        <v>246</v>
      </c>
      <c r="D156" s="93">
        <v>0.11</v>
      </c>
      <c r="E156" s="94" t="s">
        <v>1014</v>
      </c>
      <c r="F156" s="95">
        <v>1</v>
      </c>
      <c r="G156" s="96" t="s">
        <v>1014</v>
      </c>
      <c r="H156" s="97" t="s">
        <v>1015</v>
      </c>
      <c r="I156" s="98"/>
      <c r="J156" s="95">
        <v>1</v>
      </c>
      <c r="K156" s="95">
        <v>156</v>
      </c>
      <c r="L156" s="95">
        <v>130</v>
      </c>
      <c r="M156" s="21"/>
      <c r="N156" s="21"/>
    </row>
    <row r="157" spans="1:14" ht="13">
      <c r="A157" s="48" t="s">
        <v>80</v>
      </c>
      <c r="B157" s="93">
        <v>0.05</v>
      </c>
      <c r="C157" s="94" t="s">
        <v>246</v>
      </c>
      <c r="D157" s="93">
        <v>0.11</v>
      </c>
      <c r="E157" s="94" t="s">
        <v>1017</v>
      </c>
      <c r="F157" s="95">
        <v>1</v>
      </c>
      <c r="G157" s="96" t="s">
        <v>1017</v>
      </c>
      <c r="H157" s="97" t="s">
        <v>1019</v>
      </c>
      <c r="I157" s="98"/>
      <c r="J157" s="95">
        <v>1</v>
      </c>
      <c r="K157" s="99">
        <v>157</v>
      </c>
      <c r="L157" s="99">
        <v>131</v>
      </c>
      <c r="M157" s="28"/>
      <c r="N157" s="28"/>
    </row>
    <row r="158" spans="1:14" ht="13">
      <c r="A158" s="16" t="s">
        <v>58</v>
      </c>
      <c r="B158" s="93">
        <v>0.01</v>
      </c>
      <c r="C158" s="94" t="s">
        <v>349</v>
      </c>
      <c r="D158" s="93">
        <v>0.11</v>
      </c>
      <c r="E158" s="94" t="s">
        <v>1024</v>
      </c>
      <c r="F158" s="95">
        <v>1</v>
      </c>
      <c r="G158" s="96" t="s">
        <v>1024</v>
      </c>
      <c r="H158" s="97" t="s">
        <v>1025</v>
      </c>
      <c r="I158" s="98"/>
      <c r="J158" s="95">
        <v>1</v>
      </c>
      <c r="K158" s="95">
        <v>158</v>
      </c>
      <c r="L158" s="95">
        <v>132</v>
      </c>
      <c r="M158" s="21"/>
      <c r="N158" s="21"/>
    </row>
    <row r="159" spans="1:14" ht="13">
      <c r="A159" s="48" t="s">
        <v>80</v>
      </c>
      <c r="B159" s="93">
        <v>0.05</v>
      </c>
      <c r="C159" s="94" t="s">
        <v>331</v>
      </c>
      <c r="D159" s="93">
        <v>0.2</v>
      </c>
      <c r="E159" s="94" t="s">
        <v>1027</v>
      </c>
      <c r="F159" s="95">
        <v>1</v>
      </c>
      <c r="G159" s="96" t="s">
        <v>1027</v>
      </c>
      <c r="H159" s="97" t="s">
        <v>1028</v>
      </c>
      <c r="I159" s="98"/>
      <c r="J159" s="95">
        <v>1</v>
      </c>
      <c r="K159" s="99">
        <v>159</v>
      </c>
      <c r="L159" s="99">
        <v>133</v>
      </c>
      <c r="M159" s="28"/>
      <c r="N159" s="28"/>
    </row>
    <row r="160" spans="1:14" ht="13">
      <c r="A160" s="16" t="s">
        <v>80</v>
      </c>
      <c r="B160" s="93">
        <v>0.05</v>
      </c>
      <c r="C160" s="94" t="s">
        <v>314</v>
      </c>
      <c r="D160" s="93">
        <v>1</v>
      </c>
      <c r="E160" s="94" t="s">
        <v>1029</v>
      </c>
      <c r="F160" s="95">
        <v>1</v>
      </c>
      <c r="G160" s="96" t="s">
        <v>1029</v>
      </c>
      <c r="H160" s="97" t="s">
        <v>1030</v>
      </c>
      <c r="I160" s="98"/>
      <c r="J160" s="95">
        <v>1</v>
      </c>
      <c r="K160" s="95">
        <v>160</v>
      </c>
      <c r="L160" s="95">
        <v>134</v>
      </c>
      <c r="M160" s="21"/>
      <c r="N160" s="21"/>
    </row>
    <row r="161" spans="1:14" ht="13">
      <c r="A161" s="48" t="s">
        <v>58</v>
      </c>
      <c r="B161" s="93">
        <v>0.01</v>
      </c>
      <c r="C161" s="94" t="s">
        <v>331</v>
      </c>
      <c r="D161" s="93">
        <v>0.2</v>
      </c>
      <c r="E161" s="94" t="s">
        <v>1033</v>
      </c>
      <c r="F161" s="95">
        <v>1</v>
      </c>
      <c r="G161" s="96" t="s">
        <v>1033</v>
      </c>
      <c r="H161" s="97" t="s">
        <v>1034</v>
      </c>
      <c r="I161" s="98"/>
      <c r="J161" s="95">
        <v>1</v>
      </c>
      <c r="K161" s="99">
        <v>161</v>
      </c>
      <c r="L161" s="99">
        <v>135</v>
      </c>
      <c r="M161" s="28"/>
      <c r="N161" s="28"/>
    </row>
    <row r="162" spans="1:14" ht="13">
      <c r="A162" s="16" t="s">
        <v>64</v>
      </c>
      <c r="B162" s="93">
        <v>0.02</v>
      </c>
      <c r="C162" s="94" t="s">
        <v>73</v>
      </c>
      <c r="D162" s="93">
        <v>0.02</v>
      </c>
      <c r="E162" s="94" t="s">
        <v>1036</v>
      </c>
      <c r="F162" s="95">
        <v>1</v>
      </c>
      <c r="G162" s="96" t="s">
        <v>1036</v>
      </c>
      <c r="H162" s="97" t="s">
        <v>1037</v>
      </c>
      <c r="I162" s="98"/>
      <c r="J162" s="95">
        <v>1</v>
      </c>
      <c r="K162" s="95">
        <v>162</v>
      </c>
      <c r="L162" s="95">
        <v>136</v>
      </c>
      <c r="M162" s="21"/>
      <c r="N162" s="21"/>
    </row>
    <row r="163" spans="1:14" ht="13">
      <c r="A163" s="48" t="s">
        <v>80</v>
      </c>
      <c r="B163" s="93">
        <v>0.05</v>
      </c>
      <c r="C163" s="94" t="s">
        <v>246</v>
      </c>
      <c r="D163" s="93">
        <v>0.11</v>
      </c>
      <c r="E163" s="94" t="s">
        <v>1038</v>
      </c>
      <c r="F163" s="95">
        <v>1</v>
      </c>
      <c r="G163" s="96" t="s">
        <v>1038</v>
      </c>
      <c r="H163" s="97" t="s">
        <v>1039</v>
      </c>
      <c r="I163" s="98"/>
      <c r="J163" s="95">
        <v>1</v>
      </c>
      <c r="K163" s="99">
        <v>163</v>
      </c>
      <c r="L163" s="99">
        <v>138</v>
      </c>
      <c r="M163" s="28"/>
      <c r="N163" s="28"/>
    </row>
    <row r="164" spans="1:14" ht="13">
      <c r="A164" s="16" t="s">
        <v>80</v>
      </c>
      <c r="B164" s="93">
        <v>0.05</v>
      </c>
      <c r="C164" s="94" t="s">
        <v>246</v>
      </c>
      <c r="D164" s="93">
        <v>0.11</v>
      </c>
      <c r="E164" s="94" t="s">
        <v>1043</v>
      </c>
      <c r="F164" s="95">
        <v>1</v>
      </c>
      <c r="G164" s="96" t="s">
        <v>1043</v>
      </c>
      <c r="H164" s="97" t="s">
        <v>1046</v>
      </c>
      <c r="I164" s="98"/>
      <c r="J164" s="95">
        <v>1</v>
      </c>
      <c r="K164" s="95">
        <v>164</v>
      </c>
      <c r="L164" s="95">
        <v>139</v>
      </c>
      <c r="M164" s="21"/>
      <c r="N164" s="21"/>
    </row>
    <row r="165" spans="1:14" ht="13">
      <c r="A165" s="48" t="s">
        <v>80</v>
      </c>
      <c r="B165" s="93">
        <v>0.05</v>
      </c>
      <c r="C165" s="94" t="s">
        <v>246</v>
      </c>
      <c r="D165" s="93">
        <v>0.11</v>
      </c>
      <c r="E165" s="94" t="s">
        <v>1049</v>
      </c>
      <c r="F165" s="95">
        <v>1</v>
      </c>
      <c r="G165" s="96" t="s">
        <v>1049</v>
      </c>
      <c r="H165" s="97" t="s">
        <v>1051</v>
      </c>
      <c r="I165" s="98"/>
      <c r="J165" s="95">
        <v>1</v>
      </c>
      <c r="K165" s="99">
        <v>165</v>
      </c>
      <c r="L165" s="99">
        <v>140</v>
      </c>
      <c r="M165" s="28"/>
      <c r="N165" s="28"/>
    </row>
    <row r="166" spans="1:14" ht="13">
      <c r="A166" s="16" t="s">
        <v>58</v>
      </c>
      <c r="B166" s="93">
        <v>0.01</v>
      </c>
      <c r="C166" s="94" t="s">
        <v>331</v>
      </c>
      <c r="D166" s="93">
        <v>0.2</v>
      </c>
      <c r="E166" s="94" t="s">
        <v>1056</v>
      </c>
      <c r="F166" s="95">
        <v>1</v>
      </c>
      <c r="G166" s="96" t="s">
        <v>1056</v>
      </c>
      <c r="H166" s="97" t="s">
        <v>1058</v>
      </c>
      <c r="I166" s="98"/>
      <c r="J166" s="95">
        <v>1</v>
      </c>
      <c r="K166" s="95">
        <v>166</v>
      </c>
      <c r="L166" s="95">
        <v>143</v>
      </c>
      <c r="M166" s="21"/>
      <c r="N166" s="21"/>
    </row>
    <row r="167" spans="1:14" ht="13">
      <c r="A167" s="48" t="s">
        <v>58</v>
      </c>
      <c r="B167" s="93">
        <v>0.01</v>
      </c>
      <c r="C167" s="94" t="s">
        <v>397</v>
      </c>
      <c r="D167" s="93">
        <v>0.13</v>
      </c>
      <c r="E167" s="94" t="s">
        <v>1067</v>
      </c>
      <c r="F167" s="95">
        <v>1</v>
      </c>
      <c r="G167" s="96" t="s">
        <v>1067</v>
      </c>
      <c r="H167" s="97" t="s">
        <v>1070</v>
      </c>
      <c r="I167" s="98"/>
      <c r="J167" s="95">
        <v>1</v>
      </c>
      <c r="K167" s="99">
        <v>167</v>
      </c>
      <c r="L167" s="99">
        <v>144</v>
      </c>
      <c r="M167" s="28"/>
      <c r="N167" s="28"/>
    </row>
    <row r="168" spans="1:14" ht="13">
      <c r="A168" s="16" t="s">
        <v>58</v>
      </c>
      <c r="B168" s="93">
        <v>0.01</v>
      </c>
      <c r="C168" s="94" t="s">
        <v>383</v>
      </c>
      <c r="D168" s="93">
        <v>0.33</v>
      </c>
      <c r="E168" s="94" t="s">
        <v>1075</v>
      </c>
      <c r="F168" s="95">
        <v>1</v>
      </c>
      <c r="G168" s="96" t="s">
        <v>1075</v>
      </c>
      <c r="H168" s="97" t="s">
        <v>1077</v>
      </c>
      <c r="I168" s="98"/>
      <c r="J168" s="95">
        <v>1</v>
      </c>
      <c r="K168" s="95">
        <v>168</v>
      </c>
      <c r="L168" s="95">
        <v>145</v>
      </c>
      <c r="M168" s="21"/>
      <c r="N168" s="21"/>
    </row>
    <row r="169" spans="1:14" ht="13">
      <c r="A169" s="48" t="s">
        <v>58</v>
      </c>
      <c r="B169" s="93">
        <v>0.01</v>
      </c>
      <c r="C169" s="94" t="s">
        <v>349</v>
      </c>
      <c r="D169" s="93">
        <v>0.11</v>
      </c>
      <c r="E169" s="94" t="s">
        <v>1082</v>
      </c>
      <c r="F169" s="95">
        <v>1</v>
      </c>
      <c r="G169" s="96" t="s">
        <v>1082</v>
      </c>
      <c r="H169" s="97" t="s">
        <v>1086</v>
      </c>
      <c r="I169" s="98"/>
      <c r="J169" s="95">
        <v>1</v>
      </c>
      <c r="K169" s="99">
        <v>169</v>
      </c>
      <c r="L169" s="99">
        <v>148</v>
      </c>
      <c r="M169" s="28"/>
      <c r="N169" s="28"/>
    </row>
    <row r="170" spans="1:14" ht="13">
      <c r="A170" s="16" t="s">
        <v>58</v>
      </c>
      <c r="B170" s="93">
        <v>0.01</v>
      </c>
      <c r="C170" s="94" t="s">
        <v>73</v>
      </c>
      <c r="D170" s="93">
        <v>0.02</v>
      </c>
      <c r="E170" s="94" t="s">
        <v>1094</v>
      </c>
      <c r="F170" s="95">
        <v>1</v>
      </c>
      <c r="G170" s="96" t="s">
        <v>1094</v>
      </c>
      <c r="H170" s="112" t="s">
        <v>1097</v>
      </c>
      <c r="I170" s="98"/>
      <c r="J170" s="95">
        <v>0</v>
      </c>
      <c r="K170" s="95">
        <v>170</v>
      </c>
      <c r="L170" s="95">
        <v>149</v>
      </c>
      <c r="M170" s="21"/>
      <c r="N170" s="21"/>
    </row>
    <row r="171" spans="1:14" ht="13">
      <c r="A171" s="48" t="s">
        <v>80</v>
      </c>
      <c r="B171" s="93">
        <v>0.05</v>
      </c>
      <c r="C171" s="94" t="s">
        <v>163</v>
      </c>
      <c r="D171" s="93">
        <v>1</v>
      </c>
      <c r="E171" s="94" t="s">
        <v>1114</v>
      </c>
      <c r="F171" s="95">
        <v>1</v>
      </c>
      <c r="G171" s="96" t="s">
        <v>1114</v>
      </c>
      <c r="H171" s="97" t="s">
        <v>1117</v>
      </c>
      <c r="I171" s="98"/>
      <c r="J171" s="95">
        <v>1</v>
      </c>
      <c r="K171" s="99">
        <v>171</v>
      </c>
      <c r="L171" s="99">
        <v>150</v>
      </c>
      <c r="M171" s="28"/>
      <c r="N171" s="28"/>
    </row>
    <row r="172" spans="1:14" ht="13">
      <c r="A172" s="16" t="s">
        <v>58</v>
      </c>
      <c r="B172" s="93">
        <v>0.01</v>
      </c>
      <c r="C172" s="94" t="s">
        <v>383</v>
      </c>
      <c r="D172" s="93">
        <v>0.33</v>
      </c>
      <c r="E172" s="94" t="s">
        <v>1128</v>
      </c>
      <c r="F172" s="95">
        <v>1</v>
      </c>
      <c r="G172" s="96" t="s">
        <v>1128</v>
      </c>
      <c r="H172" s="97" t="s">
        <v>1129</v>
      </c>
      <c r="I172" s="98"/>
      <c r="J172" s="95">
        <v>1</v>
      </c>
      <c r="K172" s="95">
        <v>172</v>
      </c>
      <c r="L172" s="95">
        <v>151</v>
      </c>
      <c r="M172" s="21"/>
      <c r="N172" s="21"/>
    </row>
    <row r="173" spans="1:14" ht="13">
      <c r="A173" s="48" t="s">
        <v>58</v>
      </c>
      <c r="B173" s="93">
        <v>0.01</v>
      </c>
      <c r="C173" s="94" t="s">
        <v>404</v>
      </c>
      <c r="D173" s="93">
        <v>0.14000000000000001</v>
      </c>
      <c r="E173" s="94" t="s">
        <v>1137</v>
      </c>
      <c r="F173" s="95">
        <v>1</v>
      </c>
      <c r="G173" s="96" t="s">
        <v>1137</v>
      </c>
      <c r="H173" s="97" t="s">
        <v>1140</v>
      </c>
      <c r="I173" s="98"/>
      <c r="J173" s="95">
        <v>1</v>
      </c>
      <c r="K173" s="99">
        <v>173</v>
      </c>
      <c r="L173" s="99">
        <v>152</v>
      </c>
      <c r="M173" s="28"/>
      <c r="N173" s="28"/>
    </row>
    <row r="174" spans="1:14" ht="13">
      <c r="A174" s="16" t="s">
        <v>58</v>
      </c>
      <c r="B174" s="93">
        <v>0.01</v>
      </c>
      <c r="C174" s="94" t="s">
        <v>383</v>
      </c>
      <c r="D174" s="93">
        <v>0.33</v>
      </c>
      <c r="E174" s="94" t="s">
        <v>1149</v>
      </c>
      <c r="F174" s="95">
        <v>1</v>
      </c>
      <c r="G174" s="96" t="s">
        <v>1149</v>
      </c>
      <c r="H174" s="97" t="s">
        <v>1151</v>
      </c>
      <c r="I174" s="98"/>
      <c r="J174" s="95">
        <v>1</v>
      </c>
      <c r="K174" s="95">
        <v>174</v>
      </c>
      <c r="L174" s="95">
        <v>153</v>
      </c>
      <c r="M174" s="21"/>
      <c r="N174" s="21"/>
    </row>
    <row r="175" spans="1:14" ht="13">
      <c r="A175" s="48" t="s">
        <v>58</v>
      </c>
      <c r="B175" s="93">
        <v>0.01</v>
      </c>
      <c r="C175" s="94" t="s">
        <v>375</v>
      </c>
      <c r="D175" s="93">
        <v>0.5</v>
      </c>
      <c r="E175" s="94" t="s">
        <v>1158</v>
      </c>
      <c r="F175" s="95">
        <v>1</v>
      </c>
      <c r="G175" s="96" t="s">
        <v>1158</v>
      </c>
      <c r="H175" s="97" t="s">
        <v>1162</v>
      </c>
      <c r="I175" s="98"/>
      <c r="J175" s="95">
        <v>1</v>
      </c>
      <c r="K175" s="99">
        <v>175</v>
      </c>
      <c r="L175" s="99">
        <v>154</v>
      </c>
      <c r="M175" s="28"/>
      <c r="N175" s="28"/>
    </row>
    <row r="176" spans="1:14" ht="13">
      <c r="A176" s="16" t="s">
        <v>80</v>
      </c>
      <c r="B176" s="93">
        <v>0.05</v>
      </c>
      <c r="C176" s="94" t="s">
        <v>311</v>
      </c>
      <c r="D176" s="93">
        <v>0.25</v>
      </c>
      <c r="E176" s="94" t="s">
        <v>1167</v>
      </c>
      <c r="F176" s="95">
        <v>1</v>
      </c>
      <c r="G176" s="96" t="s">
        <v>1167</v>
      </c>
      <c r="H176" s="97" t="s">
        <v>1169</v>
      </c>
      <c r="I176" s="98"/>
      <c r="J176" s="95">
        <v>1</v>
      </c>
      <c r="K176" s="95">
        <v>176</v>
      </c>
      <c r="L176" s="95">
        <v>155</v>
      </c>
      <c r="M176" s="21"/>
      <c r="N176" s="21"/>
    </row>
    <row r="177" spans="1:14" ht="13">
      <c r="A177" s="48" t="s">
        <v>64</v>
      </c>
      <c r="B177" s="93">
        <v>0.02</v>
      </c>
      <c r="C177" s="94" t="s">
        <v>73</v>
      </c>
      <c r="D177" s="93">
        <v>0.02</v>
      </c>
      <c r="E177" s="94" t="s">
        <v>1176</v>
      </c>
      <c r="F177" s="95">
        <v>1</v>
      </c>
      <c r="G177" s="96" t="s">
        <v>1176</v>
      </c>
      <c r="H177" s="97" t="s">
        <v>1178</v>
      </c>
      <c r="I177" s="98"/>
      <c r="J177" s="95">
        <v>1</v>
      </c>
      <c r="K177" s="99">
        <v>177</v>
      </c>
      <c r="L177" s="99">
        <v>156</v>
      </c>
      <c r="M177" s="28"/>
      <c r="N177" s="28"/>
    </row>
    <row r="178" spans="1:14" ht="13">
      <c r="A178" s="16" t="s">
        <v>58</v>
      </c>
      <c r="B178" s="93">
        <v>0.01</v>
      </c>
      <c r="C178" s="94" t="s">
        <v>368</v>
      </c>
      <c r="D178" s="93">
        <v>1</v>
      </c>
      <c r="E178" s="94" t="s">
        <v>1182</v>
      </c>
      <c r="F178" s="95">
        <v>1</v>
      </c>
      <c r="G178" s="96" t="s">
        <v>1182</v>
      </c>
      <c r="H178" s="97" t="s">
        <v>1184</v>
      </c>
      <c r="I178" s="98"/>
      <c r="J178" s="95">
        <v>0</v>
      </c>
      <c r="K178" s="95">
        <v>178</v>
      </c>
      <c r="L178" s="95">
        <v>158</v>
      </c>
      <c r="M178" s="21"/>
      <c r="N178" s="21"/>
    </row>
    <row r="179" spans="1:14" ht="13">
      <c r="A179" s="48" t="s">
        <v>58</v>
      </c>
      <c r="B179" s="93">
        <v>0.01</v>
      </c>
      <c r="C179" s="94" t="s">
        <v>395</v>
      </c>
      <c r="D179" s="93">
        <v>0.25</v>
      </c>
      <c r="E179" s="94" t="s">
        <v>1192</v>
      </c>
      <c r="F179" s="95">
        <v>1</v>
      </c>
      <c r="G179" s="96" t="s">
        <v>1192</v>
      </c>
      <c r="H179" s="97" t="s">
        <v>1193</v>
      </c>
      <c r="I179" s="98"/>
      <c r="J179" s="95">
        <v>1</v>
      </c>
      <c r="K179" s="99">
        <v>179</v>
      </c>
      <c r="L179" s="99">
        <v>160</v>
      </c>
      <c r="M179" s="28"/>
      <c r="N179" s="28"/>
    </row>
    <row r="180" spans="1:14" ht="13">
      <c r="A180" s="16" t="s">
        <v>80</v>
      </c>
      <c r="B180" s="93">
        <v>0.05</v>
      </c>
      <c r="C180" s="94" t="s">
        <v>311</v>
      </c>
      <c r="D180" s="93">
        <v>0.25</v>
      </c>
      <c r="E180" s="94" t="s">
        <v>1196</v>
      </c>
      <c r="F180" s="95">
        <v>1</v>
      </c>
      <c r="G180" s="96" t="s">
        <v>1196</v>
      </c>
      <c r="H180" s="97" t="s">
        <v>1198</v>
      </c>
      <c r="I180" s="98"/>
      <c r="J180" s="95">
        <v>1</v>
      </c>
      <c r="K180" s="95">
        <v>180</v>
      </c>
      <c r="L180" s="95">
        <v>161</v>
      </c>
      <c r="M180" s="21"/>
      <c r="N180" s="21"/>
    </row>
    <row r="181" spans="1:14" ht="13">
      <c r="A181" s="48" t="s">
        <v>64</v>
      </c>
      <c r="B181" s="93">
        <v>0.02</v>
      </c>
      <c r="C181" s="94" t="s">
        <v>73</v>
      </c>
      <c r="D181" s="93">
        <v>0.02</v>
      </c>
      <c r="E181" s="94" t="s">
        <v>1205</v>
      </c>
      <c r="F181" s="95">
        <v>1</v>
      </c>
      <c r="G181" s="96" t="s">
        <v>1205</v>
      </c>
      <c r="H181" s="97" t="s">
        <v>1206</v>
      </c>
      <c r="I181" s="98"/>
      <c r="J181" s="95">
        <v>1</v>
      </c>
      <c r="K181" s="99">
        <v>181</v>
      </c>
      <c r="L181" s="99">
        <v>163</v>
      </c>
      <c r="M181" s="28"/>
      <c r="N181" s="28"/>
    </row>
    <row r="182" spans="1:14" ht="13">
      <c r="A182" s="16" t="s">
        <v>56</v>
      </c>
      <c r="B182" s="93">
        <v>0.06</v>
      </c>
      <c r="C182" s="94" t="s">
        <v>384</v>
      </c>
      <c r="D182" s="93">
        <v>0.5</v>
      </c>
      <c r="E182" s="94" t="s">
        <v>1211</v>
      </c>
      <c r="F182" s="95">
        <v>1</v>
      </c>
      <c r="G182" s="96" t="s">
        <v>1211</v>
      </c>
      <c r="H182" s="112" t="s">
        <v>1213</v>
      </c>
      <c r="I182" s="98"/>
      <c r="J182" s="95">
        <v>0</v>
      </c>
      <c r="K182" s="95">
        <v>182</v>
      </c>
      <c r="L182" s="95">
        <v>166</v>
      </c>
      <c r="M182" s="21"/>
      <c r="N182" s="21"/>
    </row>
    <row r="183" spans="1:14" ht="13">
      <c r="A183" s="48" t="s">
        <v>58</v>
      </c>
      <c r="B183" s="93">
        <v>0.01</v>
      </c>
      <c r="C183" s="94" t="s">
        <v>56</v>
      </c>
      <c r="D183" s="93">
        <v>0.2</v>
      </c>
      <c r="E183" s="94" t="s">
        <v>1220</v>
      </c>
      <c r="F183" s="95">
        <v>1</v>
      </c>
      <c r="G183" s="96" t="s">
        <v>1220</v>
      </c>
      <c r="H183" s="97" t="s">
        <v>1223</v>
      </c>
      <c r="I183" s="98"/>
      <c r="J183" s="95">
        <v>1</v>
      </c>
      <c r="K183" s="99">
        <v>183</v>
      </c>
      <c r="L183" s="99">
        <v>168</v>
      </c>
      <c r="M183" s="28"/>
      <c r="N183" s="28"/>
    </row>
    <row r="184" spans="1:14" ht="13">
      <c r="A184" s="16" t="s">
        <v>80</v>
      </c>
      <c r="B184" s="93">
        <v>0.05</v>
      </c>
      <c r="C184" s="94" t="s">
        <v>73</v>
      </c>
      <c r="D184" s="93">
        <v>0.02</v>
      </c>
      <c r="E184" s="94" t="s">
        <v>1226</v>
      </c>
      <c r="F184" s="95">
        <v>1</v>
      </c>
      <c r="G184" s="96" t="s">
        <v>1226</v>
      </c>
      <c r="H184" s="97" t="s">
        <v>1227</v>
      </c>
      <c r="I184" s="98"/>
      <c r="J184" s="95">
        <v>1</v>
      </c>
      <c r="K184" s="95">
        <v>184</v>
      </c>
      <c r="L184" s="95">
        <v>174</v>
      </c>
      <c r="M184" s="21"/>
      <c r="N184" s="21"/>
    </row>
    <row r="185" spans="1:14" ht="13">
      <c r="A185" s="48" t="s">
        <v>58</v>
      </c>
      <c r="B185" s="93">
        <v>0.01</v>
      </c>
      <c r="C185" s="94" t="s">
        <v>384</v>
      </c>
      <c r="D185" s="93">
        <v>0.5</v>
      </c>
      <c r="E185" s="94" t="s">
        <v>1234</v>
      </c>
      <c r="F185" s="95">
        <v>1</v>
      </c>
      <c r="G185" s="96" t="s">
        <v>1234</v>
      </c>
      <c r="H185" s="97" t="s">
        <v>1236</v>
      </c>
      <c r="I185" s="98"/>
      <c r="J185" s="95">
        <v>1</v>
      </c>
      <c r="K185" s="99">
        <v>185</v>
      </c>
      <c r="L185" s="99">
        <v>192</v>
      </c>
      <c r="M185" s="28"/>
      <c r="N185" s="28"/>
    </row>
    <row r="186" spans="1:14" ht="13">
      <c r="A186" s="16" t="s">
        <v>80</v>
      </c>
      <c r="B186" s="93">
        <v>0.05</v>
      </c>
      <c r="C186" s="94" t="s">
        <v>311</v>
      </c>
      <c r="D186" s="93">
        <v>0.25</v>
      </c>
      <c r="E186" s="94" t="s">
        <v>1246</v>
      </c>
      <c r="F186" s="95">
        <v>1</v>
      </c>
      <c r="G186" s="96" t="s">
        <v>1246</v>
      </c>
      <c r="H186" s="97" t="s">
        <v>1248</v>
      </c>
      <c r="I186" s="98"/>
      <c r="J186" s="95">
        <v>1</v>
      </c>
      <c r="K186" s="95">
        <v>186</v>
      </c>
      <c r="L186" s="95">
        <v>194</v>
      </c>
      <c r="M186" s="21"/>
      <c r="N186" s="21"/>
    </row>
    <row r="187" spans="1:14" ht="13">
      <c r="A187" s="48" t="s">
        <v>58</v>
      </c>
      <c r="B187" s="93">
        <v>0.01</v>
      </c>
      <c r="C187" s="94" t="s">
        <v>56</v>
      </c>
      <c r="D187" s="93">
        <v>0.2</v>
      </c>
      <c r="E187" s="94" t="s">
        <v>1259</v>
      </c>
      <c r="F187" s="95">
        <v>1</v>
      </c>
      <c r="G187" s="96" t="s">
        <v>1259</v>
      </c>
      <c r="H187" s="97" t="s">
        <v>1261</v>
      </c>
      <c r="I187" s="98"/>
      <c r="J187" s="95">
        <v>1</v>
      </c>
      <c r="K187" s="99">
        <v>187</v>
      </c>
      <c r="L187" s="99">
        <v>195</v>
      </c>
      <c r="M187" s="28"/>
      <c r="N187" s="28"/>
    </row>
    <row r="188" spans="1:14" ht="13">
      <c r="A188" s="16" t="s">
        <v>58</v>
      </c>
      <c r="B188" s="93">
        <v>0.01</v>
      </c>
      <c r="C188" s="94" t="s">
        <v>56</v>
      </c>
      <c r="D188" s="93">
        <v>0.2</v>
      </c>
      <c r="E188" s="94" t="s">
        <v>1269</v>
      </c>
      <c r="F188" s="95">
        <v>1</v>
      </c>
      <c r="G188" s="96" t="s">
        <v>1269</v>
      </c>
      <c r="H188" s="97" t="s">
        <v>1270</v>
      </c>
      <c r="I188" s="98"/>
      <c r="J188" s="95">
        <v>1</v>
      </c>
      <c r="K188" s="95">
        <v>188</v>
      </c>
      <c r="L188" s="95">
        <v>196</v>
      </c>
      <c r="M188" s="21"/>
      <c r="N188" s="21"/>
    </row>
    <row r="189" spans="1:14" ht="13">
      <c r="A189" s="48" t="s">
        <v>80</v>
      </c>
      <c r="B189" s="93">
        <v>0.05</v>
      </c>
      <c r="C189" s="94" t="s">
        <v>322</v>
      </c>
      <c r="D189" s="93">
        <v>0.5</v>
      </c>
      <c r="E189" s="94" t="s">
        <v>1281</v>
      </c>
      <c r="F189" s="95">
        <v>1</v>
      </c>
      <c r="G189" s="96" t="s">
        <v>1281</v>
      </c>
      <c r="H189" s="97" t="s">
        <v>1283</v>
      </c>
      <c r="I189" s="98"/>
      <c r="J189" s="95">
        <v>1</v>
      </c>
      <c r="K189" s="99">
        <v>189</v>
      </c>
      <c r="L189" s="99">
        <v>197</v>
      </c>
      <c r="M189" s="28"/>
      <c r="N189" s="28"/>
    </row>
    <row r="190" spans="1:14" ht="13">
      <c r="A190" s="16" t="s">
        <v>58</v>
      </c>
      <c r="B190" s="93">
        <v>0.01</v>
      </c>
      <c r="C190" s="94" t="s">
        <v>391</v>
      </c>
      <c r="D190" s="93">
        <v>1</v>
      </c>
      <c r="E190" s="94" t="s">
        <v>1290</v>
      </c>
      <c r="F190" s="95">
        <v>1</v>
      </c>
      <c r="G190" s="96" t="s">
        <v>1290</v>
      </c>
      <c r="H190" s="97" t="s">
        <v>1292</v>
      </c>
      <c r="I190" s="98"/>
      <c r="J190" s="95">
        <v>1</v>
      </c>
      <c r="K190" s="95">
        <v>190</v>
      </c>
      <c r="L190" s="95">
        <v>198</v>
      </c>
      <c r="M190" s="21"/>
      <c r="N190" s="21"/>
    </row>
    <row r="191" spans="1:14" ht="13">
      <c r="A191" s="48" t="s">
        <v>58</v>
      </c>
      <c r="B191" s="93">
        <v>0.01</v>
      </c>
      <c r="C191" s="94" t="s">
        <v>397</v>
      </c>
      <c r="D191" s="93">
        <v>0.13</v>
      </c>
      <c r="E191" s="94" t="s">
        <v>1298</v>
      </c>
      <c r="F191" s="95">
        <v>1</v>
      </c>
      <c r="G191" s="96" t="s">
        <v>1298</v>
      </c>
      <c r="H191" s="97" t="s">
        <v>1300</v>
      </c>
      <c r="I191" s="98"/>
      <c r="J191" s="95">
        <v>1</v>
      </c>
      <c r="K191" s="99">
        <v>191</v>
      </c>
      <c r="L191" s="99">
        <v>199</v>
      </c>
      <c r="M191" s="28"/>
      <c r="N191" s="28"/>
    </row>
    <row r="192" spans="1:14" ht="13">
      <c r="A192" s="16" t="s">
        <v>80</v>
      </c>
      <c r="B192" s="93">
        <v>0.05</v>
      </c>
      <c r="C192" s="94" t="s">
        <v>331</v>
      </c>
      <c r="D192" s="93">
        <v>0.2</v>
      </c>
      <c r="E192" s="94" t="s">
        <v>1306</v>
      </c>
      <c r="F192" s="95">
        <v>1</v>
      </c>
      <c r="G192" s="96" t="s">
        <v>1306</v>
      </c>
      <c r="H192" s="97" t="s">
        <v>1308</v>
      </c>
      <c r="I192" s="98"/>
      <c r="J192" s="95">
        <v>1</v>
      </c>
      <c r="K192" s="95">
        <v>192</v>
      </c>
      <c r="L192" s="95">
        <v>202</v>
      </c>
      <c r="M192" s="21"/>
      <c r="N192" s="21"/>
    </row>
    <row r="193" spans="1:14" ht="13">
      <c r="A193" s="48" t="s">
        <v>80</v>
      </c>
      <c r="B193" s="93">
        <v>0.05</v>
      </c>
      <c r="C193" s="94" t="s">
        <v>246</v>
      </c>
      <c r="D193" s="93">
        <v>0.11</v>
      </c>
      <c r="E193" s="94" t="s">
        <v>1317</v>
      </c>
      <c r="F193" s="95">
        <v>1</v>
      </c>
      <c r="G193" s="96" t="s">
        <v>1317</v>
      </c>
      <c r="H193" s="97" t="s">
        <v>1318</v>
      </c>
      <c r="I193" s="98"/>
      <c r="J193" s="95">
        <v>1</v>
      </c>
      <c r="K193" s="99">
        <v>193</v>
      </c>
      <c r="L193" s="99">
        <v>203</v>
      </c>
      <c r="M193" s="28"/>
      <c r="N193" s="28"/>
    </row>
    <row r="194" spans="1:14" ht="13">
      <c r="A194" s="16" t="s">
        <v>80</v>
      </c>
      <c r="B194" s="93">
        <v>0.05</v>
      </c>
      <c r="C194" s="94" t="s">
        <v>322</v>
      </c>
      <c r="D194" s="93">
        <v>0.5</v>
      </c>
      <c r="E194" s="94" t="s">
        <v>1323</v>
      </c>
      <c r="F194" s="95">
        <v>1</v>
      </c>
      <c r="G194" s="96" t="s">
        <v>1323</v>
      </c>
      <c r="H194" s="97" t="s">
        <v>1324</v>
      </c>
      <c r="I194" s="98"/>
      <c r="J194" s="95">
        <v>1</v>
      </c>
      <c r="K194" s="95">
        <v>194</v>
      </c>
      <c r="L194" s="95">
        <v>204</v>
      </c>
      <c r="M194" s="21"/>
      <c r="N194" s="21"/>
    </row>
    <row r="195" spans="1:14" ht="13">
      <c r="A195" s="48" t="s">
        <v>58</v>
      </c>
      <c r="B195" s="93">
        <v>0.01</v>
      </c>
      <c r="C195" s="94" t="s">
        <v>393</v>
      </c>
      <c r="D195" s="93">
        <v>0.2</v>
      </c>
      <c r="E195" s="94" t="s">
        <v>1333</v>
      </c>
      <c r="F195" s="95">
        <v>1</v>
      </c>
      <c r="G195" s="96" t="s">
        <v>1333</v>
      </c>
      <c r="H195" s="97" t="s">
        <v>1335</v>
      </c>
      <c r="I195" s="98"/>
      <c r="J195" s="95">
        <v>1</v>
      </c>
      <c r="K195" s="99">
        <v>195</v>
      </c>
      <c r="L195" s="99">
        <v>205</v>
      </c>
      <c r="M195" s="28"/>
      <c r="N195" s="28"/>
    </row>
    <row r="196" spans="1:14" ht="13">
      <c r="A196" s="16" t="s">
        <v>58</v>
      </c>
      <c r="B196" s="93">
        <v>0.01</v>
      </c>
      <c r="C196" s="94" t="s">
        <v>411</v>
      </c>
      <c r="D196" s="93">
        <v>1</v>
      </c>
      <c r="E196" s="94" t="s">
        <v>1343</v>
      </c>
      <c r="F196" s="95">
        <v>1</v>
      </c>
      <c r="G196" s="96" t="s">
        <v>1343</v>
      </c>
      <c r="H196" s="97" t="s">
        <v>1344</v>
      </c>
      <c r="I196" s="98"/>
      <c r="J196" s="95">
        <v>1</v>
      </c>
      <c r="K196" s="95">
        <v>196</v>
      </c>
      <c r="L196" s="95">
        <v>206</v>
      </c>
      <c r="M196" s="21"/>
      <c r="N196" s="21"/>
    </row>
    <row r="197" spans="1:14" ht="13">
      <c r="A197" s="48" t="s">
        <v>58</v>
      </c>
      <c r="B197" s="93">
        <v>0.01</v>
      </c>
      <c r="C197" s="94" t="s">
        <v>404</v>
      </c>
      <c r="D197" s="93">
        <v>0.14000000000000001</v>
      </c>
      <c r="E197" s="94" t="s">
        <v>1352</v>
      </c>
      <c r="F197" s="95">
        <v>1</v>
      </c>
      <c r="G197" s="96" t="s">
        <v>1352</v>
      </c>
      <c r="H197" s="97" t="s">
        <v>1353</v>
      </c>
      <c r="I197" s="98"/>
      <c r="J197" s="95">
        <v>1</v>
      </c>
      <c r="K197" s="99">
        <v>197</v>
      </c>
      <c r="L197" s="99">
        <v>208</v>
      </c>
      <c r="M197" s="28"/>
      <c r="N197" s="28"/>
    </row>
    <row r="198" spans="1:14" ht="13">
      <c r="A198" s="16" t="s">
        <v>80</v>
      </c>
      <c r="B198" s="93">
        <v>0.05</v>
      </c>
      <c r="C198" s="94" t="s">
        <v>246</v>
      </c>
      <c r="D198" s="93">
        <v>0.11</v>
      </c>
      <c r="E198" s="94" t="s">
        <v>1359</v>
      </c>
      <c r="F198" s="95">
        <v>1</v>
      </c>
      <c r="G198" s="96" t="s">
        <v>1359</v>
      </c>
      <c r="H198" s="97" t="s">
        <v>1361</v>
      </c>
      <c r="I198" s="98"/>
      <c r="J198" s="95">
        <v>1</v>
      </c>
      <c r="K198" s="95">
        <v>198</v>
      </c>
      <c r="L198" s="95">
        <v>210</v>
      </c>
      <c r="M198" s="21"/>
      <c r="N198" s="21"/>
    </row>
    <row r="199" spans="1:14" ht="13">
      <c r="A199" s="48" t="s">
        <v>58</v>
      </c>
      <c r="B199" s="93">
        <v>0.01</v>
      </c>
      <c r="C199" s="94" t="s">
        <v>356</v>
      </c>
      <c r="D199" s="93">
        <v>1</v>
      </c>
      <c r="E199" s="94" t="s">
        <v>1369</v>
      </c>
      <c r="F199" s="95">
        <v>1</v>
      </c>
      <c r="G199" s="96" t="s">
        <v>1369</v>
      </c>
      <c r="H199" s="97" t="s">
        <v>1370</v>
      </c>
      <c r="I199" s="98"/>
      <c r="J199" s="95">
        <v>1</v>
      </c>
      <c r="K199" s="99">
        <v>199</v>
      </c>
      <c r="L199" s="99">
        <v>211</v>
      </c>
      <c r="M199" s="28"/>
      <c r="N199" s="28"/>
    </row>
    <row r="200" spans="1:14" ht="13">
      <c r="A200" s="16" t="s">
        <v>58</v>
      </c>
      <c r="B200" s="93">
        <v>0.01</v>
      </c>
      <c r="C200" s="94" t="s">
        <v>1374</v>
      </c>
      <c r="D200" s="93">
        <v>1</v>
      </c>
      <c r="E200" s="94" t="s">
        <v>1376</v>
      </c>
      <c r="F200" s="95">
        <v>1</v>
      </c>
      <c r="G200" s="96" t="s">
        <v>1376</v>
      </c>
      <c r="H200" s="97" t="s">
        <v>1378</v>
      </c>
      <c r="I200" s="98"/>
      <c r="J200" s="95">
        <v>1</v>
      </c>
      <c r="K200" s="95">
        <v>200</v>
      </c>
      <c r="L200" s="95">
        <v>212</v>
      </c>
      <c r="M200" s="21"/>
      <c r="N200" s="21"/>
    </row>
    <row r="201" spans="1:14" ht="13">
      <c r="A201" s="48" t="s">
        <v>56</v>
      </c>
      <c r="B201" s="93">
        <v>0.06</v>
      </c>
      <c r="C201" s="94" t="s">
        <v>412</v>
      </c>
      <c r="D201" s="93">
        <v>0.09</v>
      </c>
      <c r="E201" s="94" t="s">
        <v>1384</v>
      </c>
      <c r="F201" s="95">
        <v>1</v>
      </c>
      <c r="G201" s="96" t="s">
        <v>1384</v>
      </c>
      <c r="H201" s="97" t="s">
        <v>1386</v>
      </c>
      <c r="I201" s="98"/>
      <c r="J201" s="95">
        <v>1</v>
      </c>
      <c r="K201" s="99">
        <v>201</v>
      </c>
      <c r="L201" s="99">
        <v>213</v>
      </c>
      <c r="M201" s="28"/>
      <c r="N201" s="28"/>
    </row>
    <row r="202" spans="1:14" ht="13">
      <c r="A202" s="16" t="s">
        <v>92</v>
      </c>
      <c r="B202" s="93">
        <v>0.09</v>
      </c>
      <c r="C202" s="94" t="s">
        <v>412</v>
      </c>
      <c r="D202" s="93">
        <v>0.09</v>
      </c>
      <c r="E202" s="94" t="s">
        <v>1396</v>
      </c>
      <c r="F202" s="95">
        <v>1</v>
      </c>
      <c r="G202" s="96" t="s">
        <v>1396</v>
      </c>
      <c r="H202" s="97" t="s">
        <v>1398</v>
      </c>
      <c r="I202" s="98"/>
      <c r="J202" s="95">
        <v>1</v>
      </c>
      <c r="K202" s="95">
        <v>202</v>
      </c>
      <c r="L202" s="95">
        <v>214</v>
      </c>
      <c r="M202" s="21"/>
      <c r="N202" s="21"/>
    </row>
    <row r="203" spans="1:14" ht="13">
      <c r="A203" s="48" t="s">
        <v>80</v>
      </c>
      <c r="B203" s="93">
        <v>0.05</v>
      </c>
      <c r="C203" s="94" t="s">
        <v>246</v>
      </c>
      <c r="D203" s="93">
        <v>0.11</v>
      </c>
      <c r="E203" s="94" t="s">
        <v>1408</v>
      </c>
      <c r="F203" s="95">
        <v>1</v>
      </c>
      <c r="G203" s="96" t="s">
        <v>1408</v>
      </c>
      <c r="H203" s="97" t="s">
        <v>1410</v>
      </c>
      <c r="I203" s="98"/>
      <c r="J203" s="95">
        <v>1</v>
      </c>
      <c r="K203" s="99">
        <v>203</v>
      </c>
      <c r="L203" s="99">
        <v>216</v>
      </c>
      <c r="M203" s="28"/>
      <c r="N203" s="28"/>
    </row>
    <row r="204" spans="1:14" ht="13">
      <c r="A204" s="16" t="s">
        <v>58</v>
      </c>
      <c r="B204" s="93">
        <v>0.01</v>
      </c>
      <c r="C204" s="94" t="s">
        <v>365</v>
      </c>
      <c r="D204" s="93">
        <v>0.25</v>
      </c>
      <c r="E204" s="94" t="s">
        <v>642</v>
      </c>
      <c r="F204" s="95">
        <v>1</v>
      </c>
      <c r="G204" s="96" t="s">
        <v>642</v>
      </c>
      <c r="H204" s="97" t="s">
        <v>1419</v>
      </c>
      <c r="I204" s="98"/>
      <c r="J204" s="95">
        <v>1</v>
      </c>
      <c r="K204" s="95">
        <v>204</v>
      </c>
      <c r="L204" s="95">
        <v>217</v>
      </c>
      <c r="M204" s="21"/>
      <c r="N204" s="21"/>
    </row>
    <row r="205" spans="1:14" ht="13">
      <c r="A205" s="48" t="s">
        <v>80</v>
      </c>
      <c r="B205" s="93">
        <v>0.05</v>
      </c>
      <c r="C205" s="94" t="s">
        <v>246</v>
      </c>
      <c r="D205" s="93">
        <v>0.11</v>
      </c>
      <c r="E205" s="94" t="s">
        <v>1426</v>
      </c>
      <c r="F205" s="95">
        <v>1</v>
      </c>
      <c r="G205" s="96" t="s">
        <v>1426</v>
      </c>
      <c r="H205" s="97" t="s">
        <v>1428</v>
      </c>
      <c r="I205" s="98"/>
      <c r="J205" s="95">
        <v>1</v>
      </c>
      <c r="K205" s="99">
        <v>205</v>
      </c>
      <c r="L205" s="99">
        <v>218</v>
      </c>
      <c r="M205" s="28"/>
      <c r="N205" s="28"/>
    </row>
    <row r="206" spans="1:14" ht="13">
      <c r="A206" s="16" t="s">
        <v>80</v>
      </c>
      <c r="B206" s="93">
        <v>0.05</v>
      </c>
      <c r="C206" s="94" t="s">
        <v>311</v>
      </c>
      <c r="D206" s="93">
        <v>0.25</v>
      </c>
      <c r="E206" s="94" t="s">
        <v>1432</v>
      </c>
      <c r="F206" s="95">
        <v>1</v>
      </c>
      <c r="G206" s="96" t="s">
        <v>1432</v>
      </c>
      <c r="H206" s="97" t="s">
        <v>1433</v>
      </c>
      <c r="I206" s="98"/>
      <c r="J206" s="95">
        <v>1</v>
      </c>
      <c r="K206" s="95">
        <v>206</v>
      </c>
      <c r="L206" s="95">
        <v>219</v>
      </c>
      <c r="M206" s="21"/>
      <c r="N206" s="21"/>
    </row>
    <row r="207" spans="1:14" ht="13">
      <c r="A207" s="48" t="s">
        <v>58</v>
      </c>
      <c r="B207" s="93">
        <v>0.01</v>
      </c>
      <c r="C207" s="94" t="s">
        <v>395</v>
      </c>
      <c r="D207" s="93">
        <v>0.25</v>
      </c>
      <c r="E207" s="94" t="s">
        <v>1437</v>
      </c>
      <c r="F207" s="95">
        <v>1</v>
      </c>
      <c r="G207" s="96" t="s">
        <v>1437</v>
      </c>
      <c r="H207" s="97" t="s">
        <v>1439</v>
      </c>
      <c r="I207" s="98"/>
      <c r="J207" s="95">
        <v>1</v>
      </c>
      <c r="K207" s="99">
        <v>207</v>
      </c>
      <c r="L207" s="99">
        <v>221</v>
      </c>
      <c r="M207" s="28"/>
      <c r="N207" s="28"/>
    </row>
    <row r="208" spans="1:14" ht="13">
      <c r="A208" s="16" t="s">
        <v>58</v>
      </c>
      <c r="B208" s="93">
        <v>0.01</v>
      </c>
      <c r="C208" s="94" t="s">
        <v>395</v>
      </c>
      <c r="D208" s="93">
        <v>0.25</v>
      </c>
      <c r="E208" s="94" t="s">
        <v>936</v>
      </c>
      <c r="F208" s="95">
        <v>1</v>
      </c>
      <c r="G208" s="96" t="s">
        <v>936</v>
      </c>
      <c r="H208" s="97" t="s">
        <v>1447</v>
      </c>
      <c r="I208" s="98"/>
      <c r="J208" s="95">
        <v>9</v>
      </c>
      <c r="K208" s="95">
        <v>208</v>
      </c>
      <c r="L208" s="95">
        <v>229</v>
      </c>
      <c r="M208" s="21"/>
      <c r="N208" s="21"/>
    </row>
    <row r="209" spans="1:14" ht="13">
      <c r="A209" s="48" t="s">
        <v>64</v>
      </c>
      <c r="B209" s="93">
        <v>0.02</v>
      </c>
      <c r="C209" s="94" t="s">
        <v>73</v>
      </c>
      <c r="D209" s="93">
        <v>0.02</v>
      </c>
      <c r="E209" s="94" t="s">
        <v>1455</v>
      </c>
      <c r="F209" s="95">
        <v>1</v>
      </c>
      <c r="G209" s="96" t="s">
        <v>1455</v>
      </c>
      <c r="H209" s="97" t="s">
        <v>1458</v>
      </c>
      <c r="I209" s="98"/>
      <c r="J209" s="95">
        <v>1</v>
      </c>
      <c r="K209" s="99">
        <v>209</v>
      </c>
      <c r="L209" s="99">
        <v>230</v>
      </c>
      <c r="M209" s="28"/>
      <c r="N209" s="28"/>
    </row>
    <row r="210" spans="1:14" ht="13">
      <c r="A210" s="21"/>
      <c r="B210" s="115"/>
      <c r="C210" s="21"/>
      <c r="D210" s="115"/>
      <c r="E210" s="21"/>
      <c r="F210" s="21"/>
      <c r="G210" s="21"/>
      <c r="H210" s="21"/>
      <c r="I210" s="21"/>
      <c r="J210" s="21"/>
      <c r="K210" s="21"/>
      <c r="L210" s="21"/>
      <c r="M210" s="21"/>
      <c r="N210" s="21"/>
    </row>
    <row r="211" spans="1:14" ht="13">
      <c r="A211" s="28"/>
      <c r="B211" s="116"/>
      <c r="C211" s="28"/>
      <c r="D211" s="116"/>
      <c r="E211" s="28"/>
      <c r="F211" s="28"/>
      <c r="G211" s="28"/>
      <c r="H211" s="28"/>
      <c r="I211" s="28"/>
      <c r="J211" s="28"/>
      <c r="K211" s="28"/>
      <c r="L211" s="28"/>
      <c r="M211" s="28"/>
      <c r="N211" s="28"/>
    </row>
    <row r="212" spans="1:14" ht="13">
      <c r="A212" s="21"/>
      <c r="B212" s="115"/>
      <c r="C212" s="21"/>
      <c r="D212" s="115"/>
      <c r="E212" s="21"/>
      <c r="F212" s="21"/>
      <c r="G212" s="21"/>
      <c r="H212" s="21"/>
      <c r="I212" s="21"/>
      <c r="J212" s="21"/>
      <c r="K212" s="21"/>
      <c r="L212" s="21"/>
      <c r="M212" s="21"/>
      <c r="N212" s="21"/>
    </row>
    <row r="213" spans="1:14" ht="13">
      <c r="A213" s="28"/>
      <c r="B213" s="116"/>
      <c r="C213" s="28"/>
      <c r="D213" s="116"/>
      <c r="E213" s="28"/>
      <c r="F213" s="28"/>
      <c r="G213" s="28"/>
      <c r="H213" s="28"/>
      <c r="I213" s="28"/>
      <c r="J213" s="28"/>
      <c r="K213" s="28"/>
      <c r="L213" s="28"/>
      <c r="M213" s="28"/>
      <c r="N213" s="28"/>
    </row>
    <row r="214" spans="1:14" ht="13">
      <c r="A214" s="21"/>
      <c r="B214" s="115"/>
      <c r="C214" s="21"/>
      <c r="D214" s="115"/>
      <c r="E214" s="21"/>
      <c r="F214" s="21"/>
      <c r="G214" s="21"/>
      <c r="H214" s="21"/>
      <c r="I214" s="21"/>
      <c r="J214" s="21"/>
      <c r="K214" s="21"/>
      <c r="L214" s="21"/>
      <c r="M214" s="21"/>
      <c r="N214" s="21"/>
    </row>
    <row r="215" spans="1:14" ht="13">
      <c r="A215" s="28"/>
      <c r="B215" s="116"/>
      <c r="C215" s="28"/>
      <c r="D215" s="116"/>
      <c r="E215" s="28"/>
      <c r="F215" s="28"/>
      <c r="G215" s="28"/>
      <c r="H215" s="28"/>
      <c r="I215" s="28"/>
      <c r="J215" s="28"/>
      <c r="K215" s="28"/>
      <c r="L215" s="28"/>
      <c r="M215" s="28"/>
      <c r="N215" s="28"/>
    </row>
    <row r="216" spans="1:14" ht="13">
      <c r="A216" s="21"/>
      <c r="B216" s="115"/>
      <c r="C216" s="21"/>
      <c r="D216" s="115"/>
      <c r="E216" s="21"/>
      <c r="F216" s="21"/>
      <c r="G216" s="21"/>
      <c r="H216" s="21"/>
      <c r="I216" s="21"/>
      <c r="J216" s="21"/>
      <c r="K216" s="21"/>
      <c r="L216" s="21"/>
      <c r="M216" s="21"/>
      <c r="N216" s="21"/>
    </row>
    <row r="217" spans="1:14" ht="13">
      <c r="A217" s="28"/>
      <c r="B217" s="116"/>
      <c r="C217" s="28"/>
      <c r="D217" s="116"/>
      <c r="E217" s="28"/>
      <c r="F217" s="28"/>
      <c r="G217" s="28"/>
      <c r="H217" s="28"/>
      <c r="I217" s="28"/>
      <c r="J217" s="28"/>
      <c r="K217" s="28"/>
      <c r="L217" s="28"/>
      <c r="M217" s="28"/>
      <c r="N217" s="28"/>
    </row>
    <row r="218" spans="1:14" ht="13">
      <c r="A218" s="21"/>
      <c r="B218" s="115"/>
      <c r="C218" s="21"/>
      <c r="D218" s="115"/>
      <c r="E218" s="21"/>
      <c r="F218" s="21"/>
      <c r="G218" s="21"/>
      <c r="H218" s="21"/>
      <c r="I218" s="21"/>
      <c r="J218" s="21"/>
      <c r="K218" s="21"/>
      <c r="L218" s="21"/>
      <c r="M218" s="21"/>
      <c r="N218" s="21"/>
    </row>
    <row r="219" spans="1:14" ht="13">
      <c r="A219" s="28"/>
      <c r="B219" s="116"/>
      <c r="C219" s="28"/>
      <c r="D219" s="116"/>
      <c r="E219" s="28"/>
      <c r="F219" s="28"/>
      <c r="G219" s="28"/>
      <c r="H219" s="28"/>
      <c r="I219" s="28"/>
      <c r="J219" s="28"/>
      <c r="K219" s="28"/>
      <c r="L219" s="28"/>
      <c r="M219" s="28"/>
      <c r="N219" s="28"/>
    </row>
    <row r="220" spans="1:14" ht="13">
      <c r="A220" s="21"/>
      <c r="B220" s="115"/>
      <c r="C220" s="21"/>
      <c r="D220" s="115"/>
      <c r="E220" s="21"/>
      <c r="F220" s="21"/>
      <c r="G220" s="21"/>
      <c r="H220" s="21"/>
      <c r="I220" s="21"/>
      <c r="J220" s="21"/>
      <c r="K220" s="21"/>
      <c r="L220" s="21"/>
      <c r="M220" s="21"/>
      <c r="N220" s="21"/>
    </row>
    <row r="221" spans="1:14" ht="13">
      <c r="A221" s="28"/>
      <c r="B221" s="116"/>
      <c r="C221" s="28"/>
      <c r="D221" s="116"/>
      <c r="E221" s="28"/>
      <c r="F221" s="28"/>
      <c r="G221" s="28"/>
      <c r="H221" s="28"/>
      <c r="I221" s="28"/>
      <c r="J221" s="28"/>
      <c r="K221" s="28"/>
      <c r="L221" s="28"/>
      <c r="M221" s="28"/>
      <c r="N221" s="28"/>
    </row>
    <row r="222" spans="1:14" ht="13">
      <c r="A222" s="21"/>
      <c r="B222" s="115"/>
      <c r="C222" s="21"/>
      <c r="D222" s="115"/>
      <c r="E222" s="21"/>
      <c r="F222" s="21"/>
      <c r="G222" s="21"/>
      <c r="H222" s="21"/>
      <c r="I222" s="21"/>
      <c r="J222" s="21"/>
      <c r="K222" s="21"/>
      <c r="L222" s="21"/>
      <c r="M222" s="21"/>
      <c r="N222" s="21"/>
    </row>
    <row r="223" spans="1:14" ht="13">
      <c r="A223" s="28"/>
      <c r="B223" s="116"/>
      <c r="C223" s="28"/>
      <c r="D223" s="116"/>
      <c r="E223" s="28"/>
      <c r="F223" s="28"/>
      <c r="G223" s="28"/>
      <c r="H223" s="28"/>
      <c r="I223" s="28"/>
      <c r="J223" s="28"/>
      <c r="K223" s="28"/>
      <c r="L223" s="28"/>
      <c r="M223" s="28"/>
      <c r="N223" s="28"/>
    </row>
    <row r="224" spans="1:14" ht="13">
      <c r="A224" s="21"/>
      <c r="B224" s="115"/>
      <c r="C224" s="21"/>
      <c r="D224" s="115"/>
      <c r="E224" s="21"/>
      <c r="F224" s="21"/>
      <c r="G224" s="21"/>
      <c r="H224" s="21"/>
      <c r="I224" s="21"/>
      <c r="J224" s="21"/>
      <c r="K224" s="21"/>
      <c r="L224" s="21"/>
      <c r="M224" s="21"/>
      <c r="N224" s="21"/>
    </row>
    <row r="225" spans="1:14" ht="13">
      <c r="A225" s="28"/>
      <c r="B225" s="116"/>
      <c r="C225" s="28"/>
      <c r="D225" s="116"/>
      <c r="E225" s="28"/>
      <c r="F225" s="28"/>
      <c r="G225" s="28"/>
      <c r="H225" s="28"/>
      <c r="I225" s="28"/>
      <c r="J225" s="28"/>
      <c r="K225" s="28"/>
      <c r="L225" s="28"/>
      <c r="M225" s="28"/>
      <c r="N225" s="28"/>
    </row>
    <row r="226" spans="1:14" ht="13">
      <c r="A226" s="21"/>
      <c r="B226" s="115"/>
      <c r="C226" s="21"/>
      <c r="D226" s="115"/>
      <c r="E226" s="21"/>
      <c r="F226" s="21"/>
      <c r="G226" s="21"/>
      <c r="H226" s="21"/>
      <c r="I226" s="21"/>
      <c r="J226" s="21"/>
      <c r="K226" s="21"/>
      <c r="L226" s="21"/>
      <c r="M226" s="21"/>
      <c r="N226" s="21"/>
    </row>
    <row r="227" spans="1:14" ht="13">
      <c r="A227" s="28"/>
      <c r="B227" s="116"/>
      <c r="C227" s="28"/>
      <c r="D227" s="116"/>
      <c r="E227" s="28"/>
      <c r="F227" s="28"/>
      <c r="G227" s="28"/>
      <c r="H227" s="28"/>
      <c r="I227" s="28"/>
      <c r="J227" s="28"/>
      <c r="K227" s="28"/>
      <c r="L227" s="28"/>
      <c r="M227" s="28"/>
      <c r="N227" s="28"/>
    </row>
    <row r="228" spans="1:14" ht="13">
      <c r="A228" s="21"/>
      <c r="B228" s="115"/>
      <c r="C228" s="21"/>
      <c r="D228" s="115"/>
      <c r="E228" s="21"/>
      <c r="F228" s="21"/>
      <c r="G228" s="21"/>
      <c r="H228" s="21"/>
      <c r="I228" s="21"/>
      <c r="J228" s="21"/>
      <c r="K228" s="21"/>
      <c r="L228" s="21"/>
      <c r="M228" s="21"/>
      <c r="N228" s="21"/>
    </row>
    <row r="229" spans="1:14" ht="13">
      <c r="A229" s="28"/>
      <c r="B229" s="116"/>
      <c r="C229" s="28"/>
      <c r="D229" s="116"/>
      <c r="E229" s="28"/>
      <c r="F229" s="28"/>
      <c r="G229" s="28"/>
      <c r="H229" s="28"/>
      <c r="I229" s="28"/>
      <c r="J229" s="28"/>
      <c r="K229" s="28"/>
      <c r="L229" s="28"/>
      <c r="M229" s="28"/>
      <c r="N229" s="28"/>
    </row>
    <row r="230" spans="1:14" ht="13">
      <c r="A230" s="21"/>
      <c r="B230" s="115"/>
      <c r="C230" s="21"/>
      <c r="D230" s="115"/>
      <c r="E230" s="21"/>
      <c r="F230" s="21"/>
      <c r="G230" s="21"/>
      <c r="H230" s="21"/>
      <c r="I230" s="21"/>
      <c r="J230" s="21"/>
      <c r="K230" s="21"/>
      <c r="L230" s="21"/>
      <c r="M230" s="21"/>
      <c r="N230" s="21"/>
    </row>
    <row r="231" spans="1:14" ht="13">
      <c r="A231" s="28"/>
      <c r="B231" s="116"/>
      <c r="C231" s="28"/>
      <c r="D231" s="116"/>
      <c r="E231" s="28"/>
      <c r="F231" s="28"/>
      <c r="G231" s="28"/>
      <c r="H231" s="28"/>
      <c r="I231" s="28"/>
      <c r="J231" s="28"/>
      <c r="K231" s="28"/>
      <c r="L231" s="28"/>
      <c r="M231" s="28"/>
      <c r="N231" s="28"/>
    </row>
    <row r="232" spans="1:14" ht="13">
      <c r="A232" s="21"/>
      <c r="B232" s="115"/>
      <c r="C232" s="21"/>
      <c r="D232" s="115"/>
      <c r="E232" s="21"/>
      <c r="F232" s="21"/>
      <c r="G232" s="21"/>
      <c r="H232" s="21"/>
      <c r="I232" s="21"/>
      <c r="J232" s="21"/>
      <c r="K232" s="21"/>
      <c r="L232" s="21"/>
      <c r="M232" s="21"/>
      <c r="N232" s="21"/>
    </row>
    <row r="233" spans="1:14" ht="13">
      <c r="A233" s="28"/>
      <c r="B233" s="116"/>
      <c r="C233" s="28"/>
      <c r="D233" s="116"/>
      <c r="E233" s="28"/>
      <c r="F233" s="28"/>
      <c r="G233" s="28"/>
      <c r="H233" s="28"/>
      <c r="I233" s="28"/>
      <c r="J233" s="28"/>
      <c r="K233" s="28"/>
      <c r="L233" s="28"/>
      <c r="M233" s="28"/>
      <c r="N233" s="28"/>
    </row>
    <row r="234" spans="1:14" ht="13">
      <c r="A234" s="21"/>
      <c r="B234" s="115"/>
      <c r="C234" s="21"/>
      <c r="D234" s="115"/>
      <c r="E234" s="21"/>
      <c r="F234" s="21"/>
      <c r="G234" s="21"/>
      <c r="H234" s="21"/>
      <c r="I234" s="21"/>
      <c r="J234" s="21"/>
      <c r="K234" s="21"/>
      <c r="L234" s="21"/>
      <c r="M234" s="21"/>
      <c r="N234" s="21"/>
    </row>
    <row r="235" spans="1:14" ht="13">
      <c r="A235" s="28"/>
      <c r="B235" s="116"/>
      <c r="C235" s="28"/>
      <c r="D235" s="116"/>
      <c r="E235" s="28"/>
      <c r="F235" s="28"/>
      <c r="G235" s="28"/>
      <c r="H235" s="28"/>
      <c r="I235" s="28"/>
      <c r="J235" s="28"/>
      <c r="K235" s="28"/>
      <c r="L235" s="28"/>
      <c r="M235" s="28"/>
      <c r="N235" s="28"/>
    </row>
    <row r="236" spans="1:14" ht="13">
      <c r="A236" s="21"/>
      <c r="B236" s="115"/>
      <c r="C236" s="21"/>
      <c r="D236" s="115"/>
      <c r="E236" s="21"/>
      <c r="F236" s="21"/>
      <c r="G236" s="21"/>
      <c r="H236" s="21"/>
      <c r="I236" s="21"/>
      <c r="J236" s="21"/>
      <c r="K236" s="21"/>
      <c r="L236" s="21"/>
      <c r="M236" s="21"/>
      <c r="N236" s="21"/>
    </row>
    <row r="237" spans="1:14" ht="13">
      <c r="A237" s="28"/>
      <c r="B237" s="116"/>
      <c r="C237" s="28"/>
      <c r="D237" s="116"/>
      <c r="E237" s="28"/>
      <c r="F237" s="28"/>
      <c r="G237" s="28"/>
      <c r="H237" s="28"/>
      <c r="I237" s="28"/>
      <c r="J237" s="28"/>
      <c r="K237" s="28"/>
      <c r="L237" s="28"/>
      <c r="M237" s="28"/>
      <c r="N237" s="28"/>
    </row>
    <row r="238" spans="1:14" ht="13">
      <c r="A238" s="21"/>
      <c r="B238" s="115"/>
      <c r="C238" s="21"/>
      <c r="D238" s="115"/>
      <c r="E238" s="21"/>
      <c r="F238" s="21"/>
      <c r="G238" s="21"/>
      <c r="H238" s="21"/>
      <c r="I238" s="21"/>
      <c r="J238" s="21"/>
      <c r="K238" s="21"/>
      <c r="L238" s="21"/>
      <c r="M238" s="21"/>
      <c r="N238" s="21"/>
    </row>
    <row r="239" spans="1:14" ht="13">
      <c r="A239" s="28"/>
      <c r="B239" s="116"/>
      <c r="C239" s="28"/>
      <c r="D239" s="116"/>
      <c r="E239" s="28"/>
      <c r="F239" s="28"/>
      <c r="G239" s="28"/>
      <c r="H239" s="28"/>
      <c r="I239" s="28"/>
      <c r="J239" s="28"/>
      <c r="K239" s="28"/>
      <c r="L239" s="28"/>
      <c r="M239" s="28"/>
      <c r="N239" s="28"/>
    </row>
    <row r="240" spans="1:14" ht="13">
      <c r="A240" s="21"/>
      <c r="B240" s="115"/>
      <c r="C240" s="21"/>
      <c r="D240" s="115"/>
      <c r="E240" s="21"/>
      <c r="F240" s="21"/>
      <c r="G240" s="21"/>
      <c r="H240" s="21"/>
      <c r="I240" s="21"/>
      <c r="J240" s="21"/>
      <c r="K240" s="21"/>
      <c r="L240" s="21"/>
      <c r="M240" s="21"/>
      <c r="N240" s="21"/>
    </row>
    <row r="241" spans="1:14" ht="13">
      <c r="A241" s="28"/>
      <c r="B241" s="116"/>
      <c r="C241" s="28"/>
      <c r="D241" s="116"/>
      <c r="E241" s="28"/>
      <c r="F241" s="28"/>
      <c r="G241" s="28"/>
      <c r="H241" s="28"/>
      <c r="I241" s="28"/>
      <c r="J241" s="28"/>
      <c r="K241" s="28"/>
      <c r="L241" s="28"/>
      <c r="M241" s="28"/>
      <c r="N241" s="28"/>
    </row>
    <row r="242" spans="1:14" ht="13">
      <c r="A242" s="21"/>
      <c r="B242" s="115"/>
      <c r="C242" s="21"/>
      <c r="D242" s="115"/>
      <c r="E242" s="21"/>
      <c r="F242" s="21"/>
      <c r="G242" s="21"/>
      <c r="H242" s="21"/>
      <c r="I242" s="21"/>
      <c r="J242" s="21"/>
      <c r="K242" s="21"/>
      <c r="L242" s="21"/>
      <c r="M242" s="21"/>
      <c r="N242" s="21"/>
    </row>
    <row r="243" spans="1:14" ht="13">
      <c r="A243" s="28"/>
      <c r="B243" s="116"/>
      <c r="C243" s="28"/>
      <c r="D243" s="116"/>
      <c r="E243" s="28"/>
      <c r="F243" s="28"/>
      <c r="G243" s="28"/>
      <c r="H243" s="28"/>
      <c r="I243" s="28"/>
      <c r="J243" s="28"/>
      <c r="K243" s="28"/>
      <c r="L243" s="28"/>
      <c r="M243" s="28"/>
      <c r="N243" s="28"/>
    </row>
    <row r="244" spans="1:14" ht="13">
      <c r="A244" s="21"/>
      <c r="B244" s="115"/>
      <c r="C244" s="21"/>
      <c r="D244" s="115"/>
      <c r="E244" s="21"/>
      <c r="F244" s="21"/>
      <c r="G244" s="21"/>
      <c r="H244" s="21"/>
      <c r="I244" s="21"/>
      <c r="J244" s="21"/>
      <c r="K244" s="21"/>
      <c r="L244" s="21"/>
      <c r="M244" s="21"/>
      <c r="N244" s="21"/>
    </row>
    <row r="245" spans="1:14" ht="13">
      <c r="A245" s="28"/>
      <c r="B245" s="116"/>
      <c r="C245" s="28"/>
      <c r="D245" s="116"/>
      <c r="E245" s="28"/>
      <c r="F245" s="28"/>
      <c r="G245" s="28"/>
      <c r="H245" s="28"/>
      <c r="I245" s="28"/>
      <c r="J245" s="28"/>
      <c r="K245" s="28"/>
      <c r="L245" s="28"/>
      <c r="M245" s="28"/>
      <c r="N245" s="28"/>
    </row>
    <row r="246" spans="1:14" ht="13">
      <c r="A246" s="21"/>
      <c r="B246" s="115"/>
      <c r="C246" s="21"/>
      <c r="D246" s="115"/>
      <c r="E246" s="21"/>
      <c r="F246" s="21"/>
      <c r="G246" s="21"/>
      <c r="H246" s="21"/>
      <c r="I246" s="21"/>
      <c r="J246" s="21"/>
      <c r="K246" s="21"/>
      <c r="L246" s="21"/>
      <c r="M246" s="21"/>
      <c r="N246" s="21"/>
    </row>
    <row r="247" spans="1:14" ht="13">
      <c r="A247" s="28"/>
      <c r="B247" s="116"/>
      <c r="C247" s="28"/>
      <c r="D247" s="116"/>
      <c r="E247" s="28"/>
      <c r="F247" s="28"/>
      <c r="G247" s="28"/>
      <c r="H247" s="28"/>
      <c r="I247" s="28"/>
      <c r="J247" s="28"/>
      <c r="K247" s="28"/>
      <c r="L247" s="28"/>
      <c r="M247" s="28"/>
      <c r="N247" s="28"/>
    </row>
    <row r="248" spans="1:14" ht="13">
      <c r="A248" s="21"/>
      <c r="B248" s="115"/>
      <c r="C248" s="21"/>
      <c r="D248" s="115"/>
      <c r="E248" s="21"/>
      <c r="F248" s="21"/>
      <c r="G248" s="21"/>
      <c r="H248" s="21"/>
      <c r="I248" s="21"/>
      <c r="J248" s="21"/>
      <c r="K248" s="21"/>
      <c r="L248" s="21"/>
      <c r="M248" s="21"/>
      <c r="N248" s="21"/>
    </row>
    <row r="249" spans="1:14" ht="13">
      <c r="A249" s="28"/>
      <c r="B249" s="116"/>
      <c r="C249" s="28"/>
      <c r="D249" s="116"/>
      <c r="E249" s="28"/>
      <c r="F249" s="28"/>
      <c r="G249" s="28"/>
      <c r="H249" s="28"/>
      <c r="I249" s="28"/>
      <c r="J249" s="28"/>
      <c r="K249" s="28"/>
      <c r="L249" s="28"/>
      <c r="M249" s="28"/>
      <c r="N249" s="28"/>
    </row>
    <row r="250" spans="1:14" ht="13">
      <c r="A250" s="21"/>
      <c r="B250" s="115"/>
      <c r="C250" s="21"/>
      <c r="D250" s="115"/>
      <c r="E250" s="21"/>
      <c r="F250" s="21"/>
      <c r="G250" s="21"/>
      <c r="H250" s="21"/>
      <c r="I250" s="21"/>
      <c r="J250" s="21"/>
      <c r="K250" s="21"/>
      <c r="L250" s="21"/>
      <c r="M250" s="21"/>
      <c r="N250" s="21"/>
    </row>
    <row r="251" spans="1:14" ht="13">
      <c r="A251" s="28"/>
      <c r="B251" s="116"/>
      <c r="C251" s="28"/>
      <c r="D251" s="116"/>
      <c r="E251" s="28"/>
      <c r="F251" s="28"/>
      <c r="G251" s="28"/>
      <c r="H251" s="28"/>
      <c r="I251" s="28"/>
      <c r="J251" s="28"/>
      <c r="K251" s="28"/>
      <c r="L251" s="28"/>
      <c r="M251" s="28"/>
      <c r="N251" s="28"/>
    </row>
    <row r="252" spans="1:14" ht="13">
      <c r="A252" s="21"/>
      <c r="B252" s="115"/>
      <c r="C252" s="21"/>
      <c r="D252" s="115"/>
      <c r="E252" s="21"/>
      <c r="F252" s="21"/>
      <c r="G252" s="21"/>
      <c r="H252" s="21"/>
      <c r="I252" s="21"/>
      <c r="J252" s="21"/>
      <c r="K252" s="21"/>
      <c r="L252" s="21"/>
      <c r="M252" s="21"/>
      <c r="N252" s="21"/>
    </row>
    <row r="253" spans="1:14" ht="13">
      <c r="A253" s="28"/>
      <c r="B253" s="116"/>
      <c r="C253" s="28"/>
      <c r="D253" s="116"/>
      <c r="E253" s="28"/>
      <c r="F253" s="28"/>
      <c r="G253" s="28"/>
      <c r="H253" s="28"/>
      <c r="I253" s="28"/>
      <c r="J253" s="28"/>
      <c r="K253" s="28"/>
      <c r="L253" s="28"/>
      <c r="M253" s="28"/>
      <c r="N253" s="28"/>
    </row>
    <row r="254" spans="1:14" ht="13">
      <c r="A254" s="21"/>
      <c r="B254" s="115"/>
      <c r="C254" s="21"/>
      <c r="D254" s="115"/>
      <c r="E254" s="21"/>
      <c r="F254" s="21"/>
      <c r="G254" s="21"/>
      <c r="H254" s="21"/>
      <c r="I254" s="21"/>
      <c r="J254" s="21"/>
      <c r="K254" s="21"/>
      <c r="L254" s="21"/>
      <c r="M254" s="21"/>
      <c r="N254" s="21"/>
    </row>
    <row r="255" spans="1:14" ht="13">
      <c r="A255" s="28"/>
      <c r="B255" s="116"/>
      <c r="C255" s="28"/>
      <c r="D255" s="116"/>
      <c r="E255" s="28"/>
      <c r="F255" s="28"/>
      <c r="G255" s="28"/>
      <c r="H255" s="28"/>
      <c r="I255" s="28"/>
      <c r="J255" s="28"/>
      <c r="K255" s="28"/>
      <c r="L255" s="28"/>
      <c r="M255" s="28"/>
      <c r="N255" s="28"/>
    </row>
    <row r="256" spans="1:14" ht="13">
      <c r="A256" s="21"/>
      <c r="B256" s="115"/>
      <c r="C256" s="21"/>
      <c r="D256" s="115"/>
      <c r="E256" s="21"/>
      <c r="F256" s="21"/>
      <c r="G256" s="21"/>
      <c r="H256" s="21"/>
      <c r="I256" s="21"/>
      <c r="J256" s="21"/>
      <c r="K256" s="21"/>
      <c r="L256" s="21"/>
      <c r="M256" s="21"/>
      <c r="N256" s="21"/>
    </row>
    <row r="257" spans="1:14" ht="13">
      <c r="A257" s="28"/>
      <c r="B257" s="116"/>
      <c r="C257" s="28"/>
      <c r="D257" s="116"/>
      <c r="E257" s="28"/>
      <c r="F257" s="28"/>
      <c r="G257" s="28"/>
      <c r="H257" s="28"/>
      <c r="I257" s="28"/>
      <c r="J257" s="28"/>
      <c r="K257" s="28"/>
      <c r="L257" s="28"/>
      <c r="M257" s="28"/>
      <c r="N257" s="28"/>
    </row>
    <row r="258" spans="1:14" ht="13">
      <c r="A258" s="21"/>
      <c r="B258" s="115"/>
      <c r="C258" s="21"/>
      <c r="D258" s="115"/>
      <c r="E258" s="21"/>
      <c r="F258" s="21"/>
      <c r="G258" s="21"/>
      <c r="H258" s="21"/>
      <c r="I258" s="21"/>
      <c r="J258" s="21"/>
      <c r="K258" s="21"/>
      <c r="L258" s="21"/>
      <c r="M258" s="21"/>
      <c r="N258" s="21"/>
    </row>
    <row r="259" spans="1:14" ht="13">
      <c r="A259" s="28"/>
      <c r="B259" s="116"/>
      <c r="C259" s="28"/>
      <c r="D259" s="116"/>
      <c r="E259" s="28"/>
      <c r="F259" s="28"/>
      <c r="G259" s="28"/>
      <c r="H259" s="28"/>
      <c r="I259" s="28"/>
      <c r="J259" s="28"/>
      <c r="K259" s="28"/>
      <c r="L259" s="28"/>
      <c r="M259" s="28"/>
      <c r="N259" s="28"/>
    </row>
    <row r="260" spans="1:14" ht="13">
      <c r="A260" s="21"/>
      <c r="B260" s="115"/>
      <c r="C260" s="21"/>
      <c r="D260" s="115"/>
      <c r="E260" s="21"/>
      <c r="F260" s="21"/>
      <c r="G260" s="21"/>
      <c r="H260" s="21"/>
      <c r="I260" s="21"/>
      <c r="J260" s="21"/>
      <c r="K260" s="21"/>
      <c r="L260" s="21"/>
      <c r="M260" s="21"/>
      <c r="N260" s="21"/>
    </row>
    <row r="261" spans="1:14" ht="13">
      <c r="A261" s="28"/>
      <c r="B261" s="116"/>
      <c r="C261" s="28"/>
      <c r="D261" s="116"/>
      <c r="E261" s="28"/>
      <c r="F261" s="28"/>
      <c r="G261" s="28"/>
      <c r="H261" s="28"/>
      <c r="I261" s="28"/>
      <c r="J261" s="28"/>
      <c r="K261" s="28"/>
      <c r="L261" s="28"/>
      <c r="M261" s="28"/>
      <c r="N261" s="28"/>
    </row>
    <row r="262" spans="1:14" ht="13">
      <c r="A262" s="21"/>
      <c r="B262" s="115"/>
      <c r="C262" s="21"/>
      <c r="D262" s="115"/>
      <c r="E262" s="21"/>
      <c r="F262" s="21"/>
      <c r="G262" s="21"/>
      <c r="H262" s="21"/>
      <c r="I262" s="21"/>
      <c r="J262" s="21"/>
      <c r="K262" s="21"/>
      <c r="L262" s="21"/>
      <c r="M262" s="21"/>
      <c r="N262" s="21"/>
    </row>
    <row r="263" spans="1:14" ht="13">
      <c r="A263" s="28"/>
      <c r="B263" s="116"/>
      <c r="C263" s="28"/>
      <c r="D263" s="116"/>
      <c r="E263" s="28"/>
      <c r="F263" s="28"/>
      <c r="G263" s="28"/>
      <c r="H263" s="28"/>
      <c r="I263" s="28"/>
      <c r="J263" s="28"/>
      <c r="K263" s="28"/>
      <c r="L263" s="28"/>
      <c r="M263" s="28"/>
      <c r="N263" s="28"/>
    </row>
    <row r="264" spans="1:14" ht="13">
      <c r="A264" s="21"/>
      <c r="B264" s="115"/>
      <c r="C264" s="21"/>
      <c r="D264" s="115"/>
      <c r="E264" s="21"/>
      <c r="F264" s="21"/>
      <c r="G264" s="21"/>
      <c r="H264" s="21"/>
      <c r="I264" s="21"/>
      <c r="J264" s="21"/>
      <c r="K264" s="21"/>
      <c r="L264" s="21"/>
      <c r="M264" s="21"/>
      <c r="N264" s="21"/>
    </row>
    <row r="265" spans="1:14" ht="13">
      <c r="A265" s="28"/>
      <c r="B265" s="116"/>
      <c r="C265" s="28"/>
      <c r="D265" s="116"/>
      <c r="E265" s="28"/>
      <c r="F265" s="28"/>
      <c r="G265" s="28"/>
      <c r="H265" s="28"/>
      <c r="I265" s="28"/>
      <c r="J265" s="28"/>
      <c r="K265" s="28"/>
      <c r="L265" s="28"/>
      <c r="M265" s="28"/>
      <c r="N265" s="28"/>
    </row>
    <row r="266" spans="1:14" ht="13">
      <c r="A266" s="21"/>
      <c r="B266" s="115"/>
      <c r="C266" s="21"/>
      <c r="D266" s="115"/>
      <c r="E266" s="21"/>
      <c r="F266" s="21"/>
      <c r="G266" s="21"/>
      <c r="H266" s="21"/>
      <c r="I266" s="21"/>
      <c r="J266" s="21"/>
      <c r="K266" s="21"/>
      <c r="L266" s="21"/>
      <c r="M266" s="21"/>
      <c r="N266" s="21"/>
    </row>
    <row r="267" spans="1:14" ht="13">
      <c r="A267" s="28"/>
      <c r="B267" s="116"/>
      <c r="C267" s="28"/>
      <c r="D267" s="116"/>
      <c r="E267" s="28"/>
      <c r="F267" s="28"/>
      <c r="G267" s="28"/>
      <c r="H267" s="28"/>
      <c r="I267" s="28"/>
      <c r="J267" s="28"/>
      <c r="K267" s="28"/>
      <c r="L267" s="28"/>
      <c r="M267" s="28"/>
      <c r="N267" s="28"/>
    </row>
    <row r="268" spans="1:14" ht="13">
      <c r="A268" s="21"/>
      <c r="B268" s="115"/>
      <c r="C268" s="21"/>
      <c r="D268" s="115"/>
      <c r="E268" s="21"/>
      <c r="F268" s="21"/>
      <c r="G268" s="21"/>
      <c r="H268" s="21"/>
      <c r="I268" s="21"/>
      <c r="J268" s="21"/>
      <c r="K268" s="21"/>
      <c r="L268" s="21"/>
      <c r="M268" s="21"/>
      <c r="N268" s="21"/>
    </row>
    <row r="269" spans="1:14" ht="13">
      <c r="A269" s="28"/>
      <c r="B269" s="116"/>
      <c r="C269" s="28"/>
      <c r="D269" s="116"/>
      <c r="E269" s="28"/>
      <c r="F269" s="28"/>
      <c r="G269" s="28"/>
      <c r="H269" s="28"/>
      <c r="I269" s="28"/>
      <c r="J269" s="28"/>
      <c r="K269" s="28"/>
      <c r="L269" s="28"/>
      <c r="M269" s="28"/>
      <c r="N269" s="28"/>
    </row>
    <row r="270" spans="1:14" ht="13">
      <c r="A270" s="21"/>
      <c r="B270" s="115"/>
      <c r="C270" s="21"/>
      <c r="D270" s="115"/>
      <c r="E270" s="21"/>
      <c r="F270" s="21"/>
      <c r="G270" s="21"/>
      <c r="H270" s="21"/>
      <c r="I270" s="21"/>
      <c r="J270" s="21"/>
      <c r="K270" s="21"/>
      <c r="L270" s="21"/>
      <c r="M270" s="21"/>
      <c r="N270" s="21"/>
    </row>
    <row r="271" spans="1:14" ht="13">
      <c r="A271" s="28"/>
      <c r="B271" s="116"/>
      <c r="C271" s="28"/>
      <c r="D271" s="116"/>
      <c r="E271" s="28"/>
      <c r="F271" s="28"/>
      <c r="G271" s="28"/>
      <c r="H271" s="28"/>
      <c r="I271" s="28"/>
      <c r="J271" s="28"/>
      <c r="K271" s="28"/>
      <c r="L271" s="28"/>
      <c r="M271" s="28"/>
      <c r="N271" s="28"/>
    </row>
    <row r="272" spans="1:14" ht="13">
      <c r="A272" s="21"/>
      <c r="B272" s="115"/>
      <c r="C272" s="21"/>
      <c r="D272" s="115"/>
      <c r="E272" s="21"/>
      <c r="F272" s="21"/>
      <c r="G272" s="21"/>
      <c r="H272" s="21"/>
      <c r="I272" s="21"/>
      <c r="J272" s="21"/>
      <c r="K272" s="21"/>
      <c r="L272" s="21"/>
      <c r="M272" s="21"/>
      <c r="N272" s="21"/>
    </row>
    <row r="273" spans="1:14" ht="13">
      <c r="A273" s="28"/>
      <c r="B273" s="116"/>
      <c r="C273" s="28"/>
      <c r="D273" s="116"/>
      <c r="E273" s="28"/>
      <c r="F273" s="28"/>
      <c r="G273" s="28"/>
      <c r="H273" s="28"/>
      <c r="I273" s="28"/>
      <c r="J273" s="28"/>
      <c r="K273" s="28"/>
      <c r="L273" s="28"/>
      <c r="M273" s="28"/>
      <c r="N273" s="28"/>
    </row>
    <row r="274" spans="1:14" ht="13">
      <c r="A274" s="21"/>
      <c r="B274" s="115"/>
      <c r="C274" s="21"/>
      <c r="D274" s="115"/>
      <c r="E274" s="21"/>
      <c r="F274" s="21"/>
      <c r="G274" s="21"/>
      <c r="H274" s="21"/>
      <c r="I274" s="21"/>
      <c r="J274" s="21"/>
      <c r="K274" s="21"/>
      <c r="L274" s="21"/>
      <c r="M274" s="21"/>
      <c r="N274" s="21"/>
    </row>
    <row r="275" spans="1:14" ht="13">
      <c r="A275" s="28"/>
      <c r="B275" s="116"/>
      <c r="C275" s="28"/>
      <c r="D275" s="116"/>
      <c r="E275" s="28"/>
      <c r="F275" s="28"/>
      <c r="G275" s="28"/>
      <c r="H275" s="28"/>
      <c r="I275" s="28"/>
      <c r="J275" s="28"/>
      <c r="K275" s="28"/>
      <c r="L275" s="28"/>
      <c r="M275" s="28"/>
      <c r="N275" s="28"/>
    </row>
    <row r="276" spans="1:14" ht="13">
      <c r="A276" s="21"/>
      <c r="B276" s="115"/>
      <c r="C276" s="21"/>
      <c r="D276" s="115"/>
      <c r="E276" s="21"/>
      <c r="F276" s="21"/>
      <c r="G276" s="21"/>
      <c r="H276" s="21"/>
      <c r="I276" s="21"/>
      <c r="J276" s="21"/>
      <c r="K276" s="21"/>
      <c r="L276" s="21"/>
      <c r="M276" s="21"/>
      <c r="N276" s="21"/>
    </row>
    <row r="277" spans="1:14" ht="13">
      <c r="A277" s="28"/>
      <c r="B277" s="116"/>
      <c r="C277" s="28"/>
      <c r="D277" s="116"/>
      <c r="E277" s="28"/>
      <c r="F277" s="28"/>
      <c r="G277" s="28"/>
      <c r="H277" s="28"/>
      <c r="I277" s="28"/>
      <c r="J277" s="28"/>
      <c r="K277" s="28"/>
      <c r="L277" s="28"/>
      <c r="M277" s="28"/>
      <c r="N277" s="28"/>
    </row>
    <row r="278" spans="1:14" ht="13">
      <c r="A278" s="21"/>
      <c r="B278" s="115"/>
      <c r="C278" s="21"/>
      <c r="D278" s="115"/>
      <c r="E278" s="21"/>
      <c r="F278" s="21"/>
      <c r="G278" s="21"/>
      <c r="H278" s="21"/>
      <c r="I278" s="21"/>
      <c r="J278" s="21"/>
      <c r="K278" s="21"/>
      <c r="L278" s="21"/>
      <c r="M278" s="21"/>
      <c r="N278" s="21"/>
    </row>
    <row r="279" spans="1:14" ht="13">
      <c r="A279" s="28"/>
      <c r="B279" s="116"/>
      <c r="C279" s="28"/>
      <c r="D279" s="116"/>
      <c r="E279" s="28"/>
      <c r="F279" s="28"/>
      <c r="G279" s="28"/>
      <c r="H279" s="28"/>
      <c r="I279" s="28"/>
      <c r="J279" s="28"/>
      <c r="K279" s="28"/>
      <c r="L279" s="28"/>
      <c r="M279" s="28"/>
      <c r="N279" s="28"/>
    </row>
    <row r="280" spans="1:14" ht="13">
      <c r="A280" s="21"/>
      <c r="B280" s="115"/>
      <c r="C280" s="21"/>
      <c r="D280" s="115"/>
      <c r="E280" s="21"/>
      <c r="F280" s="21"/>
      <c r="G280" s="21"/>
      <c r="H280" s="21"/>
      <c r="I280" s="21"/>
      <c r="J280" s="21"/>
      <c r="K280" s="21"/>
      <c r="L280" s="21"/>
      <c r="M280" s="21"/>
      <c r="N280" s="21"/>
    </row>
    <row r="281" spans="1:14" ht="13">
      <c r="A281" s="28"/>
      <c r="B281" s="116"/>
      <c r="C281" s="28"/>
      <c r="D281" s="116"/>
      <c r="E281" s="28"/>
      <c r="F281" s="28"/>
      <c r="G281" s="28"/>
      <c r="H281" s="28"/>
      <c r="I281" s="28"/>
      <c r="J281" s="28"/>
      <c r="K281" s="28"/>
      <c r="L281" s="28"/>
      <c r="M281" s="28"/>
      <c r="N281" s="28"/>
    </row>
    <row r="282" spans="1:14" ht="13">
      <c r="A282" s="21"/>
      <c r="B282" s="115"/>
      <c r="C282" s="21"/>
      <c r="D282" s="115"/>
      <c r="E282" s="21"/>
      <c r="F282" s="21"/>
      <c r="G282" s="21"/>
      <c r="H282" s="21"/>
      <c r="I282" s="21"/>
      <c r="J282" s="21"/>
      <c r="K282" s="21"/>
      <c r="L282" s="21"/>
      <c r="M282" s="21"/>
      <c r="N282" s="21"/>
    </row>
    <row r="283" spans="1:14" ht="13">
      <c r="A283" s="28"/>
      <c r="B283" s="116"/>
      <c r="C283" s="28"/>
      <c r="D283" s="116"/>
      <c r="E283" s="28"/>
      <c r="F283" s="28"/>
      <c r="G283" s="28"/>
      <c r="H283" s="28"/>
      <c r="I283" s="28"/>
      <c r="J283" s="28"/>
      <c r="K283" s="28"/>
      <c r="L283" s="28"/>
      <c r="M283" s="28"/>
      <c r="N283" s="28"/>
    </row>
    <row r="284" spans="1:14" ht="13">
      <c r="A284" s="21"/>
      <c r="B284" s="115"/>
      <c r="C284" s="21"/>
      <c r="D284" s="115"/>
      <c r="E284" s="21"/>
      <c r="F284" s="21"/>
      <c r="G284" s="21"/>
      <c r="H284" s="21"/>
      <c r="I284" s="21"/>
      <c r="J284" s="21"/>
      <c r="K284" s="21"/>
      <c r="L284" s="21"/>
      <c r="M284" s="21"/>
      <c r="N284" s="21"/>
    </row>
    <row r="285" spans="1:14" ht="13">
      <c r="A285" s="28"/>
      <c r="B285" s="116"/>
      <c r="C285" s="28"/>
      <c r="D285" s="116"/>
      <c r="E285" s="28"/>
      <c r="F285" s="28"/>
      <c r="G285" s="28"/>
      <c r="H285" s="28"/>
      <c r="I285" s="28"/>
      <c r="J285" s="28"/>
      <c r="K285" s="28"/>
      <c r="L285" s="28"/>
      <c r="M285" s="28"/>
      <c r="N285" s="28"/>
    </row>
    <row r="286" spans="1:14" ht="13">
      <c r="A286" s="21"/>
      <c r="B286" s="115"/>
      <c r="C286" s="21"/>
      <c r="D286" s="115"/>
      <c r="E286" s="21"/>
      <c r="F286" s="21"/>
      <c r="G286" s="21"/>
      <c r="H286" s="21"/>
      <c r="I286" s="21"/>
      <c r="J286" s="21"/>
      <c r="K286" s="21"/>
      <c r="L286" s="21"/>
      <c r="M286" s="21"/>
      <c r="N286" s="21"/>
    </row>
    <row r="287" spans="1:14" ht="13">
      <c r="A287" s="28"/>
      <c r="B287" s="116"/>
      <c r="C287" s="28"/>
      <c r="D287" s="116"/>
      <c r="E287" s="28"/>
      <c r="F287" s="28"/>
      <c r="G287" s="28"/>
      <c r="H287" s="28"/>
      <c r="I287" s="28"/>
      <c r="J287" s="28"/>
      <c r="K287" s="28"/>
      <c r="L287" s="28"/>
      <c r="M287" s="28"/>
      <c r="N287" s="28"/>
    </row>
    <row r="288" spans="1:14" ht="13">
      <c r="A288" s="21"/>
      <c r="B288" s="115"/>
      <c r="C288" s="21"/>
      <c r="D288" s="115"/>
      <c r="E288" s="21"/>
      <c r="F288" s="21"/>
      <c r="G288" s="21"/>
      <c r="H288" s="21"/>
      <c r="I288" s="21"/>
      <c r="J288" s="21"/>
      <c r="K288" s="21"/>
      <c r="L288" s="21"/>
      <c r="M288" s="21"/>
      <c r="N288" s="21"/>
    </row>
    <row r="289" spans="1:14" ht="13">
      <c r="A289" s="28"/>
      <c r="B289" s="116"/>
      <c r="C289" s="28"/>
      <c r="D289" s="116"/>
      <c r="E289" s="28"/>
      <c r="F289" s="28"/>
      <c r="G289" s="28"/>
      <c r="H289" s="28"/>
      <c r="I289" s="28"/>
      <c r="J289" s="28"/>
      <c r="K289" s="28"/>
      <c r="L289" s="28"/>
      <c r="M289" s="28"/>
      <c r="N289" s="28"/>
    </row>
    <row r="290" spans="1:14" ht="13">
      <c r="A290" s="21"/>
      <c r="B290" s="115"/>
      <c r="C290" s="21"/>
      <c r="D290" s="115"/>
      <c r="E290" s="21"/>
      <c r="F290" s="21"/>
      <c r="G290" s="21"/>
      <c r="H290" s="21"/>
      <c r="I290" s="21"/>
      <c r="J290" s="21"/>
      <c r="K290" s="21"/>
      <c r="L290" s="21"/>
      <c r="M290" s="21"/>
      <c r="N290" s="21"/>
    </row>
    <row r="291" spans="1:14" ht="13">
      <c r="A291" s="28"/>
      <c r="B291" s="116"/>
      <c r="C291" s="28"/>
      <c r="D291" s="116"/>
      <c r="E291" s="28"/>
      <c r="F291" s="28"/>
      <c r="G291" s="28"/>
      <c r="H291" s="28"/>
      <c r="I291" s="28"/>
      <c r="J291" s="28"/>
      <c r="K291" s="28"/>
      <c r="L291" s="28"/>
      <c r="M291" s="28"/>
      <c r="N291" s="28"/>
    </row>
    <row r="292" spans="1:14" ht="13">
      <c r="A292" s="21"/>
      <c r="B292" s="115"/>
      <c r="C292" s="21"/>
      <c r="D292" s="115"/>
      <c r="E292" s="21"/>
      <c r="F292" s="21"/>
      <c r="G292" s="21"/>
      <c r="H292" s="21"/>
      <c r="I292" s="21"/>
      <c r="J292" s="21"/>
      <c r="K292" s="21"/>
      <c r="L292" s="21"/>
      <c r="M292" s="21"/>
      <c r="N292" s="21"/>
    </row>
    <row r="293" spans="1:14" ht="13">
      <c r="A293" s="28"/>
      <c r="B293" s="116"/>
      <c r="C293" s="28"/>
      <c r="D293" s="116"/>
      <c r="E293" s="28"/>
      <c r="F293" s="28"/>
      <c r="G293" s="28"/>
      <c r="H293" s="28"/>
      <c r="I293" s="28"/>
      <c r="J293" s="28"/>
      <c r="K293" s="28"/>
      <c r="L293" s="28"/>
      <c r="M293" s="28"/>
      <c r="N293" s="28"/>
    </row>
    <row r="294" spans="1:14" ht="13">
      <c r="A294" s="21"/>
      <c r="B294" s="115"/>
      <c r="C294" s="21"/>
      <c r="D294" s="115"/>
      <c r="E294" s="21"/>
      <c r="F294" s="21"/>
      <c r="G294" s="21"/>
      <c r="H294" s="21"/>
      <c r="I294" s="21"/>
      <c r="J294" s="21"/>
      <c r="K294" s="21"/>
      <c r="L294" s="21"/>
      <c r="M294" s="21"/>
      <c r="N294" s="21"/>
    </row>
    <row r="295" spans="1:14" ht="13">
      <c r="A295" s="28"/>
      <c r="B295" s="116"/>
      <c r="C295" s="28"/>
      <c r="D295" s="116"/>
      <c r="E295" s="28"/>
      <c r="F295" s="28"/>
      <c r="G295" s="28"/>
      <c r="H295" s="28"/>
      <c r="I295" s="28"/>
      <c r="J295" s="28"/>
      <c r="K295" s="28"/>
      <c r="L295" s="28"/>
      <c r="M295" s="28"/>
      <c r="N295" s="28"/>
    </row>
    <row r="296" spans="1:14" ht="13">
      <c r="A296" s="21"/>
      <c r="B296" s="115"/>
      <c r="C296" s="21"/>
      <c r="D296" s="115"/>
      <c r="E296" s="21"/>
      <c r="F296" s="21"/>
      <c r="G296" s="21"/>
      <c r="H296" s="21"/>
      <c r="I296" s="21"/>
      <c r="J296" s="21"/>
      <c r="K296" s="21"/>
      <c r="L296" s="21"/>
      <c r="M296" s="21"/>
      <c r="N296" s="21"/>
    </row>
    <row r="297" spans="1:14" ht="13">
      <c r="A297" s="28"/>
      <c r="B297" s="116"/>
      <c r="C297" s="28"/>
      <c r="D297" s="116"/>
      <c r="E297" s="28"/>
      <c r="F297" s="28"/>
      <c r="G297" s="28"/>
      <c r="H297" s="28"/>
      <c r="I297" s="28"/>
      <c r="J297" s="28"/>
      <c r="K297" s="28"/>
      <c r="L297" s="28"/>
      <c r="M297" s="28"/>
      <c r="N297" s="28"/>
    </row>
    <row r="298" spans="1:14" ht="13">
      <c r="A298" s="21"/>
      <c r="B298" s="115"/>
      <c r="C298" s="21"/>
      <c r="D298" s="115"/>
      <c r="E298" s="21"/>
      <c r="F298" s="21"/>
      <c r="G298" s="21"/>
      <c r="H298" s="21"/>
      <c r="I298" s="21"/>
      <c r="J298" s="21"/>
      <c r="K298" s="21"/>
      <c r="L298" s="21"/>
      <c r="M298" s="21"/>
      <c r="N298" s="21"/>
    </row>
    <row r="299" spans="1:14" ht="13">
      <c r="A299" s="28"/>
      <c r="B299" s="116"/>
      <c r="C299" s="28"/>
      <c r="D299" s="116"/>
      <c r="E299" s="28"/>
      <c r="F299" s="28"/>
      <c r="G299" s="28"/>
      <c r="H299" s="28"/>
      <c r="I299" s="28"/>
      <c r="J299" s="28"/>
      <c r="K299" s="28"/>
      <c r="L299" s="28"/>
      <c r="M299" s="28"/>
      <c r="N299" s="28"/>
    </row>
    <row r="300" spans="1:14" ht="13">
      <c r="B300" s="117"/>
      <c r="D300" s="117"/>
      <c r="I300" s="1"/>
    </row>
    <row r="301" spans="1:14" ht="13">
      <c r="B301" s="117"/>
      <c r="D301" s="117"/>
      <c r="I301" s="1"/>
    </row>
    <row r="302" spans="1:14" ht="13">
      <c r="B302" s="117"/>
      <c r="D302" s="117"/>
      <c r="I302" s="1"/>
    </row>
    <row r="303" spans="1:14" ht="13">
      <c r="B303" s="117"/>
      <c r="D303" s="117"/>
      <c r="I303" s="1"/>
    </row>
    <row r="304" spans="1:14" ht="13">
      <c r="B304" s="117"/>
      <c r="D304" s="117"/>
      <c r="I304" s="1"/>
    </row>
    <row r="305" spans="2:9" ht="13">
      <c r="B305" s="117"/>
      <c r="D305" s="117"/>
      <c r="I305" s="1"/>
    </row>
    <row r="306" spans="2:9" ht="13">
      <c r="B306" s="117"/>
      <c r="D306" s="117"/>
      <c r="I306" s="1"/>
    </row>
    <row r="307" spans="2:9" ht="13">
      <c r="B307" s="117"/>
      <c r="D307" s="117"/>
      <c r="I307" s="1"/>
    </row>
    <row r="308" spans="2:9" ht="13">
      <c r="B308" s="117"/>
      <c r="D308" s="117"/>
      <c r="I308" s="1"/>
    </row>
    <row r="309" spans="2:9" ht="13">
      <c r="B309" s="117"/>
      <c r="D309" s="117"/>
      <c r="I309" s="1"/>
    </row>
    <row r="310" spans="2:9" ht="13">
      <c r="B310" s="117"/>
      <c r="D310" s="117"/>
      <c r="I310" s="1"/>
    </row>
    <row r="311" spans="2:9" ht="13">
      <c r="B311" s="117"/>
      <c r="D311" s="117"/>
      <c r="I311" s="1"/>
    </row>
    <row r="312" spans="2:9" ht="13">
      <c r="B312" s="117"/>
      <c r="D312" s="117"/>
      <c r="I312" s="1"/>
    </row>
    <row r="313" spans="2:9" ht="13">
      <c r="B313" s="117"/>
      <c r="D313" s="117"/>
      <c r="I313" s="1"/>
    </row>
    <row r="314" spans="2:9" ht="13">
      <c r="B314" s="117"/>
      <c r="D314" s="117"/>
      <c r="I314" s="1"/>
    </row>
    <row r="315" spans="2:9" ht="13">
      <c r="B315" s="117"/>
      <c r="D315" s="117"/>
      <c r="I315" s="1"/>
    </row>
    <row r="316" spans="2:9" ht="13">
      <c r="B316" s="117"/>
      <c r="D316" s="117"/>
      <c r="I316" s="1"/>
    </row>
    <row r="317" spans="2:9" ht="13">
      <c r="B317" s="117"/>
      <c r="D317" s="117"/>
      <c r="I317" s="1"/>
    </row>
    <row r="318" spans="2:9" ht="13">
      <c r="B318" s="117"/>
      <c r="D318" s="117"/>
      <c r="I318" s="1"/>
    </row>
    <row r="319" spans="2:9" ht="13">
      <c r="B319" s="117"/>
      <c r="D319" s="117"/>
      <c r="I319" s="1"/>
    </row>
    <row r="320" spans="2:9" ht="13">
      <c r="B320" s="117"/>
      <c r="D320" s="117"/>
      <c r="I320" s="1"/>
    </row>
    <row r="321" spans="2:9" ht="13">
      <c r="B321" s="117"/>
      <c r="D321" s="117"/>
      <c r="I321" s="1"/>
    </row>
    <row r="322" spans="2:9" ht="13">
      <c r="B322" s="117"/>
      <c r="D322" s="117"/>
      <c r="I322" s="1"/>
    </row>
    <row r="323" spans="2:9" ht="13">
      <c r="B323" s="117"/>
      <c r="D323" s="117"/>
      <c r="I323" s="1"/>
    </row>
    <row r="324" spans="2:9" ht="13">
      <c r="B324" s="117"/>
      <c r="D324" s="117"/>
      <c r="I324" s="1"/>
    </row>
    <row r="325" spans="2:9" ht="13">
      <c r="B325" s="117"/>
      <c r="D325" s="117"/>
      <c r="I325" s="1"/>
    </row>
    <row r="326" spans="2:9" ht="13">
      <c r="B326" s="117"/>
      <c r="D326" s="117"/>
      <c r="I326" s="1"/>
    </row>
    <row r="327" spans="2:9" ht="13">
      <c r="B327" s="117"/>
      <c r="D327" s="117"/>
      <c r="I327" s="1"/>
    </row>
    <row r="328" spans="2:9" ht="13">
      <c r="B328" s="117"/>
      <c r="D328" s="117"/>
      <c r="I328" s="1"/>
    </row>
    <row r="329" spans="2:9" ht="13">
      <c r="B329" s="117"/>
      <c r="D329" s="117"/>
      <c r="I329" s="1"/>
    </row>
    <row r="330" spans="2:9" ht="13">
      <c r="B330" s="117"/>
      <c r="D330" s="117"/>
      <c r="I330" s="1"/>
    </row>
    <row r="331" spans="2:9" ht="13">
      <c r="B331" s="117"/>
      <c r="D331" s="117"/>
      <c r="I331" s="1"/>
    </row>
    <row r="332" spans="2:9" ht="13">
      <c r="B332" s="117"/>
      <c r="D332" s="117"/>
      <c r="I332" s="1"/>
    </row>
    <row r="333" spans="2:9" ht="13">
      <c r="B333" s="117"/>
      <c r="D333" s="117"/>
      <c r="I333" s="1"/>
    </row>
    <row r="334" spans="2:9" ht="13">
      <c r="B334" s="117"/>
      <c r="D334" s="117"/>
      <c r="I334" s="1"/>
    </row>
    <row r="335" spans="2:9" ht="13">
      <c r="B335" s="117"/>
      <c r="D335" s="117"/>
      <c r="I335" s="1"/>
    </row>
    <row r="336" spans="2:9" ht="13">
      <c r="B336" s="117"/>
      <c r="D336" s="117"/>
      <c r="I336" s="1"/>
    </row>
    <row r="337" spans="2:9" ht="13">
      <c r="B337" s="117"/>
      <c r="D337" s="117"/>
      <c r="I337" s="1"/>
    </row>
    <row r="338" spans="2:9" ht="13">
      <c r="B338" s="117"/>
      <c r="D338" s="117"/>
      <c r="I338" s="1"/>
    </row>
    <row r="339" spans="2:9" ht="13">
      <c r="B339" s="117"/>
      <c r="D339" s="117"/>
      <c r="I339" s="1"/>
    </row>
    <row r="340" spans="2:9" ht="13">
      <c r="B340" s="117"/>
      <c r="D340" s="117"/>
      <c r="I340" s="1"/>
    </row>
    <row r="341" spans="2:9" ht="13">
      <c r="B341" s="117"/>
      <c r="D341" s="117"/>
      <c r="I341" s="1"/>
    </row>
    <row r="342" spans="2:9" ht="13">
      <c r="B342" s="117"/>
      <c r="D342" s="117"/>
      <c r="I342" s="1"/>
    </row>
    <row r="343" spans="2:9" ht="13">
      <c r="B343" s="117"/>
      <c r="D343" s="117"/>
      <c r="I343" s="1"/>
    </row>
    <row r="344" spans="2:9" ht="13">
      <c r="B344" s="117"/>
      <c r="D344" s="117"/>
      <c r="I344" s="1"/>
    </row>
    <row r="345" spans="2:9" ht="13">
      <c r="B345" s="117"/>
      <c r="D345" s="117"/>
      <c r="I345" s="1"/>
    </row>
    <row r="346" spans="2:9" ht="13">
      <c r="B346" s="117"/>
      <c r="D346" s="117"/>
      <c r="I346" s="1"/>
    </row>
    <row r="347" spans="2:9" ht="13">
      <c r="B347" s="117"/>
      <c r="D347" s="117"/>
      <c r="I347" s="1"/>
    </row>
    <row r="348" spans="2:9" ht="13">
      <c r="B348" s="117"/>
      <c r="D348" s="117"/>
      <c r="I348" s="1"/>
    </row>
    <row r="349" spans="2:9" ht="13">
      <c r="B349" s="117"/>
      <c r="D349" s="117"/>
      <c r="I349" s="1"/>
    </row>
    <row r="350" spans="2:9" ht="13">
      <c r="B350" s="117"/>
      <c r="D350" s="117"/>
      <c r="I350" s="1"/>
    </row>
    <row r="351" spans="2:9" ht="13">
      <c r="B351" s="117"/>
      <c r="D351" s="117"/>
      <c r="I351" s="1"/>
    </row>
    <row r="352" spans="2:9" ht="13">
      <c r="B352" s="117"/>
      <c r="D352" s="117"/>
      <c r="I352" s="1"/>
    </row>
    <row r="353" spans="2:9" ht="13">
      <c r="B353" s="117"/>
      <c r="D353" s="117"/>
      <c r="I353" s="1"/>
    </row>
    <row r="354" spans="2:9" ht="13">
      <c r="B354" s="117"/>
      <c r="D354" s="117"/>
      <c r="I354" s="1"/>
    </row>
    <row r="355" spans="2:9" ht="13">
      <c r="B355" s="117"/>
      <c r="D355" s="117"/>
      <c r="I355" s="1"/>
    </row>
    <row r="356" spans="2:9" ht="13">
      <c r="B356" s="117"/>
      <c r="D356" s="117"/>
      <c r="I356" s="1"/>
    </row>
    <row r="357" spans="2:9" ht="13">
      <c r="B357" s="117"/>
      <c r="D357" s="117"/>
      <c r="I357" s="1"/>
    </row>
    <row r="358" spans="2:9" ht="13">
      <c r="B358" s="117"/>
      <c r="D358" s="117"/>
      <c r="I358" s="1"/>
    </row>
    <row r="359" spans="2:9" ht="13">
      <c r="B359" s="117"/>
      <c r="D359" s="117"/>
      <c r="I359" s="1"/>
    </row>
    <row r="360" spans="2:9" ht="13">
      <c r="B360" s="117"/>
      <c r="D360" s="117"/>
      <c r="I360" s="1"/>
    </row>
    <row r="361" spans="2:9" ht="13">
      <c r="B361" s="117"/>
      <c r="D361" s="117"/>
      <c r="I361" s="1"/>
    </row>
    <row r="362" spans="2:9" ht="13">
      <c r="B362" s="117"/>
      <c r="D362" s="117"/>
      <c r="I362" s="1"/>
    </row>
    <row r="363" spans="2:9" ht="13">
      <c r="B363" s="117"/>
      <c r="D363" s="117"/>
      <c r="I363" s="1"/>
    </row>
    <row r="364" spans="2:9" ht="13">
      <c r="B364" s="117"/>
      <c r="D364" s="117"/>
      <c r="I364" s="1"/>
    </row>
    <row r="365" spans="2:9" ht="13">
      <c r="B365" s="117"/>
      <c r="D365" s="117"/>
      <c r="I365" s="1"/>
    </row>
    <row r="366" spans="2:9" ht="13">
      <c r="B366" s="117"/>
      <c r="D366" s="117"/>
      <c r="I366" s="1"/>
    </row>
    <row r="367" spans="2:9" ht="13">
      <c r="B367" s="117"/>
      <c r="D367" s="117"/>
      <c r="I367" s="1"/>
    </row>
    <row r="368" spans="2:9" ht="13">
      <c r="B368" s="117"/>
      <c r="D368" s="117"/>
      <c r="I368" s="1"/>
    </row>
    <row r="369" spans="2:9" ht="13">
      <c r="B369" s="117"/>
      <c r="D369" s="117"/>
      <c r="I369" s="1"/>
    </row>
    <row r="370" spans="2:9" ht="13">
      <c r="B370" s="117"/>
      <c r="D370" s="117"/>
      <c r="I370" s="1"/>
    </row>
    <row r="371" spans="2:9" ht="13">
      <c r="B371" s="117"/>
      <c r="D371" s="117"/>
      <c r="I371" s="1"/>
    </row>
    <row r="372" spans="2:9" ht="13">
      <c r="B372" s="117"/>
      <c r="D372" s="117"/>
      <c r="I372" s="1"/>
    </row>
    <row r="373" spans="2:9" ht="13">
      <c r="B373" s="117"/>
      <c r="D373" s="117"/>
      <c r="I373" s="1"/>
    </row>
    <row r="374" spans="2:9" ht="13">
      <c r="B374" s="117"/>
      <c r="D374" s="117"/>
      <c r="I374" s="1"/>
    </row>
    <row r="375" spans="2:9" ht="13">
      <c r="B375" s="117"/>
      <c r="D375" s="117"/>
      <c r="I375" s="1"/>
    </row>
    <row r="376" spans="2:9" ht="13">
      <c r="B376" s="117"/>
      <c r="D376" s="117"/>
      <c r="I376" s="1"/>
    </row>
    <row r="377" spans="2:9" ht="13">
      <c r="B377" s="117"/>
      <c r="D377" s="117"/>
      <c r="I377" s="1"/>
    </row>
    <row r="378" spans="2:9" ht="13">
      <c r="B378" s="117"/>
      <c r="D378" s="117"/>
      <c r="I378" s="1"/>
    </row>
    <row r="379" spans="2:9" ht="13">
      <c r="B379" s="117"/>
      <c r="D379" s="117"/>
      <c r="I379" s="1"/>
    </row>
    <row r="380" spans="2:9" ht="13">
      <c r="B380" s="117"/>
      <c r="D380" s="117"/>
      <c r="I380" s="1"/>
    </row>
    <row r="381" spans="2:9" ht="13">
      <c r="B381" s="117"/>
      <c r="D381" s="117"/>
      <c r="I381" s="1"/>
    </row>
    <row r="382" spans="2:9" ht="13">
      <c r="B382" s="117"/>
      <c r="D382" s="117"/>
      <c r="I382" s="1"/>
    </row>
    <row r="383" spans="2:9" ht="13">
      <c r="B383" s="117"/>
      <c r="D383" s="117"/>
      <c r="I383" s="1"/>
    </row>
    <row r="384" spans="2:9" ht="13">
      <c r="B384" s="117"/>
      <c r="D384" s="117"/>
      <c r="I384" s="1"/>
    </row>
    <row r="385" spans="2:9" ht="13">
      <c r="B385" s="117"/>
      <c r="D385" s="117"/>
      <c r="I385" s="1"/>
    </row>
    <row r="386" spans="2:9" ht="13">
      <c r="B386" s="117"/>
      <c r="D386" s="117"/>
      <c r="I386" s="1"/>
    </row>
    <row r="387" spans="2:9" ht="13">
      <c r="B387" s="117"/>
      <c r="D387" s="117"/>
      <c r="I387" s="1"/>
    </row>
    <row r="388" spans="2:9" ht="13">
      <c r="B388" s="117"/>
      <c r="D388" s="117"/>
      <c r="I388" s="1"/>
    </row>
    <row r="389" spans="2:9" ht="13">
      <c r="B389" s="117"/>
      <c r="D389" s="117"/>
      <c r="I389" s="1"/>
    </row>
    <row r="390" spans="2:9" ht="13">
      <c r="B390" s="117"/>
      <c r="D390" s="117"/>
      <c r="I390" s="1"/>
    </row>
    <row r="391" spans="2:9" ht="13">
      <c r="B391" s="117"/>
      <c r="D391" s="117"/>
      <c r="I391" s="1"/>
    </row>
    <row r="392" spans="2:9" ht="13">
      <c r="B392" s="117"/>
      <c r="D392" s="117"/>
      <c r="I392" s="1"/>
    </row>
    <row r="393" spans="2:9" ht="13">
      <c r="B393" s="117"/>
      <c r="D393" s="117"/>
      <c r="I393" s="1"/>
    </row>
    <row r="394" spans="2:9" ht="13">
      <c r="B394" s="117"/>
      <c r="D394" s="117"/>
      <c r="I394" s="1"/>
    </row>
    <row r="395" spans="2:9" ht="13">
      <c r="B395" s="117"/>
      <c r="D395" s="117"/>
      <c r="I395" s="1"/>
    </row>
    <row r="396" spans="2:9" ht="13">
      <c r="B396" s="117"/>
      <c r="D396" s="117"/>
      <c r="I396" s="1"/>
    </row>
    <row r="397" spans="2:9" ht="13">
      <c r="B397" s="117"/>
      <c r="D397" s="117"/>
      <c r="I397" s="1"/>
    </row>
    <row r="398" spans="2:9" ht="13">
      <c r="B398" s="117"/>
      <c r="D398" s="117"/>
      <c r="I398" s="1"/>
    </row>
    <row r="399" spans="2:9" ht="13">
      <c r="B399" s="117"/>
      <c r="D399" s="117"/>
      <c r="I399" s="1"/>
    </row>
    <row r="400" spans="2:9" ht="13">
      <c r="B400" s="117"/>
      <c r="D400" s="117"/>
      <c r="I400" s="1"/>
    </row>
    <row r="401" spans="2:9" ht="13">
      <c r="B401" s="117"/>
      <c r="D401" s="117"/>
      <c r="I401" s="1"/>
    </row>
    <row r="402" spans="2:9" ht="13">
      <c r="B402" s="117"/>
      <c r="D402" s="117"/>
      <c r="I402" s="1"/>
    </row>
    <row r="403" spans="2:9" ht="13">
      <c r="B403" s="117"/>
      <c r="D403" s="117"/>
      <c r="I403" s="1"/>
    </row>
    <row r="404" spans="2:9" ht="13">
      <c r="B404" s="117"/>
      <c r="D404" s="117"/>
      <c r="I404" s="1"/>
    </row>
    <row r="405" spans="2:9" ht="13">
      <c r="B405" s="117"/>
      <c r="D405" s="117"/>
      <c r="I405" s="1"/>
    </row>
    <row r="406" spans="2:9" ht="13">
      <c r="B406" s="117"/>
      <c r="D406" s="117"/>
      <c r="I406" s="1"/>
    </row>
    <row r="407" spans="2:9" ht="13">
      <c r="B407" s="117"/>
      <c r="D407" s="117"/>
      <c r="I407" s="1"/>
    </row>
    <row r="408" spans="2:9" ht="13">
      <c r="B408" s="117"/>
      <c r="D408" s="117"/>
      <c r="I408" s="1"/>
    </row>
    <row r="409" spans="2:9" ht="13">
      <c r="B409" s="117"/>
      <c r="D409" s="117"/>
      <c r="I409" s="1"/>
    </row>
    <row r="410" spans="2:9" ht="13">
      <c r="B410" s="117"/>
      <c r="D410" s="117"/>
      <c r="I410" s="1"/>
    </row>
    <row r="411" spans="2:9" ht="13">
      <c r="B411" s="117"/>
      <c r="D411" s="117"/>
      <c r="I411" s="1"/>
    </row>
    <row r="412" spans="2:9" ht="13">
      <c r="B412" s="117"/>
      <c r="D412" s="117"/>
      <c r="I412" s="1"/>
    </row>
    <row r="413" spans="2:9" ht="13">
      <c r="B413" s="117"/>
      <c r="D413" s="117"/>
      <c r="I413" s="1"/>
    </row>
    <row r="414" spans="2:9" ht="13">
      <c r="B414" s="117"/>
      <c r="D414" s="117"/>
      <c r="I414" s="1"/>
    </row>
    <row r="415" spans="2:9" ht="13">
      <c r="B415" s="117"/>
      <c r="D415" s="117"/>
      <c r="I415" s="1"/>
    </row>
    <row r="416" spans="2:9" ht="13">
      <c r="B416" s="117"/>
      <c r="D416" s="117"/>
      <c r="I416" s="1"/>
    </row>
    <row r="417" spans="2:9" ht="13">
      <c r="B417" s="117"/>
      <c r="D417" s="117"/>
      <c r="I417" s="1"/>
    </row>
    <row r="418" spans="2:9" ht="13">
      <c r="B418" s="117"/>
      <c r="D418" s="117"/>
      <c r="I418" s="1"/>
    </row>
    <row r="419" spans="2:9" ht="13">
      <c r="B419" s="117"/>
      <c r="D419" s="117"/>
      <c r="I419" s="1"/>
    </row>
    <row r="420" spans="2:9" ht="13">
      <c r="B420" s="117"/>
      <c r="D420" s="117"/>
      <c r="I420" s="1"/>
    </row>
    <row r="421" spans="2:9" ht="13">
      <c r="B421" s="117"/>
      <c r="D421" s="117"/>
      <c r="I421" s="1"/>
    </row>
    <row r="422" spans="2:9" ht="13">
      <c r="B422" s="117"/>
      <c r="D422" s="117"/>
      <c r="I422" s="1"/>
    </row>
    <row r="423" spans="2:9" ht="13">
      <c r="B423" s="117"/>
      <c r="D423" s="117"/>
      <c r="I423" s="1"/>
    </row>
    <row r="424" spans="2:9" ht="13">
      <c r="B424" s="117"/>
      <c r="D424" s="117"/>
      <c r="I424" s="1"/>
    </row>
    <row r="425" spans="2:9" ht="13">
      <c r="B425" s="117"/>
      <c r="D425" s="117"/>
      <c r="I425" s="1"/>
    </row>
    <row r="426" spans="2:9" ht="13">
      <c r="B426" s="117"/>
      <c r="D426" s="117"/>
      <c r="I426" s="1"/>
    </row>
    <row r="427" spans="2:9" ht="13">
      <c r="B427" s="117"/>
      <c r="D427" s="117"/>
      <c r="I427" s="1"/>
    </row>
    <row r="428" spans="2:9" ht="13">
      <c r="B428" s="117"/>
      <c r="D428" s="117"/>
      <c r="I428" s="1"/>
    </row>
    <row r="429" spans="2:9" ht="13">
      <c r="B429" s="117"/>
      <c r="D429" s="117"/>
      <c r="I429" s="1"/>
    </row>
    <row r="430" spans="2:9" ht="13">
      <c r="B430" s="117"/>
      <c r="D430" s="117"/>
      <c r="I430" s="1"/>
    </row>
    <row r="431" spans="2:9" ht="13">
      <c r="B431" s="117"/>
      <c r="D431" s="117"/>
      <c r="I431" s="1"/>
    </row>
    <row r="432" spans="2:9" ht="13">
      <c r="B432" s="117"/>
      <c r="D432" s="117"/>
      <c r="I432" s="1"/>
    </row>
    <row r="433" spans="2:9" ht="13">
      <c r="B433" s="117"/>
      <c r="D433" s="117"/>
      <c r="I433" s="1"/>
    </row>
    <row r="434" spans="2:9" ht="13">
      <c r="B434" s="117"/>
      <c r="D434" s="117"/>
      <c r="I434" s="1"/>
    </row>
    <row r="435" spans="2:9" ht="13">
      <c r="B435" s="117"/>
      <c r="D435" s="117"/>
      <c r="I435" s="1"/>
    </row>
    <row r="436" spans="2:9" ht="13">
      <c r="B436" s="117"/>
      <c r="D436" s="117"/>
      <c r="I436" s="1"/>
    </row>
    <row r="437" spans="2:9" ht="13">
      <c r="B437" s="117"/>
      <c r="D437" s="117"/>
      <c r="I437" s="1"/>
    </row>
    <row r="438" spans="2:9" ht="13">
      <c r="B438" s="117"/>
      <c r="D438" s="117"/>
      <c r="I438" s="1"/>
    </row>
    <row r="439" spans="2:9" ht="13">
      <c r="B439" s="117"/>
      <c r="D439" s="117"/>
      <c r="I439" s="1"/>
    </row>
    <row r="440" spans="2:9" ht="13">
      <c r="B440" s="117"/>
      <c r="D440" s="117"/>
      <c r="I440" s="1"/>
    </row>
    <row r="441" spans="2:9" ht="13">
      <c r="B441" s="117"/>
      <c r="D441" s="117"/>
      <c r="I441" s="1"/>
    </row>
    <row r="442" spans="2:9" ht="13">
      <c r="B442" s="117"/>
      <c r="D442" s="117"/>
      <c r="I442" s="1"/>
    </row>
    <row r="443" spans="2:9" ht="13">
      <c r="B443" s="117"/>
      <c r="D443" s="117"/>
      <c r="I443" s="1"/>
    </row>
    <row r="444" spans="2:9" ht="13">
      <c r="B444" s="117"/>
      <c r="D444" s="117"/>
      <c r="I444" s="1"/>
    </row>
    <row r="445" spans="2:9" ht="13">
      <c r="B445" s="117"/>
      <c r="D445" s="117"/>
      <c r="I445" s="1"/>
    </row>
    <row r="446" spans="2:9" ht="13">
      <c r="B446" s="117"/>
      <c r="D446" s="117"/>
      <c r="I446" s="1"/>
    </row>
    <row r="447" spans="2:9" ht="13">
      <c r="B447" s="117"/>
      <c r="D447" s="117"/>
      <c r="I447" s="1"/>
    </row>
    <row r="448" spans="2:9" ht="13">
      <c r="B448" s="117"/>
      <c r="D448" s="117"/>
      <c r="I448" s="1"/>
    </row>
    <row r="449" spans="2:9" ht="13">
      <c r="B449" s="117"/>
      <c r="D449" s="117"/>
      <c r="I449" s="1"/>
    </row>
    <row r="450" spans="2:9" ht="13">
      <c r="B450" s="117"/>
      <c r="D450" s="117"/>
      <c r="I450" s="1"/>
    </row>
    <row r="451" spans="2:9" ht="13">
      <c r="B451" s="117"/>
      <c r="D451" s="117"/>
      <c r="I451" s="1"/>
    </row>
    <row r="452" spans="2:9" ht="13">
      <c r="B452" s="117"/>
      <c r="D452" s="117"/>
      <c r="I452" s="1"/>
    </row>
    <row r="453" spans="2:9" ht="13">
      <c r="B453" s="117"/>
      <c r="D453" s="117"/>
      <c r="I453" s="1"/>
    </row>
    <row r="454" spans="2:9" ht="13">
      <c r="B454" s="117"/>
      <c r="D454" s="117"/>
      <c r="I454" s="1"/>
    </row>
    <row r="455" spans="2:9" ht="13">
      <c r="B455" s="117"/>
      <c r="D455" s="117"/>
      <c r="I455" s="1"/>
    </row>
    <row r="456" spans="2:9" ht="13">
      <c r="B456" s="117"/>
      <c r="D456" s="117"/>
      <c r="I456" s="1"/>
    </row>
    <row r="457" spans="2:9" ht="13">
      <c r="B457" s="117"/>
      <c r="D457" s="117"/>
      <c r="I457" s="1"/>
    </row>
    <row r="458" spans="2:9" ht="13">
      <c r="B458" s="117"/>
      <c r="D458" s="117"/>
      <c r="I458" s="1"/>
    </row>
    <row r="459" spans="2:9" ht="13">
      <c r="B459" s="117"/>
      <c r="D459" s="117"/>
      <c r="I459" s="1"/>
    </row>
    <row r="460" spans="2:9" ht="13">
      <c r="B460" s="117"/>
      <c r="D460" s="117"/>
      <c r="I460" s="1"/>
    </row>
    <row r="461" spans="2:9" ht="13">
      <c r="B461" s="117"/>
      <c r="D461" s="117"/>
      <c r="I461" s="1"/>
    </row>
    <row r="462" spans="2:9" ht="13">
      <c r="B462" s="117"/>
      <c r="D462" s="117"/>
      <c r="I462" s="1"/>
    </row>
    <row r="463" spans="2:9" ht="13">
      <c r="B463" s="117"/>
      <c r="D463" s="117"/>
      <c r="I463" s="1"/>
    </row>
    <row r="464" spans="2:9" ht="13">
      <c r="B464" s="117"/>
      <c r="D464" s="117"/>
      <c r="I464" s="1"/>
    </row>
    <row r="465" spans="2:9" ht="13">
      <c r="B465" s="117"/>
      <c r="D465" s="117"/>
      <c r="I465" s="1"/>
    </row>
    <row r="466" spans="2:9" ht="13">
      <c r="B466" s="117"/>
      <c r="D466" s="117"/>
      <c r="I466" s="1"/>
    </row>
    <row r="467" spans="2:9" ht="13">
      <c r="B467" s="117"/>
      <c r="D467" s="117"/>
      <c r="I467" s="1"/>
    </row>
    <row r="468" spans="2:9" ht="13">
      <c r="B468" s="117"/>
      <c r="D468" s="117"/>
      <c r="I468" s="1"/>
    </row>
    <row r="469" spans="2:9" ht="13">
      <c r="B469" s="117"/>
      <c r="D469" s="117"/>
      <c r="I469" s="1"/>
    </row>
    <row r="470" spans="2:9" ht="13">
      <c r="B470" s="117"/>
      <c r="D470" s="117"/>
      <c r="I470" s="1"/>
    </row>
    <row r="471" spans="2:9" ht="13">
      <c r="B471" s="117"/>
      <c r="D471" s="117"/>
      <c r="I471" s="1"/>
    </row>
    <row r="472" spans="2:9" ht="13">
      <c r="B472" s="117"/>
      <c r="D472" s="117"/>
      <c r="I472" s="1"/>
    </row>
    <row r="473" spans="2:9" ht="13">
      <c r="B473" s="117"/>
      <c r="D473" s="117"/>
      <c r="I473" s="1"/>
    </row>
    <row r="474" spans="2:9" ht="13">
      <c r="B474" s="117"/>
      <c r="D474" s="117"/>
      <c r="I474" s="1"/>
    </row>
    <row r="475" spans="2:9" ht="13">
      <c r="B475" s="117"/>
      <c r="D475" s="117"/>
      <c r="I475" s="1"/>
    </row>
    <row r="476" spans="2:9" ht="13">
      <c r="B476" s="117"/>
      <c r="D476" s="117"/>
      <c r="I476" s="1"/>
    </row>
    <row r="477" spans="2:9" ht="13">
      <c r="B477" s="117"/>
      <c r="D477" s="117"/>
      <c r="I477" s="1"/>
    </row>
    <row r="478" spans="2:9" ht="13">
      <c r="B478" s="117"/>
      <c r="D478" s="117"/>
      <c r="I478" s="1"/>
    </row>
    <row r="479" spans="2:9" ht="13">
      <c r="B479" s="117"/>
      <c r="D479" s="117"/>
      <c r="I479" s="1"/>
    </row>
    <row r="480" spans="2:9" ht="13">
      <c r="B480" s="117"/>
      <c r="D480" s="117"/>
      <c r="I480" s="1"/>
    </row>
    <row r="481" spans="2:9" ht="13">
      <c r="B481" s="117"/>
      <c r="D481" s="117"/>
      <c r="I481" s="1"/>
    </row>
    <row r="482" spans="2:9" ht="13">
      <c r="B482" s="117"/>
      <c r="D482" s="117"/>
      <c r="I482" s="1"/>
    </row>
    <row r="483" spans="2:9" ht="13">
      <c r="B483" s="117"/>
      <c r="D483" s="117"/>
      <c r="I483" s="1"/>
    </row>
    <row r="484" spans="2:9" ht="13">
      <c r="B484" s="117"/>
      <c r="D484" s="117"/>
      <c r="I484" s="1"/>
    </row>
    <row r="485" spans="2:9" ht="13">
      <c r="B485" s="117"/>
      <c r="D485" s="117"/>
      <c r="I485" s="1"/>
    </row>
    <row r="486" spans="2:9" ht="13">
      <c r="B486" s="117"/>
      <c r="D486" s="117"/>
      <c r="I486" s="1"/>
    </row>
    <row r="487" spans="2:9" ht="13">
      <c r="B487" s="117"/>
      <c r="D487" s="117"/>
      <c r="I487" s="1"/>
    </row>
    <row r="488" spans="2:9" ht="13">
      <c r="B488" s="117"/>
      <c r="D488" s="117"/>
      <c r="I488" s="1"/>
    </row>
    <row r="489" spans="2:9" ht="13">
      <c r="B489" s="117"/>
      <c r="D489" s="117"/>
      <c r="I489" s="1"/>
    </row>
    <row r="490" spans="2:9" ht="13">
      <c r="B490" s="117"/>
      <c r="D490" s="117"/>
      <c r="I490" s="1"/>
    </row>
    <row r="491" spans="2:9" ht="13">
      <c r="B491" s="117"/>
      <c r="D491" s="117"/>
      <c r="I491" s="1"/>
    </row>
    <row r="492" spans="2:9" ht="13">
      <c r="B492" s="117"/>
      <c r="D492" s="117"/>
      <c r="I492" s="1"/>
    </row>
    <row r="493" spans="2:9" ht="13">
      <c r="B493" s="117"/>
      <c r="D493" s="117"/>
      <c r="I493" s="1"/>
    </row>
    <row r="494" spans="2:9" ht="13">
      <c r="B494" s="117"/>
      <c r="D494" s="117"/>
      <c r="I494" s="1"/>
    </row>
    <row r="495" spans="2:9" ht="13">
      <c r="B495" s="117"/>
      <c r="D495" s="117"/>
      <c r="I495" s="1"/>
    </row>
    <row r="496" spans="2:9" ht="13">
      <c r="B496" s="117"/>
      <c r="D496" s="117"/>
      <c r="I496" s="1"/>
    </row>
    <row r="497" spans="2:9" ht="13">
      <c r="B497" s="117"/>
      <c r="D497" s="117"/>
      <c r="I497" s="1"/>
    </row>
    <row r="498" spans="2:9" ht="13">
      <c r="B498" s="117"/>
      <c r="D498" s="117"/>
      <c r="I498" s="1"/>
    </row>
    <row r="499" spans="2:9" ht="13">
      <c r="B499" s="117"/>
      <c r="D499" s="117"/>
      <c r="I499" s="1"/>
    </row>
    <row r="500" spans="2:9" ht="13">
      <c r="B500" s="117"/>
      <c r="D500" s="117"/>
      <c r="I500" s="1"/>
    </row>
    <row r="501" spans="2:9" ht="13">
      <c r="B501" s="117"/>
      <c r="D501" s="117"/>
      <c r="I501" s="1"/>
    </row>
    <row r="502" spans="2:9" ht="13">
      <c r="B502" s="117"/>
      <c r="D502" s="117"/>
      <c r="I502" s="1"/>
    </row>
    <row r="503" spans="2:9" ht="13">
      <c r="B503" s="117"/>
      <c r="D503" s="117"/>
      <c r="I503" s="1"/>
    </row>
    <row r="504" spans="2:9" ht="13">
      <c r="B504" s="117"/>
      <c r="D504" s="117"/>
      <c r="I504" s="1"/>
    </row>
    <row r="505" spans="2:9" ht="13">
      <c r="B505" s="117"/>
      <c r="D505" s="117"/>
      <c r="I505" s="1"/>
    </row>
    <row r="506" spans="2:9" ht="13">
      <c r="B506" s="117"/>
      <c r="D506" s="117"/>
      <c r="I506" s="1"/>
    </row>
    <row r="507" spans="2:9" ht="13">
      <c r="B507" s="117"/>
      <c r="D507" s="117"/>
      <c r="I507" s="1"/>
    </row>
    <row r="508" spans="2:9" ht="13">
      <c r="B508" s="117"/>
      <c r="D508" s="117"/>
      <c r="I508" s="1"/>
    </row>
    <row r="509" spans="2:9" ht="13">
      <c r="B509" s="117"/>
      <c r="D509" s="117"/>
      <c r="I509" s="1"/>
    </row>
    <row r="510" spans="2:9" ht="13">
      <c r="B510" s="117"/>
      <c r="D510" s="117"/>
      <c r="I510" s="1"/>
    </row>
    <row r="511" spans="2:9" ht="13">
      <c r="B511" s="117"/>
      <c r="D511" s="117"/>
      <c r="I511" s="1"/>
    </row>
    <row r="512" spans="2:9" ht="13">
      <c r="B512" s="117"/>
      <c r="D512" s="117"/>
      <c r="I512" s="1"/>
    </row>
    <row r="513" spans="2:9" ht="13">
      <c r="B513" s="117"/>
      <c r="D513" s="117"/>
      <c r="I513" s="1"/>
    </row>
    <row r="514" spans="2:9" ht="13">
      <c r="B514" s="117"/>
      <c r="D514" s="117"/>
      <c r="I514" s="1"/>
    </row>
    <row r="515" spans="2:9" ht="13">
      <c r="B515" s="117"/>
      <c r="D515" s="117"/>
      <c r="I515" s="1"/>
    </row>
    <row r="516" spans="2:9" ht="13">
      <c r="B516" s="117"/>
      <c r="D516" s="117"/>
      <c r="I516" s="1"/>
    </row>
    <row r="517" spans="2:9" ht="13">
      <c r="B517" s="117"/>
      <c r="D517" s="117"/>
      <c r="I517" s="1"/>
    </row>
    <row r="518" spans="2:9" ht="13">
      <c r="B518" s="117"/>
      <c r="D518" s="117"/>
      <c r="I518" s="1"/>
    </row>
    <row r="519" spans="2:9" ht="13">
      <c r="B519" s="117"/>
      <c r="D519" s="117"/>
      <c r="I519" s="1"/>
    </row>
    <row r="520" spans="2:9" ht="13">
      <c r="B520" s="117"/>
      <c r="D520" s="117"/>
      <c r="I520" s="1"/>
    </row>
    <row r="521" spans="2:9" ht="13">
      <c r="B521" s="117"/>
      <c r="D521" s="117"/>
      <c r="I521" s="1"/>
    </row>
    <row r="522" spans="2:9" ht="13">
      <c r="B522" s="117"/>
      <c r="D522" s="117"/>
      <c r="I522" s="1"/>
    </row>
    <row r="523" spans="2:9" ht="13">
      <c r="B523" s="117"/>
      <c r="D523" s="117"/>
      <c r="I523" s="1"/>
    </row>
    <row r="524" spans="2:9" ht="13">
      <c r="B524" s="117"/>
      <c r="D524" s="117"/>
      <c r="I524" s="1"/>
    </row>
    <row r="525" spans="2:9" ht="13">
      <c r="B525" s="117"/>
      <c r="D525" s="117"/>
      <c r="I525" s="1"/>
    </row>
    <row r="526" spans="2:9" ht="13">
      <c r="B526" s="117"/>
      <c r="D526" s="117"/>
      <c r="I526" s="1"/>
    </row>
    <row r="527" spans="2:9" ht="13">
      <c r="B527" s="117"/>
      <c r="D527" s="117"/>
      <c r="I527" s="1"/>
    </row>
    <row r="528" spans="2:9" ht="13">
      <c r="B528" s="117"/>
      <c r="D528" s="117"/>
      <c r="I528" s="1"/>
    </row>
    <row r="529" spans="2:9" ht="13">
      <c r="B529" s="117"/>
      <c r="D529" s="117"/>
      <c r="I529" s="1"/>
    </row>
    <row r="530" spans="2:9" ht="13">
      <c r="B530" s="117"/>
      <c r="D530" s="117"/>
      <c r="I530" s="1"/>
    </row>
    <row r="531" spans="2:9" ht="13">
      <c r="B531" s="117"/>
      <c r="D531" s="117"/>
      <c r="I531" s="1"/>
    </row>
    <row r="532" spans="2:9" ht="13">
      <c r="B532" s="117"/>
      <c r="D532" s="117"/>
      <c r="I532" s="1"/>
    </row>
    <row r="533" spans="2:9" ht="13">
      <c r="B533" s="117"/>
      <c r="D533" s="117"/>
      <c r="I533" s="1"/>
    </row>
    <row r="534" spans="2:9" ht="13">
      <c r="B534" s="117"/>
      <c r="D534" s="117"/>
      <c r="I534" s="1"/>
    </row>
    <row r="535" spans="2:9" ht="13">
      <c r="B535" s="117"/>
      <c r="D535" s="117"/>
      <c r="I535" s="1"/>
    </row>
    <row r="536" spans="2:9" ht="13">
      <c r="B536" s="117"/>
      <c r="D536" s="117"/>
      <c r="I536" s="1"/>
    </row>
    <row r="537" spans="2:9" ht="13">
      <c r="B537" s="117"/>
      <c r="D537" s="117"/>
      <c r="I537" s="1"/>
    </row>
    <row r="538" spans="2:9" ht="13">
      <c r="B538" s="117"/>
      <c r="D538" s="117"/>
      <c r="I538" s="1"/>
    </row>
    <row r="539" spans="2:9" ht="13">
      <c r="B539" s="117"/>
      <c r="D539" s="117"/>
      <c r="I539" s="1"/>
    </row>
    <row r="540" spans="2:9" ht="13">
      <c r="B540" s="117"/>
      <c r="D540" s="117"/>
      <c r="I540" s="1"/>
    </row>
    <row r="541" spans="2:9" ht="13">
      <c r="B541" s="117"/>
      <c r="D541" s="117"/>
      <c r="I541" s="1"/>
    </row>
    <row r="542" spans="2:9" ht="13">
      <c r="B542" s="117"/>
      <c r="D542" s="117"/>
      <c r="I542" s="1"/>
    </row>
    <row r="543" spans="2:9" ht="13">
      <c r="B543" s="117"/>
      <c r="D543" s="117"/>
      <c r="I543" s="1"/>
    </row>
    <row r="544" spans="2:9" ht="13">
      <c r="B544" s="117"/>
      <c r="D544" s="117"/>
      <c r="I544" s="1"/>
    </row>
    <row r="545" spans="2:9" ht="13">
      <c r="B545" s="117"/>
      <c r="D545" s="117"/>
      <c r="I545" s="1"/>
    </row>
    <row r="546" spans="2:9" ht="13">
      <c r="B546" s="117"/>
      <c r="D546" s="117"/>
      <c r="I546" s="1"/>
    </row>
    <row r="547" spans="2:9" ht="13">
      <c r="B547" s="117"/>
      <c r="D547" s="117"/>
      <c r="I547" s="1"/>
    </row>
    <row r="548" spans="2:9" ht="13">
      <c r="B548" s="117"/>
      <c r="D548" s="117"/>
      <c r="I548" s="1"/>
    </row>
    <row r="549" spans="2:9" ht="13">
      <c r="B549" s="117"/>
      <c r="D549" s="117"/>
      <c r="I549" s="1"/>
    </row>
    <row r="550" spans="2:9" ht="13">
      <c r="B550" s="117"/>
      <c r="D550" s="117"/>
      <c r="I550" s="1"/>
    </row>
    <row r="551" spans="2:9" ht="13">
      <c r="B551" s="117"/>
      <c r="D551" s="117"/>
      <c r="I551" s="1"/>
    </row>
    <row r="552" spans="2:9" ht="13">
      <c r="B552" s="117"/>
      <c r="D552" s="117"/>
      <c r="I552" s="1"/>
    </row>
    <row r="553" spans="2:9" ht="13">
      <c r="B553" s="117"/>
      <c r="D553" s="117"/>
      <c r="I553" s="1"/>
    </row>
    <row r="554" spans="2:9" ht="13">
      <c r="B554" s="117"/>
      <c r="D554" s="117"/>
      <c r="I554" s="1"/>
    </row>
    <row r="555" spans="2:9" ht="13">
      <c r="B555" s="117"/>
      <c r="D555" s="117"/>
      <c r="I555" s="1"/>
    </row>
    <row r="556" spans="2:9" ht="13">
      <c r="B556" s="117"/>
      <c r="D556" s="117"/>
      <c r="I556" s="1"/>
    </row>
    <row r="557" spans="2:9" ht="13">
      <c r="B557" s="117"/>
      <c r="D557" s="117"/>
      <c r="I557" s="1"/>
    </row>
    <row r="558" spans="2:9" ht="13">
      <c r="B558" s="117"/>
      <c r="D558" s="117"/>
      <c r="I558" s="1"/>
    </row>
    <row r="559" spans="2:9" ht="13">
      <c r="B559" s="117"/>
      <c r="D559" s="117"/>
      <c r="I559" s="1"/>
    </row>
    <row r="560" spans="2:9" ht="13">
      <c r="B560" s="117"/>
      <c r="D560" s="117"/>
      <c r="I560" s="1"/>
    </row>
    <row r="561" spans="2:9" ht="13">
      <c r="B561" s="117"/>
      <c r="D561" s="117"/>
      <c r="I561" s="1"/>
    </row>
    <row r="562" spans="2:9" ht="13">
      <c r="B562" s="117"/>
      <c r="D562" s="117"/>
      <c r="I562" s="1"/>
    </row>
    <row r="563" spans="2:9" ht="13">
      <c r="B563" s="117"/>
      <c r="D563" s="117"/>
      <c r="I563" s="1"/>
    </row>
    <row r="564" spans="2:9" ht="13">
      <c r="B564" s="117"/>
      <c r="D564" s="117"/>
      <c r="I564" s="1"/>
    </row>
    <row r="565" spans="2:9" ht="13">
      <c r="B565" s="117"/>
      <c r="D565" s="117"/>
      <c r="I565" s="1"/>
    </row>
    <row r="566" spans="2:9" ht="13">
      <c r="B566" s="117"/>
      <c r="D566" s="117"/>
      <c r="I566" s="1"/>
    </row>
    <row r="567" spans="2:9" ht="13">
      <c r="B567" s="117"/>
      <c r="D567" s="117"/>
      <c r="I567" s="1"/>
    </row>
    <row r="568" spans="2:9" ht="13">
      <c r="B568" s="117"/>
      <c r="D568" s="117"/>
      <c r="I568" s="1"/>
    </row>
    <row r="569" spans="2:9" ht="13">
      <c r="B569" s="117"/>
      <c r="D569" s="117"/>
      <c r="I569" s="1"/>
    </row>
    <row r="570" spans="2:9" ht="13">
      <c r="B570" s="117"/>
      <c r="D570" s="117"/>
      <c r="I570" s="1"/>
    </row>
    <row r="571" spans="2:9" ht="13">
      <c r="B571" s="117"/>
      <c r="D571" s="117"/>
      <c r="I571" s="1"/>
    </row>
    <row r="572" spans="2:9" ht="13">
      <c r="B572" s="117"/>
      <c r="D572" s="117"/>
      <c r="I572" s="1"/>
    </row>
    <row r="573" spans="2:9" ht="13">
      <c r="B573" s="117"/>
      <c r="D573" s="117"/>
      <c r="I573" s="1"/>
    </row>
    <row r="574" spans="2:9" ht="13">
      <c r="B574" s="117"/>
      <c r="D574" s="117"/>
      <c r="I574" s="1"/>
    </row>
    <row r="575" spans="2:9" ht="13">
      <c r="B575" s="117"/>
      <c r="D575" s="117"/>
      <c r="I575" s="1"/>
    </row>
    <row r="576" spans="2:9" ht="13">
      <c r="B576" s="117"/>
      <c r="D576" s="117"/>
      <c r="I576" s="1"/>
    </row>
    <row r="577" spans="2:9" ht="13">
      <c r="B577" s="117"/>
      <c r="D577" s="117"/>
      <c r="I577" s="1"/>
    </row>
    <row r="578" spans="2:9" ht="13">
      <c r="B578" s="117"/>
      <c r="D578" s="117"/>
      <c r="I578" s="1"/>
    </row>
    <row r="579" spans="2:9" ht="13">
      <c r="B579" s="117"/>
      <c r="D579" s="117"/>
      <c r="I579" s="1"/>
    </row>
    <row r="580" spans="2:9" ht="13">
      <c r="B580" s="117"/>
      <c r="D580" s="117"/>
      <c r="I580" s="1"/>
    </row>
    <row r="581" spans="2:9" ht="13">
      <c r="B581" s="117"/>
      <c r="D581" s="117"/>
      <c r="I581" s="1"/>
    </row>
    <row r="582" spans="2:9" ht="13">
      <c r="B582" s="117"/>
      <c r="D582" s="117"/>
      <c r="I582" s="1"/>
    </row>
    <row r="583" spans="2:9" ht="13">
      <c r="B583" s="117"/>
      <c r="D583" s="117"/>
      <c r="I583" s="1"/>
    </row>
    <row r="584" spans="2:9" ht="13">
      <c r="B584" s="117"/>
      <c r="D584" s="117"/>
      <c r="I584" s="1"/>
    </row>
    <row r="585" spans="2:9" ht="13">
      <c r="B585" s="117"/>
      <c r="D585" s="117"/>
      <c r="I585" s="1"/>
    </row>
    <row r="586" spans="2:9" ht="13">
      <c r="B586" s="117"/>
      <c r="D586" s="117"/>
      <c r="I586" s="1"/>
    </row>
    <row r="587" spans="2:9" ht="13">
      <c r="B587" s="117"/>
      <c r="D587" s="117"/>
      <c r="I587" s="1"/>
    </row>
    <row r="588" spans="2:9" ht="13">
      <c r="B588" s="117"/>
      <c r="D588" s="117"/>
      <c r="I588" s="1"/>
    </row>
    <row r="589" spans="2:9" ht="13">
      <c r="B589" s="117"/>
      <c r="D589" s="117"/>
      <c r="I589" s="1"/>
    </row>
    <row r="590" spans="2:9" ht="13">
      <c r="B590" s="117"/>
      <c r="D590" s="117"/>
      <c r="I590" s="1"/>
    </row>
    <row r="591" spans="2:9" ht="13">
      <c r="B591" s="117"/>
      <c r="D591" s="117"/>
      <c r="I591" s="1"/>
    </row>
    <row r="592" spans="2:9" ht="13">
      <c r="B592" s="117"/>
      <c r="D592" s="117"/>
      <c r="I592" s="1"/>
    </row>
    <row r="593" spans="2:9" ht="13">
      <c r="B593" s="117"/>
      <c r="D593" s="117"/>
      <c r="I593" s="1"/>
    </row>
    <row r="594" spans="2:9" ht="13">
      <c r="B594" s="117"/>
      <c r="D594" s="117"/>
      <c r="I594" s="1"/>
    </row>
    <row r="595" spans="2:9" ht="13">
      <c r="B595" s="117"/>
      <c r="D595" s="117"/>
      <c r="I595" s="1"/>
    </row>
    <row r="596" spans="2:9" ht="13">
      <c r="B596" s="117"/>
      <c r="D596" s="117"/>
      <c r="I596" s="1"/>
    </row>
    <row r="597" spans="2:9" ht="13">
      <c r="B597" s="117"/>
      <c r="D597" s="117"/>
      <c r="I597" s="1"/>
    </row>
    <row r="598" spans="2:9" ht="13">
      <c r="B598" s="117"/>
      <c r="D598" s="117"/>
      <c r="I598" s="1"/>
    </row>
    <row r="599" spans="2:9" ht="13">
      <c r="B599" s="117"/>
      <c r="D599" s="117"/>
      <c r="I599" s="1"/>
    </row>
    <row r="600" spans="2:9" ht="13">
      <c r="B600" s="117"/>
      <c r="D600" s="117"/>
      <c r="I600" s="1"/>
    </row>
    <row r="601" spans="2:9" ht="13">
      <c r="B601" s="117"/>
      <c r="D601" s="117"/>
      <c r="I601" s="1"/>
    </row>
    <row r="602" spans="2:9" ht="13">
      <c r="B602" s="117"/>
      <c r="D602" s="117"/>
      <c r="I602" s="1"/>
    </row>
    <row r="603" spans="2:9" ht="13">
      <c r="B603" s="117"/>
      <c r="D603" s="117"/>
      <c r="I603" s="1"/>
    </row>
    <row r="604" spans="2:9" ht="13">
      <c r="B604" s="117"/>
      <c r="D604" s="117"/>
      <c r="I604" s="1"/>
    </row>
    <row r="605" spans="2:9" ht="13">
      <c r="B605" s="117"/>
      <c r="D605" s="117"/>
      <c r="I605" s="1"/>
    </row>
    <row r="606" spans="2:9" ht="13">
      <c r="B606" s="117"/>
      <c r="D606" s="117"/>
      <c r="I606" s="1"/>
    </row>
    <row r="607" spans="2:9" ht="13">
      <c r="B607" s="117"/>
      <c r="D607" s="117"/>
      <c r="I607" s="1"/>
    </row>
    <row r="608" spans="2:9" ht="13">
      <c r="B608" s="117"/>
      <c r="D608" s="117"/>
      <c r="I608" s="1"/>
    </row>
    <row r="609" spans="2:9" ht="13">
      <c r="B609" s="117"/>
      <c r="D609" s="117"/>
      <c r="I609" s="1"/>
    </row>
    <row r="610" spans="2:9" ht="13">
      <c r="B610" s="117"/>
      <c r="D610" s="117"/>
      <c r="I610" s="1"/>
    </row>
    <row r="611" spans="2:9" ht="13">
      <c r="B611" s="117"/>
      <c r="D611" s="117"/>
      <c r="I611" s="1"/>
    </row>
    <row r="612" spans="2:9" ht="13">
      <c r="B612" s="117"/>
      <c r="D612" s="117"/>
      <c r="I612" s="1"/>
    </row>
    <row r="613" spans="2:9" ht="13">
      <c r="B613" s="117"/>
      <c r="D613" s="117"/>
      <c r="I613" s="1"/>
    </row>
    <row r="614" spans="2:9" ht="13">
      <c r="B614" s="117"/>
      <c r="D614" s="117"/>
      <c r="I614" s="1"/>
    </row>
    <row r="615" spans="2:9" ht="13">
      <c r="B615" s="117"/>
      <c r="D615" s="117"/>
      <c r="I615" s="1"/>
    </row>
    <row r="616" spans="2:9" ht="13">
      <c r="B616" s="117"/>
      <c r="D616" s="117"/>
      <c r="I616" s="1"/>
    </row>
    <row r="617" spans="2:9" ht="13">
      <c r="B617" s="117"/>
      <c r="D617" s="117"/>
      <c r="I617" s="1"/>
    </row>
    <row r="618" spans="2:9" ht="13">
      <c r="B618" s="117"/>
      <c r="D618" s="117"/>
      <c r="I618" s="1"/>
    </row>
    <row r="619" spans="2:9" ht="13">
      <c r="B619" s="117"/>
      <c r="D619" s="117"/>
      <c r="I619" s="1"/>
    </row>
    <row r="620" spans="2:9" ht="13">
      <c r="B620" s="117"/>
      <c r="D620" s="117"/>
      <c r="I620" s="1"/>
    </row>
    <row r="621" spans="2:9" ht="13">
      <c r="B621" s="117"/>
      <c r="D621" s="117"/>
      <c r="I621" s="1"/>
    </row>
    <row r="622" spans="2:9" ht="13">
      <c r="B622" s="117"/>
      <c r="D622" s="117"/>
      <c r="I622" s="1"/>
    </row>
    <row r="623" spans="2:9" ht="13">
      <c r="B623" s="117"/>
      <c r="D623" s="117"/>
      <c r="I623" s="1"/>
    </row>
    <row r="624" spans="2:9" ht="13">
      <c r="B624" s="117"/>
      <c r="D624" s="117"/>
      <c r="I624" s="1"/>
    </row>
    <row r="625" spans="2:9" ht="13">
      <c r="B625" s="117"/>
      <c r="D625" s="117"/>
      <c r="I625" s="1"/>
    </row>
    <row r="626" spans="2:9" ht="13">
      <c r="B626" s="117"/>
      <c r="D626" s="117"/>
      <c r="I626" s="1"/>
    </row>
    <row r="627" spans="2:9" ht="13">
      <c r="B627" s="117"/>
      <c r="D627" s="117"/>
      <c r="I627" s="1"/>
    </row>
    <row r="628" spans="2:9" ht="13">
      <c r="B628" s="117"/>
      <c r="D628" s="117"/>
      <c r="I628" s="1"/>
    </row>
    <row r="629" spans="2:9" ht="13">
      <c r="B629" s="117"/>
      <c r="D629" s="117"/>
      <c r="I629" s="1"/>
    </row>
    <row r="630" spans="2:9" ht="13">
      <c r="B630" s="117"/>
      <c r="D630" s="117"/>
      <c r="I630" s="1"/>
    </row>
    <row r="631" spans="2:9" ht="13">
      <c r="B631" s="117"/>
      <c r="D631" s="117"/>
      <c r="I631" s="1"/>
    </row>
    <row r="632" spans="2:9" ht="13">
      <c r="B632" s="117"/>
      <c r="D632" s="117"/>
      <c r="I632" s="1"/>
    </row>
    <row r="633" spans="2:9" ht="13">
      <c r="B633" s="117"/>
      <c r="D633" s="117"/>
      <c r="I633" s="1"/>
    </row>
    <row r="634" spans="2:9" ht="13">
      <c r="B634" s="117"/>
      <c r="D634" s="117"/>
      <c r="I634" s="1"/>
    </row>
    <row r="635" spans="2:9" ht="13">
      <c r="B635" s="117"/>
      <c r="D635" s="117"/>
      <c r="I635" s="1"/>
    </row>
    <row r="636" spans="2:9" ht="13">
      <c r="B636" s="117"/>
      <c r="D636" s="117"/>
      <c r="I636" s="1"/>
    </row>
    <row r="637" spans="2:9" ht="13">
      <c r="B637" s="117"/>
      <c r="D637" s="117"/>
      <c r="I637" s="1"/>
    </row>
    <row r="638" spans="2:9" ht="13">
      <c r="B638" s="117"/>
      <c r="D638" s="117"/>
      <c r="I638" s="1"/>
    </row>
    <row r="639" spans="2:9" ht="13">
      <c r="B639" s="117"/>
      <c r="D639" s="117"/>
      <c r="I639" s="1"/>
    </row>
    <row r="640" spans="2:9" ht="13">
      <c r="B640" s="117"/>
      <c r="D640" s="117"/>
      <c r="I640" s="1"/>
    </row>
    <row r="641" spans="2:9" ht="13">
      <c r="B641" s="117"/>
      <c r="D641" s="117"/>
      <c r="I641" s="1"/>
    </row>
    <row r="642" spans="2:9" ht="13">
      <c r="B642" s="117"/>
      <c r="D642" s="117"/>
      <c r="I642" s="1"/>
    </row>
    <row r="643" spans="2:9" ht="13">
      <c r="B643" s="117"/>
      <c r="D643" s="117"/>
      <c r="I643" s="1"/>
    </row>
    <row r="644" spans="2:9" ht="13">
      <c r="B644" s="117"/>
      <c r="D644" s="117"/>
      <c r="I644" s="1"/>
    </row>
    <row r="645" spans="2:9" ht="13">
      <c r="B645" s="117"/>
      <c r="D645" s="117"/>
      <c r="I645" s="1"/>
    </row>
    <row r="646" spans="2:9" ht="13">
      <c r="B646" s="117"/>
      <c r="D646" s="117"/>
      <c r="I646" s="1"/>
    </row>
    <row r="647" spans="2:9" ht="13">
      <c r="B647" s="117"/>
      <c r="D647" s="117"/>
      <c r="I647" s="1"/>
    </row>
    <row r="648" spans="2:9" ht="13">
      <c r="B648" s="117"/>
      <c r="D648" s="117"/>
      <c r="I648" s="1"/>
    </row>
    <row r="649" spans="2:9" ht="13">
      <c r="B649" s="117"/>
      <c r="D649" s="117"/>
      <c r="I649" s="1"/>
    </row>
    <row r="650" spans="2:9" ht="13">
      <c r="B650" s="117"/>
      <c r="D650" s="117"/>
      <c r="I650" s="1"/>
    </row>
    <row r="651" spans="2:9" ht="13">
      <c r="B651" s="117"/>
      <c r="D651" s="117"/>
      <c r="I651" s="1"/>
    </row>
    <row r="652" spans="2:9" ht="13">
      <c r="B652" s="117"/>
      <c r="D652" s="117"/>
      <c r="I652" s="1"/>
    </row>
    <row r="653" spans="2:9" ht="13">
      <c r="B653" s="117"/>
      <c r="D653" s="117"/>
      <c r="I653" s="1"/>
    </row>
    <row r="654" spans="2:9" ht="13">
      <c r="B654" s="117"/>
      <c r="D654" s="117"/>
      <c r="I654" s="1"/>
    </row>
    <row r="655" spans="2:9" ht="13">
      <c r="B655" s="117"/>
      <c r="D655" s="117"/>
      <c r="I655" s="1"/>
    </row>
    <row r="656" spans="2:9" ht="13">
      <c r="B656" s="117"/>
      <c r="D656" s="117"/>
      <c r="I656" s="1"/>
    </row>
    <row r="657" spans="2:9" ht="13">
      <c r="B657" s="117"/>
      <c r="D657" s="117"/>
      <c r="I657" s="1"/>
    </row>
    <row r="658" spans="2:9" ht="13">
      <c r="B658" s="117"/>
      <c r="D658" s="117"/>
      <c r="I658" s="1"/>
    </row>
    <row r="659" spans="2:9" ht="13">
      <c r="B659" s="117"/>
      <c r="D659" s="117"/>
      <c r="I659" s="1"/>
    </row>
    <row r="660" spans="2:9" ht="13">
      <c r="B660" s="117"/>
      <c r="D660" s="117"/>
      <c r="I660" s="1"/>
    </row>
    <row r="661" spans="2:9" ht="13">
      <c r="B661" s="117"/>
      <c r="D661" s="117"/>
      <c r="I661" s="1"/>
    </row>
    <row r="662" spans="2:9" ht="13">
      <c r="B662" s="117"/>
      <c r="D662" s="117"/>
      <c r="I662" s="1"/>
    </row>
    <row r="663" spans="2:9" ht="13">
      <c r="B663" s="117"/>
      <c r="D663" s="117"/>
      <c r="I663" s="1"/>
    </row>
    <row r="664" spans="2:9" ht="13">
      <c r="B664" s="117"/>
      <c r="D664" s="117"/>
      <c r="I664" s="1"/>
    </row>
    <row r="665" spans="2:9" ht="13">
      <c r="B665" s="117"/>
      <c r="D665" s="117"/>
      <c r="I665" s="1"/>
    </row>
    <row r="666" spans="2:9" ht="13">
      <c r="B666" s="117"/>
      <c r="D666" s="117"/>
      <c r="I666" s="1"/>
    </row>
    <row r="667" spans="2:9" ht="13">
      <c r="B667" s="117"/>
      <c r="D667" s="117"/>
      <c r="I667" s="1"/>
    </row>
    <row r="668" spans="2:9" ht="13">
      <c r="B668" s="117"/>
      <c r="D668" s="117"/>
      <c r="I668" s="1"/>
    </row>
    <row r="669" spans="2:9" ht="13">
      <c r="B669" s="117"/>
      <c r="D669" s="117"/>
      <c r="I669" s="1"/>
    </row>
    <row r="670" spans="2:9" ht="13">
      <c r="B670" s="117"/>
      <c r="D670" s="117"/>
      <c r="I670" s="1"/>
    </row>
    <row r="671" spans="2:9" ht="13">
      <c r="B671" s="117"/>
      <c r="D671" s="117"/>
      <c r="I671" s="1"/>
    </row>
    <row r="672" spans="2:9" ht="13">
      <c r="B672" s="117"/>
      <c r="D672" s="117"/>
      <c r="I672" s="1"/>
    </row>
    <row r="673" spans="2:9" ht="13">
      <c r="B673" s="117"/>
      <c r="D673" s="117"/>
      <c r="I673" s="1"/>
    </row>
    <row r="674" spans="2:9" ht="13">
      <c r="B674" s="117"/>
      <c r="D674" s="117"/>
      <c r="I674" s="1"/>
    </row>
    <row r="675" spans="2:9" ht="13">
      <c r="B675" s="117"/>
      <c r="D675" s="117"/>
      <c r="I675" s="1"/>
    </row>
    <row r="676" spans="2:9" ht="13">
      <c r="B676" s="117"/>
      <c r="D676" s="117"/>
      <c r="I676" s="1"/>
    </row>
    <row r="677" spans="2:9" ht="13">
      <c r="B677" s="117"/>
      <c r="D677" s="117"/>
      <c r="I677" s="1"/>
    </row>
    <row r="678" spans="2:9" ht="13">
      <c r="B678" s="117"/>
      <c r="D678" s="117"/>
      <c r="I678" s="1"/>
    </row>
    <row r="679" spans="2:9" ht="13">
      <c r="B679" s="117"/>
      <c r="D679" s="117"/>
      <c r="I679" s="1"/>
    </row>
    <row r="680" spans="2:9" ht="13">
      <c r="B680" s="117"/>
      <c r="D680" s="117"/>
      <c r="I680" s="1"/>
    </row>
    <row r="681" spans="2:9" ht="13">
      <c r="B681" s="117"/>
      <c r="D681" s="117"/>
      <c r="I681" s="1"/>
    </row>
    <row r="682" spans="2:9" ht="13">
      <c r="B682" s="117"/>
      <c r="D682" s="117"/>
      <c r="I682" s="1"/>
    </row>
    <row r="683" spans="2:9" ht="13">
      <c r="B683" s="117"/>
      <c r="D683" s="117"/>
      <c r="I683" s="1"/>
    </row>
    <row r="684" spans="2:9" ht="13">
      <c r="B684" s="117"/>
      <c r="D684" s="117"/>
      <c r="I684" s="1"/>
    </row>
    <row r="685" spans="2:9" ht="13">
      <c r="B685" s="117"/>
      <c r="D685" s="117"/>
      <c r="I685" s="1"/>
    </row>
    <row r="686" spans="2:9" ht="13">
      <c r="B686" s="117"/>
      <c r="D686" s="117"/>
      <c r="I686" s="1"/>
    </row>
    <row r="687" spans="2:9" ht="13">
      <c r="B687" s="117"/>
      <c r="D687" s="117"/>
      <c r="I687" s="1"/>
    </row>
    <row r="688" spans="2:9" ht="13">
      <c r="B688" s="117"/>
      <c r="D688" s="117"/>
      <c r="I688" s="1"/>
    </row>
    <row r="689" spans="2:9" ht="13">
      <c r="B689" s="117"/>
      <c r="D689" s="117"/>
      <c r="I689" s="1"/>
    </row>
    <row r="690" spans="2:9" ht="13">
      <c r="B690" s="117"/>
      <c r="D690" s="117"/>
      <c r="I690" s="1"/>
    </row>
    <row r="691" spans="2:9" ht="13">
      <c r="B691" s="117"/>
      <c r="D691" s="117"/>
      <c r="I691" s="1"/>
    </row>
    <row r="692" spans="2:9" ht="13">
      <c r="B692" s="117"/>
      <c r="D692" s="117"/>
      <c r="I692" s="1"/>
    </row>
    <row r="693" spans="2:9" ht="13">
      <c r="B693" s="117"/>
      <c r="D693" s="117"/>
      <c r="I693" s="1"/>
    </row>
    <row r="694" spans="2:9" ht="13">
      <c r="B694" s="117"/>
      <c r="D694" s="117"/>
      <c r="I694" s="1"/>
    </row>
    <row r="695" spans="2:9" ht="13">
      <c r="B695" s="117"/>
      <c r="D695" s="117"/>
      <c r="I695" s="1"/>
    </row>
    <row r="696" spans="2:9" ht="13">
      <c r="B696" s="117"/>
      <c r="D696" s="117"/>
      <c r="I696" s="1"/>
    </row>
    <row r="697" spans="2:9" ht="13">
      <c r="B697" s="117"/>
      <c r="D697" s="117"/>
      <c r="I697" s="1"/>
    </row>
    <row r="698" spans="2:9" ht="13">
      <c r="B698" s="117"/>
      <c r="D698" s="117"/>
      <c r="I698" s="1"/>
    </row>
    <row r="699" spans="2:9" ht="13">
      <c r="B699" s="117"/>
      <c r="D699" s="117"/>
      <c r="I699" s="1"/>
    </row>
    <row r="700" spans="2:9" ht="13">
      <c r="B700" s="117"/>
      <c r="D700" s="117"/>
      <c r="I700" s="1"/>
    </row>
    <row r="701" spans="2:9" ht="13">
      <c r="B701" s="117"/>
      <c r="D701" s="117"/>
      <c r="I701" s="1"/>
    </row>
    <row r="702" spans="2:9" ht="13">
      <c r="B702" s="117"/>
      <c r="D702" s="117"/>
      <c r="I702" s="1"/>
    </row>
    <row r="703" spans="2:9" ht="13">
      <c r="B703" s="117"/>
      <c r="D703" s="117"/>
      <c r="I703" s="1"/>
    </row>
    <row r="704" spans="2:9" ht="13">
      <c r="B704" s="117"/>
      <c r="D704" s="117"/>
      <c r="I704" s="1"/>
    </row>
    <row r="705" spans="2:9" ht="13">
      <c r="B705" s="117"/>
      <c r="D705" s="117"/>
      <c r="I705" s="1"/>
    </row>
    <row r="706" spans="2:9" ht="13">
      <c r="B706" s="117"/>
      <c r="D706" s="117"/>
      <c r="I706" s="1"/>
    </row>
    <row r="707" spans="2:9" ht="13">
      <c r="B707" s="117"/>
      <c r="D707" s="117"/>
      <c r="I707" s="1"/>
    </row>
    <row r="708" spans="2:9" ht="13">
      <c r="B708" s="117"/>
      <c r="D708" s="117"/>
      <c r="I708" s="1"/>
    </row>
    <row r="709" spans="2:9" ht="13">
      <c r="B709" s="117"/>
      <c r="D709" s="117"/>
      <c r="I709" s="1"/>
    </row>
    <row r="710" spans="2:9" ht="13">
      <c r="B710" s="117"/>
      <c r="D710" s="117"/>
      <c r="I710" s="1"/>
    </row>
    <row r="711" spans="2:9" ht="13">
      <c r="B711" s="117"/>
      <c r="D711" s="117"/>
      <c r="I711" s="1"/>
    </row>
    <row r="712" spans="2:9" ht="13">
      <c r="B712" s="117"/>
      <c r="D712" s="117"/>
      <c r="I712" s="1"/>
    </row>
    <row r="713" spans="2:9" ht="13">
      <c r="B713" s="117"/>
      <c r="D713" s="117"/>
      <c r="I713" s="1"/>
    </row>
    <row r="714" spans="2:9" ht="13">
      <c r="B714" s="117"/>
      <c r="D714" s="117"/>
      <c r="I714" s="1"/>
    </row>
    <row r="715" spans="2:9" ht="13">
      <c r="B715" s="117"/>
      <c r="D715" s="117"/>
      <c r="I715" s="1"/>
    </row>
    <row r="716" spans="2:9" ht="13">
      <c r="B716" s="117"/>
      <c r="D716" s="117"/>
      <c r="I716" s="1"/>
    </row>
    <row r="717" spans="2:9" ht="13">
      <c r="B717" s="117"/>
      <c r="D717" s="117"/>
      <c r="I717" s="1"/>
    </row>
    <row r="718" spans="2:9" ht="13">
      <c r="B718" s="117"/>
      <c r="D718" s="117"/>
      <c r="I718" s="1"/>
    </row>
    <row r="719" spans="2:9" ht="13">
      <c r="B719" s="117"/>
      <c r="D719" s="117"/>
      <c r="I719" s="1"/>
    </row>
    <row r="720" spans="2:9" ht="13">
      <c r="B720" s="117"/>
      <c r="D720" s="117"/>
      <c r="I720" s="1"/>
    </row>
    <row r="721" spans="2:9" ht="13">
      <c r="B721" s="117"/>
      <c r="D721" s="117"/>
      <c r="I721" s="1"/>
    </row>
    <row r="722" spans="2:9" ht="13">
      <c r="B722" s="117"/>
      <c r="D722" s="117"/>
      <c r="I722" s="1"/>
    </row>
    <row r="723" spans="2:9" ht="13">
      <c r="B723" s="117"/>
      <c r="D723" s="117"/>
      <c r="I723" s="1"/>
    </row>
    <row r="724" spans="2:9" ht="13">
      <c r="B724" s="117"/>
      <c r="D724" s="117"/>
      <c r="I724" s="1"/>
    </row>
    <row r="725" spans="2:9" ht="13">
      <c r="B725" s="117"/>
      <c r="D725" s="117"/>
      <c r="I725" s="1"/>
    </row>
    <row r="726" spans="2:9" ht="13">
      <c r="B726" s="117"/>
      <c r="D726" s="117"/>
      <c r="I726" s="1"/>
    </row>
    <row r="727" spans="2:9" ht="13">
      <c r="B727" s="117"/>
      <c r="D727" s="117"/>
      <c r="I727" s="1"/>
    </row>
    <row r="728" spans="2:9" ht="13">
      <c r="B728" s="117"/>
      <c r="D728" s="117"/>
      <c r="I728" s="1"/>
    </row>
    <row r="729" spans="2:9" ht="13">
      <c r="B729" s="117"/>
      <c r="D729" s="117"/>
      <c r="I729" s="1"/>
    </row>
    <row r="730" spans="2:9" ht="13">
      <c r="B730" s="117"/>
      <c r="D730" s="117"/>
      <c r="I730" s="1"/>
    </row>
    <row r="731" spans="2:9" ht="13">
      <c r="B731" s="117"/>
      <c r="D731" s="117"/>
      <c r="I731" s="1"/>
    </row>
    <row r="732" spans="2:9" ht="13">
      <c r="B732" s="117"/>
      <c r="D732" s="117"/>
      <c r="I732" s="1"/>
    </row>
    <row r="733" spans="2:9" ht="13">
      <c r="B733" s="117"/>
      <c r="D733" s="117"/>
      <c r="I733" s="1"/>
    </row>
    <row r="734" spans="2:9" ht="13">
      <c r="B734" s="117"/>
      <c r="D734" s="117"/>
      <c r="I734" s="1"/>
    </row>
    <row r="735" spans="2:9" ht="13">
      <c r="B735" s="117"/>
      <c r="D735" s="117"/>
      <c r="I735" s="1"/>
    </row>
    <row r="736" spans="2:9" ht="13">
      <c r="B736" s="117"/>
      <c r="D736" s="117"/>
      <c r="I736" s="1"/>
    </row>
    <row r="737" spans="2:9" ht="13">
      <c r="B737" s="117"/>
      <c r="D737" s="117"/>
      <c r="I737" s="1"/>
    </row>
    <row r="738" spans="2:9" ht="13">
      <c r="B738" s="117"/>
      <c r="D738" s="117"/>
      <c r="I738" s="1"/>
    </row>
    <row r="739" spans="2:9" ht="13">
      <c r="B739" s="117"/>
      <c r="D739" s="117"/>
      <c r="I739" s="1"/>
    </row>
    <row r="740" spans="2:9" ht="13">
      <c r="B740" s="117"/>
      <c r="D740" s="117"/>
      <c r="I740" s="1"/>
    </row>
    <row r="741" spans="2:9" ht="13">
      <c r="B741" s="117"/>
      <c r="D741" s="117"/>
      <c r="I741" s="1"/>
    </row>
    <row r="742" spans="2:9" ht="13">
      <c r="B742" s="117"/>
      <c r="D742" s="117"/>
      <c r="I742" s="1"/>
    </row>
    <row r="743" spans="2:9" ht="13">
      <c r="B743" s="117"/>
      <c r="D743" s="117"/>
      <c r="I743" s="1"/>
    </row>
    <row r="744" spans="2:9" ht="13">
      <c r="B744" s="117"/>
      <c r="D744" s="117"/>
      <c r="I744" s="1"/>
    </row>
    <row r="745" spans="2:9" ht="13">
      <c r="B745" s="117"/>
      <c r="D745" s="117"/>
      <c r="I745" s="1"/>
    </row>
    <row r="746" spans="2:9" ht="13">
      <c r="B746" s="117"/>
      <c r="D746" s="117"/>
      <c r="I746" s="1"/>
    </row>
    <row r="747" spans="2:9" ht="13">
      <c r="B747" s="117"/>
      <c r="D747" s="117"/>
      <c r="I747" s="1"/>
    </row>
    <row r="748" spans="2:9" ht="13">
      <c r="B748" s="117"/>
      <c r="D748" s="117"/>
      <c r="I748" s="1"/>
    </row>
    <row r="749" spans="2:9" ht="13">
      <c r="B749" s="117"/>
      <c r="D749" s="117"/>
      <c r="I749" s="1"/>
    </row>
    <row r="750" spans="2:9" ht="13">
      <c r="B750" s="117"/>
      <c r="D750" s="117"/>
      <c r="I750" s="1"/>
    </row>
    <row r="751" spans="2:9" ht="13">
      <c r="B751" s="117"/>
      <c r="D751" s="117"/>
      <c r="I751" s="1"/>
    </row>
    <row r="752" spans="2:9" ht="13">
      <c r="B752" s="117"/>
      <c r="D752" s="117"/>
      <c r="I752" s="1"/>
    </row>
    <row r="753" spans="2:9" ht="13">
      <c r="B753" s="117"/>
      <c r="D753" s="117"/>
      <c r="I753" s="1"/>
    </row>
    <row r="754" spans="2:9" ht="13">
      <c r="B754" s="117"/>
      <c r="D754" s="117"/>
      <c r="I754" s="1"/>
    </row>
    <row r="755" spans="2:9" ht="13">
      <c r="B755" s="117"/>
      <c r="D755" s="117"/>
      <c r="I755" s="1"/>
    </row>
    <row r="756" spans="2:9" ht="13">
      <c r="B756" s="117"/>
      <c r="D756" s="117"/>
      <c r="I756" s="1"/>
    </row>
    <row r="757" spans="2:9" ht="13">
      <c r="B757" s="117"/>
      <c r="D757" s="117"/>
      <c r="I757" s="1"/>
    </row>
    <row r="758" spans="2:9" ht="13">
      <c r="B758" s="117"/>
      <c r="D758" s="117"/>
      <c r="I758" s="1"/>
    </row>
    <row r="759" spans="2:9" ht="13">
      <c r="B759" s="117"/>
      <c r="D759" s="117"/>
      <c r="I759" s="1"/>
    </row>
    <row r="760" spans="2:9" ht="13">
      <c r="B760" s="117"/>
      <c r="D760" s="117"/>
      <c r="I760" s="1"/>
    </row>
    <row r="761" spans="2:9" ht="13">
      <c r="B761" s="117"/>
      <c r="D761" s="117"/>
      <c r="I761" s="1"/>
    </row>
    <row r="762" spans="2:9" ht="13">
      <c r="B762" s="117"/>
      <c r="D762" s="117"/>
      <c r="I762" s="1"/>
    </row>
    <row r="763" spans="2:9" ht="13">
      <c r="B763" s="117"/>
      <c r="D763" s="117"/>
      <c r="I763" s="1"/>
    </row>
    <row r="764" spans="2:9" ht="13">
      <c r="B764" s="117"/>
      <c r="D764" s="117"/>
      <c r="I764" s="1"/>
    </row>
    <row r="765" spans="2:9" ht="13">
      <c r="B765" s="117"/>
      <c r="D765" s="117"/>
      <c r="I765" s="1"/>
    </row>
    <row r="766" spans="2:9" ht="13">
      <c r="B766" s="117"/>
      <c r="D766" s="117"/>
      <c r="I766" s="1"/>
    </row>
    <row r="767" spans="2:9" ht="13">
      <c r="B767" s="117"/>
      <c r="D767" s="117"/>
      <c r="I767" s="1"/>
    </row>
    <row r="768" spans="2:9" ht="13">
      <c r="B768" s="117"/>
      <c r="D768" s="117"/>
      <c r="I768" s="1"/>
    </row>
    <row r="769" spans="2:9" ht="13">
      <c r="B769" s="117"/>
      <c r="D769" s="117"/>
      <c r="I769" s="1"/>
    </row>
    <row r="770" spans="2:9" ht="13">
      <c r="B770" s="117"/>
      <c r="D770" s="117"/>
      <c r="I770" s="1"/>
    </row>
    <row r="771" spans="2:9" ht="13">
      <c r="B771" s="117"/>
      <c r="D771" s="117"/>
      <c r="I771" s="1"/>
    </row>
    <row r="772" spans="2:9" ht="13">
      <c r="B772" s="117"/>
      <c r="D772" s="117"/>
      <c r="I772" s="1"/>
    </row>
    <row r="773" spans="2:9" ht="13">
      <c r="B773" s="117"/>
      <c r="D773" s="117"/>
      <c r="I773" s="1"/>
    </row>
    <row r="774" spans="2:9" ht="13">
      <c r="B774" s="117"/>
      <c r="D774" s="117"/>
      <c r="I774" s="1"/>
    </row>
    <row r="775" spans="2:9" ht="13">
      <c r="B775" s="117"/>
      <c r="D775" s="117"/>
      <c r="I775" s="1"/>
    </row>
    <row r="776" spans="2:9" ht="13">
      <c r="B776" s="117"/>
      <c r="D776" s="117"/>
      <c r="I776" s="1"/>
    </row>
    <row r="777" spans="2:9" ht="13">
      <c r="B777" s="117"/>
      <c r="D777" s="117"/>
      <c r="I777" s="1"/>
    </row>
    <row r="778" spans="2:9" ht="13">
      <c r="B778" s="117"/>
      <c r="D778" s="117"/>
      <c r="I778" s="1"/>
    </row>
    <row r="779" spans="2:9" ht="13">
      <c r="B779" s="117"/>
      <c r="D779" s="117"/>
      <c r="I779" s="1"/>
    </row>
    <row r="780" spans="2:9" ht="13">
      <c r="B780" s="117"/>
      <c r="D780" s="117"/>
      <c r="I780" s="1"/>
    </row>
    <row r="781" spans="2:9" ht="13">
      <c r="B781" s="117"/>
      <c r="D781" s="117"/>
      <c r="I781" s="1"/>
    </row>
    <row r="782" spans="2:9" ht="13">
      <c r="B782" s="117"/>
      <c r="D782" s="117"/>
      <c r="I782" s="1"/>
    </row>
    <row r="783" spans="2:9" ht="13">
      <c r="B783" s="117"/>
      <c r="D783" s="117"/>
      <c r="I783" s="1"/>
    </row>
    <row r="784" spans="2:9" ht="13">
      <c r="B784" s="117"/>
      <c r="D784" s="117"/>
      <c r="I784" s="1"/>
    </row>
    <row r="785" spans="2:9" ht="13">
      <c r="B785" s="117"/>
      <c r="D785" s="117"/>
      <c r="I785" s="1"/>
    </row>
    <row r="786" spans="2:9" ht="13">
      <c r="B786" s="117"/>
      <c r="D786" s="117"/>
      <c r="I786" s="1"/>
    </row>
    <row r="787" spans="2:9" ht="13">
      <c r="B787" s="117"/>
      <c r="D787" s="117"/>
      <c r="I787" s="1"/>
    </row>
    <row r="788" spans="2:9" ht="13">
      <c r="B788" s="117"/>
      <c r="D788" s="117"/>
      <c r="I788" s="1"/>
    </row>
    <row r="789" spans="2:9" ht="13">
      <c r="B789" s="117"/>
      <c r="D789" s="117"/>
      <c r="I789" s="1"/>
    </row>
    <row r="790" spans="2:9" ht="13">
      <c r="B790" s="117"/>
      <c r="D790" s="117"/>
      <c r="I790" s="1"/>
    </row>
    <row r="791" spans="2:9" ht="13">
      <c r="B791" s="117"/>
      <c r="D791" s="117"/>
      <c r="I791" s="1"/>
    </row>
    <row r="792" spans="2:9" ht="13">
      <c r="B792" s="117"/>
      <c r="D792" s="117"/>
      <c r="I792" s="1"/>
    </row>
    <row r="793" spans="2:9" ht="13">
      <c r="B793" s="117"/>
      <c r="D793" s="117"/>
      <c r="I793" s="1"/>
    </row>
    <row r="794" spans="2:9" ht="13">
      <c r="B794" s="117"/>
      <c r="D794" s="117"/>
      <c r="I794" s="1"/>
    </row>
    <row r="795" spans="2:9" ht="13">
      <c r="B795" s="117"/>
      <c r="D795" s="117"/>
      <c r="I795" s="1"/>
    </row>
    <row r="796" spans="2:9" ht="13">
      <c r="B796" s="117"/>
      <c r="D796" s="117"/>
      <c r="I796" s="1"/>
    </row>
    <row r="797" spans="2:9" ht="13">
      <c r="B797" s="117"/>
      <c r="D797" s="117"/>
      <c r="I797" s="1"/>
    </row>
    <row r="798" spans="2:9" ht="13">
      <c r="B798" s="117"/>
      <c r="D798" s="117"/>
      <c r="I798" s="1"/>
    </row>
    <row r="799" spans="2:9" ht="13">
      <c r="B799" s="117"/>
      <c r="D799" s="117"/>
      <c r="I799" s="1"/>
    </row>
    <row r="800" spans="2:9" ht="13">
      <c r="B800" s="117"/>
      <c r="D800" s="117"/>
      <c r="I800" s="1"/>
    </row>
    <row r="801" spans="2:9" ht="13">
      <c r="B801" s="117"/>
      <c r="D801" s="117"/>
      <c r="I801" s="1"/>
    </row>
    <row r="802" spans="2:9" ht="13">
      <c r="B802" s="117"/>
      <c r="D802" s="117"/>
      <c r="I802" s="1"/>
    </row>
    <row r="803" spans="2:9" ht="13">
      <c r="B803" s="117"/>
      <c r="D803" s="117"/>
      <c r="I803" s="1"/>
    </row>
    <row r="804" spans="2:9" ht="13">
      <c r="B804" s="117"/>
      <c r="D804" s="117"/>
      <c r="I804" s="1"/>
    </row>
    <row r="805" spans="2:9" ht="13">
      <c r="B805" s="117"/>
      <c r="D805" s="117"/>
      <c r="I805" s="1"/>
    </row>
    <row r="806" spans="2:9" ht="13">
      <c r="B806" s="117"/>
      <c r="D806" s="117"/>
      <c r="I806" s="1"/>
    </row>
    <row r="807" spans="2:9" ht="13">
      <c r="B807" s="117"/>
      <c r="D807" s="117"/>
      <c r="I807" s="1"/>
    </row>
    <row r="808" spans="2:9" ht="13">
      <c r="B808" s="117"/>
      <c r="D808" s="117"/>
      <c r="I808" s="1"/>
    </row>
    <row r="809" spans="2:9" ht="13">
      <c r="B809" s="117"/>
      <c r="D809" s="117"/>
      <c r="I809" s="1"/>
    </row>
    <row r="810" spans="2:9" ht="13">
      <c r="B810" s="117"/>
      <c r="D810" s="117"/>
      <c r="I810" s="1"/>
    </row>
    <row r="811" spans="2:9" ht="13">
      <c r="B811" s="117"/>
      <c r="D811" s="117"/>
      <c r="I811" s="1"/>
    </row>
    <row r="812" spans="2:9" ht="13">
      <c r="B812" s="117"/>
      <c r="D812" s="117"/>
      <c r="I812" s="1"/>
    </row>
    <row r="813" spans="2:9" ht="13">
      <c r="B813" s="117"/>
      <c r="D813" s="117"/>
      <c r="I813" s="1"/>
    </row>
    <row r="814" spans="2:9" ht="13">
      <c r="B814" s="117"/>
      <c r="D814" s="117"/>
      <c r="I814" s="1"/>
    </row>
    <row r="815" spans="2:9" ht="13">
      <c r="B815" s="117"/>
      <c r="D815" s="117"/>
      <c r="I815" s="1"/>
    </row>
    <row r="816" spans="2:9" ht="13">
      <c r="B816" s="117"/>
      <c r="D816" s="117"/>
      <c r="I816" s="1"/>
    </row>
    <row r="817" spans="2:9" ht="13">
      <c r="B817" s="117"/>
      <c r="D817" s="117"/>
      <c r="I817" s="1"/>
    </row>
    <row r="818" spans="2:9" ht="13">
      <c r="B818" s="117"/>
      <c r="D818" s="117"/>
      <c r="I818" s="1"/>
    </row>
    <row r="819" spans="2:9" ht="13">
      <c r="B819" s="117"/>
      <c r="D819" s="117"/>
      <c r="I819" s="1"/>
    </row>
    <row r="820" spans="2:9" ht="13">
      <c r="B820" s="117"/>
      <c r="D820" s="117"/>
      <c r="I820" s="1"/>
    </row>
    <row r="821" spans="2:9" ht="13">
      <c r="B821" s="117"/>
      <c r="D821" s="117"/>
      <c r="I821" s="1"/>
    </row>
    <row r="822" spans="2:9" ht="13">
      <c r="B822" s="117"/>
      <c r="D822" s="117"/>
      <c r="I822" s="1"/>
    </row>
    <row r="823" spans="2:9" ht="13">
      <c r="B823" s="117"/>
      <c r="D823" s="117"/>
      <c r="I823" s="1"/>
    </row>
    <row r="824" spans="2:9" ht="13">
      <c r="B824" s="117"/>
      <c r="D824" s="117"/>
      <c r="I824" s="1"/>
    </row>
    <row r="825" spans="2:9" ht="13">
      <c r="B825" s="117"/>
      <c r="D825" s="117"/>
      <c r="I825" s="1"/>
    </row>
    <row r="826" spans="2:9" ht="13">
      <c r="B826" s="117"/>
      <c r="D826" s="117"/>
      <c r="I826" s="1"/>
    </row>
    <row r="827" spans="2:9" ht="13">
      <c r="B827" s="117"/>
      <c r="D827" s="117"/>
      <c r="I827" s="1"/>
    </row>
    <row r="828" spans="2:9" ht="13">
      <c r="B828" s="117"/>
      <c r="D828" s="117"/>
      <c r="I828" s="1"/>
    </row>
    <row r="829" spans="2:9" ht="13">
      <c r="B829" s="117"/>
      <c r="D829" s="117"/>
      <c r="I829" s="1"/>
    </row>
    <row r="830" spans="2:9" ht="13">
      <c r="B830" s="117"/>
      <c r="D830" s="117"/>
      <c r="I830" s="1"/>
    </row>
    <row r="831" spans="2:9" ht="13">
      <c r="B831" s="117"/>
      <c r="D831" s="117"/>
      <c r="I831" s="1"/>
    </row>
    <row r="832" spans="2:9" ht="13">
      <c r="B832" s="117"/>
      <c r="D832" s="117"/>
      <c r="I832" s="1"/>
    </row>
    <row r="833" spans="2:9" ht="13">
      <c r="B833" s="117"/>
      <c r="D833" s="117"/>
      <c r="I833" s="1"/>
    </row>
    <row r="834" spans="2:9" ht="13">
      <c r="B834" s="117"/>
      <c r="D834" s="117"/>
      <c r="I834" s="1"/>
    </row>
    <row r="835" spans="2:9" ht="13">
      <c r="B835" s="117"/>
      <c r="D835" s="117"/>
      <c r="I835" s="1"/>
    </row>
    <row r="836" spans="2:9" ht="13">
      <c r="B836" s="117"/>
      <c r="D836" s="117"/>
      <c r="I836" s="1"/>
    </row>
    <row r="837" spans="2:9" ht="13">
      <c r="B837" s="117"/>
      <c r="D837" s="117"/>
      <c r="I837" s="1"/>
    </row>
    <row r="838" spans="2:9" ht="13">
      <c r="B838" s="117"/>
      <c r="D838" s="117"/>
      <c r="I838" s="1"/>
    </row>
    <row r="839" spans="2:9" ht="13">
      <c r="B839" s="117"/>
      <c r="D839" s="117"/>
      <c r="I839" s="1"/>
    </row>
    <row r="840" spans="2:9" ht="13">
      <c r="B840" s="117"/>
      <c r="D840" s="117"/>
      <c r="I840" s="1"/>
    </row>
    <row r="841" spans="2:9" ht="13">
      <c r="B841" s="117"/>
      <c r="D841" s="117"/>
      <c r="I841" s="1"/>
    </row>
    <row r="842" spans="2:9" ht="13">
      <c r="B842" s="117"/>
      <c r="D842" s="117"/>
      <c r="I842" s="1"/>
    </row>
    <row r="843" spans="2:9" ht="13">
      <c r="B843" s="117"/>
      <c r="D843" s="117"/>
      <c r="I843" s="1"/>
    </row>
    <row r="844" spans="2:9" ht="13">
      <c r="B844" s="117"/>
      <c r="D844" s="117"/>
      <c r="I844" s="1"/>
    </row>
    <row r="845" spans="2:9" ht="13">
      <c r="B845" s="117"/>
      <c r="D845" s="117"/>
      <c r="I845" s="1"/>
    </row>
    <row r="846" spans="2:9" ht="13">
      <c r="B846" s="117"/>
      <c r="D846" s="117"/>
      <c r="I846" s="1"/>
    </row>
    <row r="847" spans="2:9" ht="13">
      <c r="B847" s="117"/>
      <c r="D847" s="117"/>
      <c r="I847" s="1"/>
    </row>
    <row r="848" spans="2:9" ht="13">
      <c r="B848" s="117"/>
      <c r="D848" s="117"/>
      <c r="I848" s="1"/>
    </row>
    <row r="849" spans="2:9" ht="13">
      <c r="B849" s="117"/>
      <c r="D849" s="117"/>
      <c r="I849" s="1"/>
    </row>
    <row r="850" spans="2:9" ht="13">
      <c r="B850" s="117"/>
      <c r="D850" s="117"/>
      <c r="I850" s="1"/>
    </row>
    <row r="851" spans="2:9" ht="13">
      <c r="B851" s="117"/>
      <c r="D851" s="117"/>
      <c r="I851" s="1"/>
    </row>
    <row r="852" spans="2:9" ht="13">
      <c r="B852" s="117"/>
      <c r="D852" s="117"/>
      <c r="I852" s="1"/>
    </row>
    <row r="853" spans="2:9" ht="13">
      <c r="B853" s="117"/>
      <c r="D853" s="117"/>
      <c r="I853" s="1"/>
    </row>
    <row r="854" spans="2:9" ht="13">
      <c r="B854" s="117"/>
      <c r="D854" s="117"/>
      <c r="I854" s="1"/>
    </row>
    <row r="855" spans="2:9" ht="13">
      <c r="B855" s="117"/>
      <c r="D855" s="117"/>
      <c r="I855" s="1"/>
    </row>
    <row r="856" spans="2:9" ht="13">
      <c r="B856" s="117"/>
      <c r="D856" s="117"/>
      <c r="I856" s="1"/>
    </row>
    <row r="857" spans="2:9" ht="13">
      <c r="B857" s="117"/>
      <c r="D857" s="117"/>
      <c r="I857" s="1"/>
    </row>
    <row r="858" spans="2:9" ht="13">
      <c r="B858" s="117"/>
      <c r="D858" s="117"/>
      <c r="I858" s="1"/>
    </row>
    <row r="859" spans="2:9" ht="13">
      <c r="B859" s="117"/>
      <c r="D859" s="117"/>
      <c r="I859" s="1"/>
    </row>
    <row r="860" spans="2:9" ht="13">
      <c r="B860" s="117"/>
      <c r="D860" s="117"/>
      <c r="I860" s="1"/>
    </row>
    <row r="861" spans="2:9" ht="13">
      <c r="B861" s="117"/>
      <c r="D861" s="117"/>
      <c r="I861" s="1"/>
    </row>
    <row r="862" spans="2:9" ht="13">
      <c r="B862" s="117"/>
      <c r="D862" s="117"/>
      <c r="I862" s="1"/>
    </row>
    <row r="863" spans="2:9" ht="13">
      <c r="B863" s="117"/>
      <c r="D863" s="117"/>
      <c r="I863" s="1"/>
    </row>
    <row r="864" spans="2:9" ht="13">
      <c r="B864" s="117"/>
      <c r="D864" s="117"/>
      <c r="I864" s="1"/>
    </row>
    <row r="865" spans="2:9" ht="13">
      <c r="B865" s="117"/>
      <c r="D865" s="117"/>
      <c r="I865" s="1"/>
    </row>
    <row r="866" spans="2:9" ht="13">
      <c r="B866" s="117"/>
      <c r="D866" s="117"/>
      <c r="I866" s="1"/>
    </row>
    <row r="867" spans="2:9" ht="13">
      <c r="B867" s="117"/>
      <c r="D867" s="117"/>
      <c r="I867" s="1"/>
    </row>
    <row r="868" spans="2:9" ht="13">
      <c r="B868" s="117"/>
      <c r="D868" s="117"/>
      <c r="I868" s="1"/>
    </row>
    <row r="869" spans="2:9" ht="13">
      <c r="B869" s="117"/>
      <c r="D869" s="117"/>
      <c r="I869" s="1"/>
    </row>
    <row r="870" spans="2:9" ht="13">
      <c r="B870" s="117"/>
      <c r="D870" s="117"/>
      <c r="I870" s="1"/>
    </row>
    <row r="871" spans="2:9" ht="13">
      <c r="B871" s="117"/>
      <c r="D871" s="117"/>
      <c r="I871" s="1"/>
    </row>
    <row r="872" spans="2:9" ht="13">
      <c r="B872" s="117"/>
      <c r="D872" s="117"/>
      <c r="I872" s="1"/>
    </row>
  </sheetData>
  <autoFilter ref="A1:K872" xr:uid="{00000000-0009-0000-0000-000001000000}"/>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I11" r:id="rId11" xr:uid="{00000000-0004-0000-0100-00000A000000}"/>
    <hyperlink ref="H12" r:id="rId12" xr:uid="{00000000-0004-0000-0100-00000B000000}"/>
    <hyperlink ref="I12" r:id="rId13" xr:uid="{00000000-0004-0000-0100-00000C000000}"/>
    <hyperlink ref="H13" r:id="rId14" xr:uid="{00000000-0004-0000-0100-00000D000000}"/>
    <hyperlink ref="H14" r:id="rId15" xr:uid="{00000000-0004-0000-0100-00000E000000}"/>
    <hyperlink ref="H15" r:id="rId16" xr:uid="{00000000-0004-0000-0100-00000F000000}"/>
    <hyperlink ref="H16" r:id="rId17" xr:uid="{00000000-0004-0000-0100-000010000000}"/>
    <hyperlink ref="H17" r:id="rId18" xr:uid="{00000000-0004-0000-0100-000011000000}"/>
    <hyperlink ref="H18" r:id="rId19" xr:uid="{00000000-0004-0000-0100-000012000000}"/>
    <hyperlink ref="H19" r:id="rId20" xr:uid="{00000000-0004-0000-0100-000013000000}"/>
    <hyperlink ref="H20" r:id="rId21" xr:uid="{00000000-0004-0000-0100-000014000000}"/>
    <hyperlink ref="H21" r:id="rId22" xr:uid="{00000000-0004-0000-0100-000015000000}"/>
    <hyperlink ref="H22" r:id="rId23" xr:uid="{00000000-0004-0000-0100-000016000000}"/>
    <hyperlink ref="H23" r:id="rId24" xr:uid="{00000000-0004-0000-0100-000017000000}"/>
    <hyperlink ref="H24" r:id="rId25" xr:uid="{00000000-0004-0000-0100-000018000000}"/>
    <hyperlink ref="H25" r:id="rId26" xr:uid="{00000000-0004-0000-0100-000019000000}"/>
    <hyperlink ref="H26" r:id="rId27" xr:uid="{00000000-0004-0000-0100-00001A000000}"/>
    <hyperlink ref="H27" r:id="rId28" xr:uid="{00000000-0004-0000-0100-00001B000000}"/>
    <hyperlink ref="I27" r:id="rId29" xr:uid="{00000000-0004-0000-0100-00001C000000}"/>
    <hyperlink ref="H28" r:id="rId30" xr:uid="{00000000-0004-0000-0100-00001D000000}"/>
    <hyperlink ref="H29" r:id="rId31" xr:uid="{00000000-0004-0000-0100-00001E000000}"/>
    <hyperlink ref="H30" r:id="rId32" xr:uid="{00000000-0004-0000-0100-00001F000000}"/>
    <hyperlink ref="H31" r:id="rId33" xr:uid="{00000000-0004-0000-0100-000020000000}"/>
    <hyperlink ref="H32" r:id="rId34" xr:uid="{00000000-0004-0000-0100-000021000000}"/>
    <hyperlink ref="H33" r:id="rId35" xr:uid="{00000000-0004-0000-0100-000022000000}"/>
    <hyperlink ref="H34" r:id="rId36" xr:uid="{00000000-0004-0000-0100-000023000000}"/>
    <hyperlink ref="H35" r:id="rId37" xr:uid="{00000000-0004-0000-0100-000024000000}"/>
    <hyperlink ref="H36" r:id="rId38" xr:uid="{00000000-0004-0000-0100-000025000000}"/>
    <hyperlink ref="H37" r:id="rId39" xr:uid="{00000000-0004-0000-0100-000026000000}"/>
    <hyperlink ref="H38" r:id="rId40" xr:uid="{00000000-0004-0000-0100-000027000000}"/>
    <hyperlink ref="H39" r:id="rId41" xr:uid="{00000000-0004-0000-0100-000028000000}"/>
    <hyperlink ref="H40" r:id="rId42" xr:uid="{00000000-0004-0000-0100-000029000000}"/>
    <hyperlink ref="H41" r:id="rId43" xr:uid="{00000000-0004-0000-0100-00002A000000}"/>
    <hyperlink ref="H42" r:id="rId44" xr:uid="{00000000-0004-0000-0100-00002B000000}"/>
    <hyperlink ref="H43" r:id="rId45" xr:uid="{00000000-0004-0000-0100-00002C000000}"/>
    <hyperlink ref="H44" r:id="rId46" xr:uid="{00000000-0004-0000-0100-00002D000000}"/>
    <hyperlink ref="H45" r:id="rId47" xr:uid="{00000000-0004-0000-0100-00002E000000}"/>
    <hyperlink ref="H46" r:id="rId48" xr:uid="{00000000-0004-0000-0100-00002F000000}"/>
    <hyperlink ref="H47" r:id="rId49" xr:uid="{00000000-0004-0000-0100-000030000000}"/>
    <hyperlink ref="H48" r:id="rId50" xr:uid="{00000000-0004-0000-0100-000031000000}"/>
    <hyperlink ref="H49" r:id="rId51" xr:uid="{00000000-0004-0000-0100-000032000000}"/>
    <hyperlink ref="H50" r:id="rId52" xr:uid="{00000000-0004-0000-0100-000033000000}"/>
    <hyperlink ref="H51" r:id="rId53" xr:uid="{00000000-0004-0000-0100-000034000000}"/>
    <hyperlink ref="H52" r:id="rId54" xr:uid="{00000000-0004-0000-0100-000035000000}"/>
    <hyperlink ref="H53" r:id="rId55" xr:uid="{00000000-0004-0000-0100-000036000000}"/>
    <hyperlink ref="H54" r:id="rId56" xr:uid="{00000000-0004-0000-0100-000037000000}"/>
    <hyperlink ref="H55" r:id="rId57" xr:uid="{00000000-0004-0000-0100-000038000000}"/>
    <hyperlink ref="H56" r:id="rId58" xr:uid="{00000000-0004-0000-0100-000039000000}"/>
    <hyperlink ref="H57" r:id="rId59" xr:uid="{00000000-0004-0000-0100-00003A000000}"/>
    <hyperlink ref="H58" r:id="rId60" xr:uid="{00000000-0004-0000-0100-00003B000000}"/>
    <hyperlink ref="H59" r:id="rId61" xr:uid="{00000000-0004-0000-0100-00003C000000}"/>
    <hyperlink ref="H60" r:id="rId62" xr:uid="{00000000-0004-0000-0100-00003D000000}"/>
    <hyperlink ref="H61" r:id="rId63" xr:uid="{00000000-0004-0000-0100-00003E000000}"/>
    <hyperlink ref="H62" r:id="rId64" xr:uid="{00000000-0004-0000-0100-00003F000000}"/>
    <hyperlink ref="H63" r:id="rId65" xr:uid="{00000000-0004-0000-0100-000040000000}"/>
    <hyperlink ref="H64" r:id="rId66" xr:uid="{00000000-0004-0000-0100-000041000000}"/>
    <hyperlink ref="H65" r:id="rId67" xr:uid="{00000000-0004-0000-0100-000042000000}"/>
    <hyperlink ref="H66" r:id="rId68" xr:uid="{00000000-0004-0000-0100-000043000000}"/>
    <hyperlink ref="H67" r:id="rId69" xr:uid="{00000000-0004-0000-0100-000044000000}"/>
    <hyperlink ref="H68" r:id="rId70" xr:uid="{00000000-0004-0000-0100-000045000000}"/>
    <hyperlink ref="H69" r:id="rId71" xr:uid="{00000000-0004-0000-0100-000046000000}"/>
    <hyperlink ref="H70" r:id="rId72" xr:uid="{00000000-0004-0000-0100-000047000000}"/>
    <hyperlink ref="H71" r:id="rId73" xr:uid="{00000000-0004-0000-0100-000048000000}"/>
    <hyperlink ref="H72" r:id="rId74" xr:uid="{00000000-0004-0000-0100-000049000000}"/>
    <hyperlink ref="H73" r:id="rId75" xr:uid="{00000000-0004-0000-0100-00004A000000}"/>
    <hyperlink ref="H74" r:id="rId76" xr:uid="{00000000-0004-0000-0100-00004B000000}"/>
    <hyperlink ref="H75" r:id="rId77" xr:uid="{00000000-0004-0000-0100-00004C000000}"/>
    <hyperlink ref="H76" r:id="rId78" xr:uid="{00000000-0004-0000-0100-00004D000000}"/>
    <hyperlink ref="H77" r:id="rId79" xr:uid="{00000000-0004-0000-0100-00004E000000}"/>
    <hyperlink ref="H78" r:id="rId80" xr:uid="{00000000-0004-0000-0100-00004F000000}"/>
    <hyperlink ref="H79" r:id="rId81" xr:uid="{00000000-0004-0000-0100-000050000000}"/>
    <hyperlink ref="H80" r:id="rId82" xr:uid="{00000000-0004-0000-0100-000051000000}"/>
    <hyperlink ref="H81" r:id="rId83" xr:uid="{00000000-0004-0000-0100-000052000000}"/>
    <hyperlink ref="H82" r:id="rId84" xr:uid="{00000000-0004-0000-0100-000053000000}"/>
    <hyperlink ref="H83" r:id="rId85" xr:uid="{00000000-0004-0000-0100-000054000000}"/>
    <hyperlink ref="H84" r:id="rId86" xr:uid="{00000000-0004-0000-0100-000055000000}"/>
    <hyperlink ref="H85" r:id="rId87" xr:uid="{00000000-0004-0000-0100-000056000000}"/>
    <hyperlink ref="H86" r:id="rId88" xr:uid="{00000000-0004-0000-0100-000057000000}"/>
    <hyperlink ref="H87" r:id="rId89" xr:uid="{00000000-0004-0000-0100-000058000000}"/>
    <hyperlink ref="H88" r:id="rId90" xr:uid="{00000000-0004-0000-0100-000059000000}"/>
    <hyperlink ref="H89" r:id="rId91" xr:uid="{00000000-0004-0000-0100-00005A000000}"/>
    <hyperlink ref="H90" r:id="rId92" xr:uid="{00000000-0004-0000-0100-00005B000000}"/>
    <hyperlink ref="H91" r:id="rId93" xr:uid="{00000000-0004-0000-0100-00005C000000}"/>
    <hyperlink ref="H92" r:id="rId94" xr:uid="{00000000-0004-0000-0100-00005D000000}"/>
    <hyperlink ref="H93" r:id="rId95" xr:uid="{00000000-0004-0000-0100-00005E000000}"/>
    <hyperlink ref="H94" r:id="rId96" xr:uid="{00000000-0004-0000-0100-00005F000000}"/>
    <hyperlink ref="H95" r:id="rId97" xr:uid="{00000000-0004-0000-0100-000060000000}"/>
    <hyperlink ref="H96" r:id="rId98" xr:uid="{00000000-0004-0000-0100-000061000000}"/>
    <hyperlink ref="H97" r:id="rId99" xr:uid="{00000000-0004-0000-0100-000062000000}"/>
    <hyperlink ref="H98" r:id="rId100" xr:uid="{00000000-0004-0000-0100-000063000000}"/>
    <hyperlink ref="H99" r:id="rId101" xr:uid="{00000000-0004-0000-0100-000064000000}"/>
    <hyperlink ref="H100" r:id="rId102" xr:uid="{00000000-0004-0000-0100-000065000000}"/>
    <hyperlink ref="H101" r:id="rId103" xr:uid="{00000000-0004-0000-0100-000066000000}"/>
    <hyperlink ref="H102" r:id="rId104" xr:uid="{00000000-0004-0000-0100-000067000000}"/>
    <hyperlink ref="I102" r:id="rId105" xr:uid="{00000000-0004-0000-0100-000068000000}"/>
    <hyperlink ref="H103" r:id="rId106" xr:uid="{00000000-0004-0000-0100-000069000000}"/>
    <hyperlink ref="H104" r:id="rId107" xr:uid="{00000000-0004-0000-0100-00006A000000}"/>
    <hyperlink ref="H105" r:id="rId108" xr:uid="{00000000-0004-0000-0100-00006B000000}"/>
    <hyperlink ref="H106" r:id="rId109" xr:uid="{00000000-0004-0000-0100-00006C000000}"/>
    <hyperlink ref="H107" r:id="rId110" xr:uid="{00000000-0004-0000-0100-00006D000000}"/>
    <hyperlink ref="H108" r:id="rId111" xr:uid="{00000000-0004-0000-0100-00006E000000}"/>
    <hyperlink ref="H109" r:id="rId112" xr:uid="{00000000-0004-0000-0100-00006F000000}"/>
    <hyperlink ref="H110" r:id="rId113" xr:uid="{00000000-0004-0000-0100-000070000000}"/>
    <hyperlink ref="H111" r:id="rId114" xr:uid="{00000000-0004-0000-0100-000071000000}"/>
    <hyperlink ref="H113" r:id="rId115" xr:uid="{00000000-0004-0000-0100-000072000000}"/>
    <hyperlink ref="H114" r:id="rId116" xr:uid="{00000000-0004-0000-0100-000073000000}"/>
    <hyperlink ref="H115" r:id="rId117" xr:uid="{00000000-0004-0000-0100-000074000000}"/>
    <hyperlink ref="H116" r:id="rId118" xr:uid="{00000000-0004-0000-0100-000075000000}"/>
    <hyperlink ref="H117" r:id="rId119" xr:uid="{00000000-0004-0000-0100-000076000000}"/>
    <hyperlink ref="H118" r:id="rId120" xr:uid="{00000000-0004-0000-0100-000077000000}"/>
    <hyperlink ref="H119" r:id="rId121" xr:uid="{00000000-0004-0000-0100-000078000000}"/>
    <hyperlink ref="H120" r:id="rId122" xr:uid="{00000000-0004-0000-0100-000079000000}"/>
    <hyperlink ref="H121" r:id="rId123" xr:uid="{00000000-0004-0000-0100-00007A000000}"/>
    <hyperlink ref="H122" r:id="rId124" xr:uid="{00000000-0004-0000-0100-00007B000000}"/>
    <hyperlink ref="H123" r:id="rId125" xr:uid="{00000000-0004-0000-0100-00007C000000}"/>
    <hyperlink ref="H124" r:id="rId126" xr:uid="{00000000-0004-0000-0100-00007D000000}"/>
    <hyperlink ref="H125" r:id="rId127" xr:uid="{00000000-0004-0000-0100-00007E000000}"/>
    <hyperlink ref="H126" r:id="rId128" xr:uid="{00000000-0004-0000-0100-00007F000000}"/>
    <hyperlink ref="H127" r:id="rId129" xr:uid="{00000000-0004-0000-0100-000080000000}"/>
    <hyperlink ref="H128" r:id="rId130" xr:uid="{00000000-0004-0000-0100-000081000000}"/>
    <hyperlink ref="H129" r:id="rId131" xr:uid="{00000000-0004-0000-0100-000082000000}"/>
    <hyperlink ref="H130" r:id="rId132" xr:uid="{00000000-0004-0000-0100-000083000000}"/>
    <hyperlink ref="H131" r:id="rId133" xr:uid="{00000000-0004-0000-0100-000084000000}"/>
    <hyperlink ref="H132" r:id="rId134" xr:uid="{00000000-0004-0000-0100-000085000000}"/>
    <hyperlink ref="H133" r:id="rId135" xr:uid="{00000000-0004-0000-0100-000086000000}"/>
    <hyperlink ref="H134" r:id="rId136" xr:uid="{00000000-0004-0000-0100-000087000000}"/>
    <hyperlink ref="H135" r:id="rId137" xr:uid="{00000000-0004-0000-0100-000088000000}"/>
    <hyperlink ref="H136" r:id="rId138" xr:uid="{00000000-0004-0000-0100-000089000000}"/>
    <hyperlink ref="H137" r:id="rId139" xr:uid="{00000000-0004-0000-0100-00008A000000}"/>
    <hyperlink ref="H138" r:id="rId140" xr:uid="{00000000-0004-0000-0100-00008B000000}"/>
    <hyperlink ref="H139" r:id="rId141" xr:uid="{00000000-0004-0000-0100-00008C000000}"/>
    <hyperlink ref="H140" r:id="rId142" xr:uid="{00000000-0004-0000-0100-00008D000000}"/>
    <hyperlink ref="H141" r:id="rId143" xr:uid="{00000000-0004-0000-0100-00008E000000}"/>
    <hyperlink ref="H142" r:id="rId144" xr:uid="{00000000-0004-0000-0100-00008F000000}"/>
    <hyperlink ref="H143" r:id="rId145" xr:uid="{00000000-0004-0000-0100-000090000000}"/>
    <hyperlink ref="H144" r:id="rId146" xr:uid="{00000000-0004-0000-0100-000091000000}"/>
    <hyperlink ref="H145" r:id="rId147" xr:uid="{00000000-0004-0000-0100-000092000000}"/>
    <hyperlink ref="H146" r:id="rId148" xr:uid="{00000000-0004-0000-0100-000093000000}"/>
    <hyperlink ref="H147" r:id="rId149" xr:uid="{00000000-0004-0000-0100-000094000000}"/>
    <hyperlink ref="H148" r:id="rId150" xr:uid="{00000000-0004-0000-0100-000095000000}"/>
    <hyperlink ref="H149" r:id="rId151" xr:uid="{00000000-0004-0000-0100-000096000000}"/>
    <hyperlink ref="H150" r:id="rId152" xr:uid="{00000000-0004-0000-0100-000097000000}"/>
    <hyperlink ref="H151" r:id="rId153" xr:uid="{00000000-0004-0000-0100-000098000000}"/>
    <hyperlink ref="H152" r:id="rId154" xr:uid="{00000000-0004-0000-0100-000099000000}"/>
    <hyperlink ref="H153" r:id="rId155" xr:uid="{00000000-0004-0000-0100-00009A000000}"/>
    <hyperlink ref="H154" r:id="rId156" xr:uid="{00000000-0004-0000-0100-00009B000000}"/>
    <hyperlink ref="H155" r:id="rId157" xr:uid="{00000000-0004-0000-0100-00009C000000}"/>
    <hyperlink ref="H156" r:id="rId158" xr:uid="{00000000-0004-0000-0100-00009D000000}"/>
    <hyperlink ref="H157" r:id="rId159" xr:uid="{00000000-0004-0000-0100-00009E000000}"/>
    <hyperlink ref="H158" r:id="rId160" xr:uid="{00000000-0004-0000-0100-00009F000000}"/>
    <hyperlink ref="H159" r:id="rId161" xr:uid="{00000000-0004-0000-0100-0000A0000000}"/>
    <hyperlink ref="H160" r:id="rId162" xr:uid="{00000000-0004-0000-0100-0000A1000000}"/>
    <hyperlink ref="H161" r:id="rId163" xr:uid="{00000000-0004-0000-0100-0000A2000000}"/>
    <hyperlink ref="H162" r:id="rId164" xr:uid="{00000000-0004-0000-0100-0000A3000000}"/>
    <hyperlink ref="H163" r:id="rId165" xr:uid="{00000000-0004-0000-0100-0000A4000000}"/>
    <hyperlink ref="H164" r:id="rId166" xr:uid="{00000000-0004-0000-0100-0000A5000000}"/>
    <hyperlink ref="H165" r:id="rId167" xr:uid="{00000000-0004-0000-0100-0000A6000000}"/>
    <hyperlink ref="H166" r:id="rId168" xr:uid="{00000000-0004-0000-0100-0000A7000000}"/>
    <hyperlink ref="H167" r:id="rId169" xr:uid="{00000000-0004-0000-0100-0000A8000000}"/>
    <hyperlink ref="H168" r:id="rId170" xr:uid="{00000000-0004-0000-0100-0000A9000000}"/>
    <hyperlink ref="H169" r:id="rId171" xr:uid="{00000000-0004-0000-0100-0000AA000000}"/>
    <hyperlink ref="H170" r:id="rId172" xr:uid="{00000000-0004-0000-0100-0000AB000000}"/>
    <hyperlink ref="H171" r:id="rId173" xr:uid="{00000000-0004-0000-0100-0000AC000000}"/>
    <hyperlink ref="H172" r:id="rId174" xr:uid="{00000000-0004-0000-0100-0000AD000000}"/>
    <hyperlink ref="H173" r:id="rId175" xr:uid="{00000000-0004-0000-0100-0000AE000000}"/>
    <hyperlink ref="H174" r:id="rId176" xr:uid="{00000000-0004-0000-0100-0000AF000000}"/>
    <hyperlink ref="H175" r:id="rId177" xr:uid="{00000000-0004-0000-0100-0000B0000000}"/>
    <hyperlink ref="H176" r:id="rId178" xr:uid="{00000000-0004-0000-0100-0000B1000000}"/>
    <hyperlink ref="H177" r:id="rId179" xr:uid="{00000000-0004-0000-0100-0000B2000000}"/>
    <hyperlink ref="H178" r:id="rId180" xr:uid="{00000000-0004-0000-0100-0000B3000000}"/>
    <hyperlink ref="H179" r:id="rId181" xr:uid="{00000000-0004-0000-0100-0000B4000000}"/>
    <hyperlink ref="H180" r:id="rId182" xr:uid="{00000000-0004-0000-0100-0000B5000000}"/>
    <hyperlink ref="H181" r:id="rId183" xr:uid="{00000000-0004-0000-0100-0000B6000000}"/>
    <hyperlink ref="H182" r:id="rId184" xr:uid="{00000000-0004-0000-0100-0000B7000000}"/>
    <hyperlink ref="H183" r:id="rId185" xr:uid="{00000000-0004-0000-0100-0000B8000000}"/>
    <hyperlink ref="H184" r:id="rId186" xr:uid="{00000000-0004-0000-0100-0000B9000000}"/>
    <hyperlink ref="H185" r:id="rId187" xr:uid="{00000000-0004-0000-0100-0000BA000000}"/>
    <hyperlink ref="H186" r:id="rId188" xr:uid="{00000000-0004-0000-0100-0000BB000000}"/>
    <hyperlink ref="H187" r:id="rId189" xr:uid="{00000000-0004-0000-0100-0000BC000000}"/>
    <hyperlink ref="H188" r:id="rId190" xr:uid="{00000000-0004-0000-0100-0000BD000000}"/>
    <hyperlink ref="H189" r:id="rId191" xr:uid="{00000000-0004-0000-0100-0000BE000000}"/>
    <hyperlink ref="H190" r:id="rId192" xr:uid="{00000000-0004-0000-0100-0000BF000000}"/>
    <hyperlink ref="H191" r:id="rId193" xr:uid="{00000000-0004-0000-0100-0000C0000000}"/>
    <hyperlink ref="H192" r:id="rId194" xr:uid="{00000000-0004-0000-0100-0000C1000000}"/>
    <hyperlink ref="H193" r:id="rId195" xr:uid="{00000000-0004-0000-0100-0000C2000000}"/>
    <hyperlink ref="H194" r:id="rId196" xr:uid="{00000000-0004-0000-0100-0000C3000000}"/>
    <hyperlink ref="H195" r:id="rId197" xr:uid="{00000000-0004-0000-0100-0000C4000000}"/>
    <hyperlink ref="H196" r:id="rId198" xr:uid="{00000000-0004-0000-0100-0000C5000000}"/>
    <hyperlink ref="H197" r:id="rId199" xr:uid="{00000000-0004-0000-0100-0000C6000000}"/>
    <hyperlink ref="H198" r:id="rId200" xr:uid="{00000000-0004-0000-0100-0000C7000000}"/>
    <hyperlink ref="H199" r:id="rId201" xr:uid="{00000000-0004-0000-0100-0000C8000000}"/>
    <hyperlink ref="H200" r:id="rId202" xr:uid="{00000000-0004-0000-0100-0000C9000000}"/>
    <hyperlink ref="H201" r:id="rId203" xr:uid="{00000000-0004-0000-0100-0000CA000000}"/>
    <hyperlink ref="H202" r:id="rId204" xr:uid="{00000000-0004-0000-0100-0000CB000000}"/>
    <hyperlink ref="H203" r:id="rId205" xr:uid="{00000000-0004-0000-0100-0000CC000000}"/>
    <hyperlink ref="H204" r:id="rId206" xr:uid="{00000000-0004-0000-0100-0000CD000000}"/>
    <hyperlink ref="H205" r:id="rId207" xr:uid="{00000000-0004-0000-0100-0000CE000000}"/>
    <hyperlink ref="H206" r:id="rId208" xr:uid="{00000000-0004-0000-0100-0000CF000000}"/>
    <hyperlink ref="H207" r:id="rId209" xr:uid="{00000000-0004-0000-0100-0000D0000000}"/>
    <hyperlink ref="H208" r:id="rId210" xr:uid="{00000000-0004-0000-0100-0000D1000000}"/>
    <hyperlink ref="H209" r:id="rId211" xr:uid="{00000000-0004-0000-0100-0000D2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W960"/>
  <sheetViews>
    <sheetView tabSelected="1" workbookViewId="0">
      <selection activeCell="F93" sqref="F93"/>
    </sheetView>
  </sheetViews>
  <sheetFormatPr baseColWidth="10" defaultColWidth="12.6640625" defaultRowHeight="15.75" customHeight="1"/>
  <cols>
    <col min="1" max="1" width="6.83203125" customWidth="1"/>
    <col min="2" max="2" width="14" customWidth="1"/>
    <col min="3" max="3" width="12.5" customWidth="1"/>
    <col min="4" max="4" width="16.33203125" customWidth="1"/>
    <col min="5" max="5" width="14.1640625" customWidth="1"/>
    <col min="6" max="6" width="44.33203125" customWidth="1"/>
    <col min="7" max="7" width="5.33203125" customWidth="1"/>
    <col min="8" max="8" width="67.33203125" customWidth="1"/>
    <col min="9" max="9" width="33.6640625" customWidth="1"/>
    <col min="10" max="10" width="12" customWidth="1"/>
    <col min="11" max="21" width="4.5" customWidth="1"/>
    <col min="22" max="22" width="14.5" customWidth="1"/>
    <col min="23" max="23" width="4.5" customWidth="1"/>
    <col min="24" max="26" width="11.33203125" customWidth="1"/>
    <col min="27" max="27" width="15.5" customWidth="1"/>
    <col min="33" max="33" width="27" customWidth="1"/>
  </cols>
  <sheetData>
    <row r="1" spans="1:49" ht="75" customHeight="1">
      <c r="A1" s="4" t="s">
        <v>2</v>
      </c>
      <c r="B1" s="4" t="s">
        <v>0</v>
      </c>
      <c r="C1" s="6" t="s">
        <v>9</v>
      </c>
      <c r="D1" s="4" t="s">
        <v>11</v>
      </c>
      <c r="E1" s="4" t="s">
        <v>12</v>
      </c>
      <c r="F1" s="4" t="s">
        <v>13</v>
      </c>
      <c r="G1" s="4" t="s">
        <v>14</v>
      </c>
      <c r="H1" s="4" t="s">
        <v>15</v>
      </c>
      <c r="I1" s="4" t="s">
        <v>17</v>
      </c>
      <c r="J1" s="9" t="s">
        <v>19</v>
      </c>
      <c r="K1" s="9" t="s">
        <v>20</v>
      </c>
      <c r="L1" s="9" t="s">
        <v>21</v>
      </c>
      <c r="M1" s="9" t="s">
        <v>22</v>
      </c>
      <c r="N1" s="9" t="s">
        <v>23</v>
      </c>
      <c r="O1" s="9" t="s">
        <v>24</v>
      </c>
      <c r="P1" s="9" t="s">
        <v>26</v>
      </c>
      <c r="Q1" s="9" t="s">
        <v>28</v>
      </c>
      <c r="R1" s="9" t="s">
        <v>29</v>
      </c>
      <c r="S1" s="9" t="s">
        <v>30</v>
      </c>
      <c r="T1" s="9" t="s">
        <v>32</v>
      </c>
      <c r="U1" s="9" t="s">
        <v>33</v>
      </c>
      <c r="V1" s="4" t="s">
        <v>36</v>
      </c>
      <c r="W1" s="9" t="s">
        <v>38</v>
      </c>
      <c r="X1" s="4" t="s">
        <v>39</v>
      </c>
      <c r="Y1" s="4" t="s">
        <v>40</v>
      </c>
      <c r="Z1" s="4" t="s">
        <v>41</v>
      </c>
      <c r="AA1" s="4" t="s">
        <v>31</v>
      </c>
      <c r="AB1" s="4" t="s">
        <v>42</v>
      </c>
      <c r="AC1" s="4" t="s">
        <v>43</v>
      </c>
      <c r="AD1" s="4" t="s">
        <v>44</v>
      </c>
      <c r="AE1" s="4" t="s">
        <v>45</v>
      </c>
      <c r="AF1" s="4" t="s">
        <v>47</v>
      </c>
      <c r="AG1" s="4" t="s">
        <v>49</v>
      </c>
      <c r="AH1" s="4" t="s">
        <v>51</v>
      </c>
      <c r="AI1" s="4"/>
      <c r="AJ1" s="4"/>
      <c r="AK1" s="4" t="s">
        <v>54</v>
      </c>
      <c r="AL1" s="4" t="s">
        <v>55</v>
      </c>
      <c r="AM1" s="4"/>
      <c r="AN1" s="4"/>
      <c r="AO1" s="4"/>
      <c r="AP1" s="4"/>
      <c r="AQ1" s="4"/>
      <c r="AR1" s="4"/>
      <c r="AS1" s="4"/>
      <c r="AT1" s="4"/>
      <c r="AU1" s="4"/>
      <c r="AV1" s="4"/>
      <c r="AW1" s="4"/>
    </row>
    <row r="2" spans="1:49" ht="15.75" customHeight="1">
      <c r="A2" s="14">
        <v>2020</v>
      </c>
      <c r="B2" s="14" t="s">
        <v>56</v>
      </c>
      <c r="C2" s="15" t="s">
        <v>57</v>
      </c>
      <c r="D2" s="14" t="s">
        <v>58</v>
      </c>
      <c r="E2" s="14" t="s">
        <v>60</v>
      </c>
      <c r="F2" s="14" t="s">
        <v>57</v>
      </c>
      <c r="G2" s="14">
        <f>COUNTIF(Stakeholders!$E$2:$E960,F2)</f>
        <v>1</v>
      </c>
      <c r="H2" s="14" t="s">
        <v>63</v>
      </c>
      <c r="I2" s="19" t="s">
        <v>65</v>
      </c>
      <c r="J2" s="20" t="s">
        <v>67</v>
      </c>
      <c r="K2" s="20" t="s">
        <v>67</v>
      </c>
      <c r="L2" s="20" t="s">
        <v>67</v>
      </c>
      <c r="M2" s="20" t="s">
        <v>67</v>
      </c>
      <c r="N2" s="20" t="s">
        <v>67</v>
      </c>
      <c r="O2" s="20" t="s">
        <v>67</v>
      </c>
      <c r="P2" s="20" t="s">
        <v>67</v>
      </c>
      <c r="Q2" s="20" t="s">
        <v>67</v>
      </c>
      <c r="R2" s="20" t="s">
        <v>67</v>
      </c>
      <c r="S2" s="20" t="s">
        <v>67</v>
      </c>
      <c r="T2" s="20" t="s">
        <v>67</v>
      </c>
      <c r="U2" s="20" t="s">
        <v>67</v>
      </c>
      <c r="V2" s="14" t="s">
        <v>71</v>
      </c>
      <c r="W2" s="20" t="s">
        <v>67</v>
      </c>
      <c r="X2" s="14" t="s">
        <v>72</v>
      </c>
      <c r="Y2" s="14" t="s">
        <v>74</v>
      </c>
      <c r="Z2" s="14" t="s">
        <v>75</v>
      </c>
      <c r="AA2" s="24"/>
      <c r="AB2" s="14" t="s">
        <v>77</v>
      </c>
      <c r="AC2" s="25">
        <v>44315</v>
      </c>
      <c r="AD2" s="24">
        <v>1</v>
      </c>
      <c r="AE2" s="24">
        <f>VLOOKUP(F2,Stakeholders!E:K,7,0)</f>
        <v>58</v>
      </c>
      <c r="AF2" s="24" t="e">
        <f>VLOOKUP(B2&amp;D2,Areas!$D:$E,2,FALSE)</f>
        <v>#N/A</v>
      </c>
      <c r="AG2" s="24"/>
      <c r="AH2" s="24" t="s">
        <v>82</v>
      </c>
      <c r="AI2" s="24">
        <f>COUNTIF(Stakeholders!$E$2:$E$114,F2)</f>
        <v>1</v>
      </c>
      <c r="AJ2" s="24"/>
      <c r="AK2" s="24"/>
      <c r="AL2" s="24"/>
      <c r="AM2" s="24"/>
      <c r="AN2" s="24"/>
      <c r="AO2" s="24"/>
      <c r="AP2" s="24"/>
      <c r="AQ2" s="24"/>
      <c r="AR2" s="24"/>
      <c r="AS2" s="24"/>
      <c r="AT2" s="24"/>
      <c r="AU2" s="24"/>
      <c r="AV2" s="24"/>
      <c r="AW2" s="24"/>
    </row>
    <row r="3" spans="1:49" ht="15.75" customHeight="1">
      <c r="A3" s="29">
        <v>2018</v>
      </c>
      <c r="B3" s="12" t="s">
        <v>64</v>
      </c>
      <c r="C3" s="30" t="s">
        <v>73</v>
      </c>
      <c r="D3" s="29" t="s">
        <v>85</v>
      </c>
      <c r="E3" s="29" t="s">
        <v>73</v>
      </c>
      <c r="F3" s="29" t="s">
        <v>86</v>
      </c>
      <c r="G3" s="29">
        <f>COUNTIF(Stakeholders!$E$2:$E960,F3)</f>
        <v>1</v>
      </c>
      <c r="H3" s="29" t="s">
        <v>89</v>
      </c>
      <c r="I3" s="32" t="s">
        <v>90</v>
      </c>
      <c r="J3" s="33" t="s">
        <v>67</v>
      </c>
      <c r="K3" s="33" t="s">
        <v>67</v>
      </c>
      <c r="L3" s="29"/>
      <c r="M3" s="33" t="s">
        <v>67</v>
      </c>
      <c r="N3" s="29"/>
      <c r="O3" s="29"/>
      <c r="P3" s="33" t="s">
        <v>67</v>
      </c>
      <c r="Q3" s="29"/>
      <c r="R3" s="33" t="s">
        <v>67</v>
      </c>
      <c r="S3" s="29"/>
      <c r="T3" s="29"/>
      <c r="U3" s="33" t="s">
        <v>67</v>
      </c>
      <c r="V3" s="29"/>
      <c r="W3" s="33" t="s">
        <v>94</v>
      </c>
      <c r="X3" s="29"/>
      <c r="Y3" s="29"/>
      <c r="Z3" s="29"/>
      <c r="AA3" s="34"/>
      <c r="AB3" s="29" t="s">
        <v>96</v>
      </c>
      <c r="AC3" s="29"/>
      <c r="AD3" s="34">
        <v>2</v>
      </c>
      <c r="AE3" s="34">
        <f>VLOOKUP(F3,Stakeholders!E:K,7,0)</f>
        <v>18</v>
      </c>
      <c r="AF3" s="34">
        <f>VLOOKUP(B3&amp;D3,Areas!$D:$E,2,FALSE)</f>
        <v>283</v>
      </c>
      <c r="AG3" s="34"/>
      <c r="AH3" s="34" t="s">
        <v>82</v>
      </c>
      <c r="AI3" s="34">
        <f>COUNTIF(Stakeholders!$E$2:$E$114,F3)</f>
        <v>1</v>
      </c>
      <c r="AJ3" s="34"/>
      <c r="AK3" s="34"/>
      <c r="AL3" s="34"/>
      <c r="AM3" s="34"/>
      <c r="AN3" s="34"/>
      <c r="AO3" s="34"/>
      <c r="AP3" s="34"/>
      <c r="AQ3" s="34"/>
      <c r="AR3" s="34"/>
      <c r="AS3" s="34"/>
      <c r="AT3" s="34"/>
      <c r="AU3" s="34"/>
      <c r="AV3" s="34"/>
      <c r="AW3" s="34"/>
    </row>
    <row r="4" spans="1:49" ht="15.75" customHeight="1">
      <c r="A4" s="14">
        <v>2020</v>
      </c>
      <c r="B4" s="12" t="s">
        <v>64</v>
      </c>
      <c r="C4" s="15" t="s">
        <v>103</v>
      </c>
      <c r="D4" s="14" t="s">
        <v>104</v>
      </c>
      <c r="E4" s="14" t="s">
        <v>103</v>
      </c>
      <c r="F4" s="14" t="s">
        <v>106</v>
      </c>
      <c r="G4" s="14">
        <f>COUNTIF(Stakeholders!$E$2:$E960,F4)</f>
        <v>1</v>
      </c>
      <c r="H4" s="14" t="s">
        <v>109</v>
      </c>
      <c r="I4" s="19" t="s">
        <v>110</v>
      </c>
      <c r="J4" s="20" t="s">
        <v>67</v>
      </c>
      <c r="K4" s="20" t="s">
        <v>94</v>
      </c>
      <c r="L4" s="20"/>
      <c r="M4" s="20"/>
      <c r="N4" s="20"/>
      <c r="O4" s="20"/>
      <c r="P4" s="20"/>
      <c r="Q4" s="20"/>
      <c r="R4" s="20"/>
      <c r="S4" s="20"/>
      <c r="T4" s="20"/>
      <c r="U4" s="20"/>
      <c r="V4" s="20"/>
      <c r="W4" s="20" t="s">
        <v>67</v>
      </c>
      <c r="X4" s="20"/>
      <c r="Y4" s="20"/>
      <c r="Z4" s="20"/>
      <c r="AA4" s="24" t="s">
        <v>113</v>
      </c>
      <c r="AB4" s="14" t="s">
        <v>96</v>
      </c>
      <c r="AC4" s="14"/>
      <c r="AD4" s="24">
        <v>3</v>
      </c>
      <c r="AE4" s="24">
        <f>VLOOKUP(F4,Stakeholders!E:K,7,0)</f>
        <v>11</v>
      </c>
      <c r="AF4" s="24" t="e">
        <f>VLOOKUP(B4&amp;D4,Areas!$D:$E,2,FALSE)</f>
        <v>#N/A</v>
      </c>
      <c r="AG4" s="24"/>
      <c r="AH4" s="24" t="s">
        <v>82</v>
      </c>
      <c r="AI4" s="24">
        <f>COUNTIF(Stakeholders!$E$2:$E$114,F4)</f>
        <v>1</v>
      </c>
      <c r="AJ4" s="24"/>
      <c r="AK4" s="24"/>
      <c r="AL4" s="24"/>
      <c r="AM4" s="24"/>
      <c r="AN4" s="24"/>
      <c r="AO4" s="24"/>
      <c r="AP4" s="24"/>
      <c r="AQ4" s="24"/>
      <c r="AR4" s="24"/>
      <c r="AS4" s="24"/>
      <c r="AT4" s="24"/>
      <c r="AU4" s="24"/>
      <c r="AV4" s="24"/>
      <c r="AW4" s="24"/>
    </row>
    <row r="5" spans="1:49" ht="15.75" customHeight="1">
      <c r="A5" s="29">
        <v>2021</v>
      </c>
      <c r="B5" s="12" t="s">
        <v>64</v>
      </c>
      <c r="C5" s="30" t="s">
        <v>73</v>
      </c>
      <c r="D5" s="29" t="s">
        <v>122</v>
      </c>
      <c r="E5" s="29" t="s">
        <v>73</v>
      </c>
      <c r="F5" s="29" t="s">
        <v>125</v>
      </c>
      <c r="G5" s="29">
        <f>COUNTIF(Stakeholders!$E$2:$E960,F5)</f>
        <v>1</v>
      </c>
      <c r="H5" s="37" t="s">
        <v>127</v>
      </c>
      <c r="I5" s="32" t="s">
        <v>129</v>
      </c>
      <c r="J5" s="33" t="s">
        <v>67</v>
      </c>
      <c r="K5" s="33" t="s">
        <v>67</v>
      </c>
      <c r="L5" s="29" t="s">
        <v>67</v>
      </c>
      <c r="M5" s="29" t="s">
        <v>67</v>
      </c>
      <c r="N5" s="29" t="s">
        <v>67</v>
      </c>
      <c r="O5" s="29" t="s">
        <v>67</v>
      </c>
      <c r="P5" s="29" t="s">
        <v>94</v>
      </c>
      <c r="Q5" s="29" t="s">
        <v>94</v>
      </c>
      <c r="R5" s="29" t="s">
        <v>67</v>
      </c>
      <c r="S5" s="29" t="s">
        <v>94</v>
      </c>
      <c r="T5" s="29" t="s">
        <v>67</v>
      </c>
      <c r="U5" s="29" t="s">
        <v>94</v>
      </c>
      <c r="V5" s="29"/>
      <c r="W5" s="33" t="s">
        <v>94</v>
      </c>
      <c r="X5" s="29" t="s">
        <v>133</v>
      </c>
      <c r="Y5" s="29" t="s">
        <v>122</v>
      </c>
      <c r="Z5" s="29" t="s">
        <v>134</v>
      </c>
      <c r="AA5" s="34" t="s">
        <v>136</v>
      </c>
      <c r="AB5" s="29" t="s">
        <v>96</v>
      </c>
      <c r="AC5" s="29"/>
      <c r="AD5" s="34">
        <v>4</v>
      </c>
      <c r="AE5" s="34">
        <f>VLOOKUP(F5,Stakeholders!E:K,7,0)</f>
        <v>20</v>
      </c>
      <c r="AF5" s="34" t="e">
        <f>VLOOKUP(B5&amp;D5,Areas!$D:$E,2,FALSE)</f>
        <v>#N/A</v>
      </c>
      <c r="AG5" s="34"/>
      <c r="AH5" s="34" t="s">
        <v>82</v>
      </c>
      <c r="AI5" s="34">
        <f>COUNTIF(Stakeholders!$E$2:$E$114,F5)</f>
        <v>1</v>
      </c>
      <c r="AJ5" s="34"/>
      <c r="AK5" s="34"/>
      <c r="AL5" s="34"/>
      <c r="AM5" s="34"/>
      <c r="AN5" s="34"/>
      <c r="AO5" s="34"/>
      <c r="AP5" s="34"/>
      <c r="AQ5" s="34"/>
      <c r="AR5" s="34"/>
      <c r="AS5" s="34"/>
      <c r="AT5" s="34"/>
      <c r="AU5" s="34"/>
      <c r="AV5" s="34"/>
      <c r="AW5" s="34"/>
    </row>
    <row r="6" spans="1:49" ht="15.75" customHeight="1">
      <c r="A6" s="14">
        <v>2018</v>
      </c>
      <c r="B6" s="12" t="s">
        <v>64</v>
      </c>
      <c r="C6" s="15" t="s">
        <v>73</v>
      </c>
      <c r="D6" s="14" t="s">
        <v>85</v>
      </c>
      <c r="E6" s="14" t="s">
        <v>73</v>
      </c>
      <c r="F6" s="14" t="s">
        <v>125</v>
      </c>
      <c r="G6" s="14">
        <f>COUNTIF(Stakeholders!$E$2:$E960,F6)</f>
        <v>1</v>
      </c>
      <c r="H6" s="39" t="s">
        <v>150</v>
      </c>
      <c r="I6" s="19" t="s">
        <v>152</v>
      </c>
      <c r="J6" s="20" t="s">
        <v>67</v>
      </c>
      <c r="K6" s="20" t="s">
        <v>67</v>
      </c>
      <c r="L6" s="14"/>
      <c r="M6" s="14"/>
      <c r="N6" s="14"/>
      <c r="O6" s="14"/>
      <c r="P6" s="14"/>
      <c r="Q6" s="14"/>
      <c r="R6" s="14"/>
      <c r="S6" s="14"/>
      <c r="T6" s="14"/>
      <c r="U6" s="14"/>
      <c r="V6" s="14"/>
      <c r="W6" s="20" t="s">
        <v>94</v>
      </c>
      <c r="X6" s="14"/>
      <c r="Y6" s="14"/>
      <c r="Z6" s="14"/>
      <c r="AA6" s="24"/>
      <c r="AB6" s="14" t="s">
        <v>96</v>
      </c>
      <c r="AC6" s="14"/>
      <c r="AD6" s="24">
        <v>5</v>
      </c>
      <c r="AE6" s="24">
        <f>VLOOKUP(F6,Stakeholders!E:K,7,0)</f>
        <v>20</v>
      </c>
      <c r="AF6" s="24">
        <f>VLOOKUP(B6&amp;D6,Areas!$D:$E,2,FALSE)</f>
        <v>283</v>
      </c>
      <c r="AG6" s="24"/>
      <c r="AH6" s="24" t="s">
        <v>82</v>
      </c>
      <c r="AI6" s="24">
        <f>COUNTIF(Stakeholders!$E$2:$E$114,F6)</f>
        <v>1</v>
      </c>
      <c r="AJ6" s="24"/>
      <c r="AK6" s="24"/>
      <c r="AL6" s="24"/>
      <c r="AM6" s="24"/>
      <c r="AN6" s="24"/>
      <c r="AO6" s="24"/>
      <c r="AP6" s="24"/>
      <c r="AQ6" s="24"/>
      <c r="AR6" s="24"/>
      <c r="AS6" s="24"/>
      <c r="AT6" s="24"/>
      <c r="AU6" s="24"/>
      <c r="AV6" s="24"/>
      <c r="AW6" s="24"/>
    </row>
    <row r="7" spans="1:49" ht="15.75" customHeight="1">
      <c r="A7" s="29">
        <v>2021</v>
      </c>
      <c r="B7" s="12" t="s">
        <v>64</v>
      </c>
      <c r="C7" s="30" t="s">
        <v>163</v>
      </c>
      <c r="D7" s="29" t="s">
        <v>122</v>
      </c>
      <c r="E7" s="29" t="s">
        <v>73</v>
      </c>
      <c r="F7" s="29" t="s">
        <v>165</v>
      </c>
      <c r="G7" s="29">
        <f>COUNTIF(Stakeholders!$E$2:$E960,F7)</f>
        <v>1</v>
      </c>
      <c r="H7" s="37" t="s">
        <v>166</v>
      </c>
      <c r="I7" s="32" t="s">
        <v>167</v>
      </c>
      <c r="J7" s="33" t="s">
        <v>67</v>
      </c>
      <c r="K7" s="33" t="s">
        <v>67</v>
      </c>
      <c r="L7" s="29"/>
      <c r="M7" s="29"/>
      <c r="N7" s="29"/>
      <c r="O7" s="29"/>
      <c r="P7" s="29"/>
      <c r="Q7" s="29"/>
      <c r="R7" s="29"/>
      <c r="S7" s="29"/>
      <c r="T7" s="29"/>
      <c r="U7" s="29"/>
      <c r="V7" s="29"/>
      <c r="W7" s="33" t="s">
        <v>67</v>
      </c>
      <c r="X7" s="29"/>
      <c r="Y7" s="29"/>
      <c r="Z7" s="29"/>
      <c r="AA7" s="34"/>
      <c r="AB7" s="29" t="s">
        <v>96</v>
      </c>
      <c r="AC7" s="29"/>
      <c r="AD7" s="34">
        <v>6</v>
      </c>
      <c r="AE7" s="34">
        <f>VLOOKUP(F7,Stakeholders!E:K,7,0)</f>
        <v>28</v>
      </c>
      <c r="AF7" s="34" t="e">
        <f>VLOOKUP(B7&amp;D7,Areas!$D:$E,2,FALSE)</f>
        <v>#N/A</v>
      </c>
      <c r="AG7" s="34"/>
      <c r="AH7" s="34" t="s">
        <v>82</v>
      </c>
      <c r="AI7" s="34">
        <f>COUNTIF(Stakeholders!$E$2:$E$114,F7)</f>
        <v>1</v>
      </c>
      <c r="AJ7" s="34"/>
      <c r="AK7" s="34"/>
      <c r="AL7" s="34"/>
      <c r="AM7" s="34"/>
      <c r="AN7" s="34"/>
      <c r="AO7" s="34"/>
      <c r="AP7" s="34"/>
      <c r="AQ7" s="34"/>
      <c r="AR7" s="34"/>
      <c r="AS7" s="34"/>
      <c r="AT7" s="34"/>
      <c r="AU7" s="34"/>
      <c r="AV7" s="34"/>
      <c r="AW7" s="34"/>
    </row>
    <row r="8" spans="1:49" ht="15.75" customHeight="1">
      <c r="A8" s="14">
        <v>2020</v>
      </c>
      <c r="B8" s="12" t="s">
        <v>64</v>
      </c>
      <c r="C8" s="15" t="s">
        <v>73</v>
      </c>
      <c r="D8" s="14" t="s">
        <v>180</v>
      </c>
      <c r="E8" s="14" t="s">
        <v>73</v>
      </c>
      <c r="F8" s="14" t="s">
        <v>181</v>
      </c>
      <c r="G8" s="14">
        <f>COUNTIF(Stakeholders!$E$2:$E960,F8)</f>
        <v>1</v>
      </c>
      <c r="H8" s="39" t="s">
        <v>182</v>
      </c>
      <c r="I8" s="19" t="s">
        <v>183</v>
      </c>
      <c r="J8" s="20" t="s">
        <v>67</v>
      </c>
      <c r="K8" s="20" t="s">
        <v>67</v>
      </c>
      <c r="L8" s="20" t="s">
        <v>67</v>
      </c>
      <c r="M8" s="20" t="s">
        <v>67</v>
      </c>
      <c r="N8" s="20" t="s">
        <v>94</v>
      </c>
      <c r="O8" s="20" t="s">
        <v>67</v>
      </c>
      <c r="P8" s="20" t="s">
        <v>94</v>
      </c>
      <c r="Q8" s="20" t="s">
        <v>94</v>
      </c>
      <c r="R8" s="20" t="s">
        <v>67</v>
      </c>
      <c r="S8" s="20" t="s">
        <v>67</v>
      </c>
      <c r="T8" s="20" t="s">
        <v>67</v>
      </c>
      <c r="U8" s="20" t="s">
        <v>94</v>
      </c>
      <c r="V8" s="14"/>
      <c r="W8" s="20" t="s">
        <v>67</v>
      </c>
      <c r="X8" s="14" t="s">
        <v>187</v>
      </c>
      <c r="Y8" s="14" t="s">
        <v>189</v>
      </c>
      <c r="Z8" s="14" t="s">
        <v>193</v>
      </c>
      <c r="AA8" s="24"/>
      <c r="AB8" s="14" t="s">
        <v>96</v>
      </c>
      <c r="AC8" s="14"/>
      <c r="AD8" s="24">
        <v>7</v>
      </c>
      <c r="AE8" s="24">
        <f>VLOOKUP(F8,Stakeholders!E:K,7,0)</f>
        <v>17</v>
      </c>
      <c r="AF8" s="24" t="e">
        <f>VLOOKUP(B8&amp;D8,Areas!$D:$E,2,FALSE)</f>
        <v>#N/A</v>
      </c>
      <c r="AG8" s="24"/>
      <c r="AH8" s="24" t="s">
        <v>82</v>
      </c>
      <c r="AI8" s="24">
        <f>COUNTIF(Stakeholders!$E$2:$E$114,F8)</f>
        <v>1</v>
      </c>
      <c r="AJ8" s="24"/>
      <c r="AK8" s="24"/>
      <c r="AL8" s="24"/>
      <c r="AM8" s="24"/>
      <c r="AN8" s="24"/>
      <c r="AO8" s="24"/>
      <c r="AP8" s="24"/>
      <c r="AQ8" s="24"/>
      <c r="AR8" s="24"/>
      <c r="AS8" s="24"/>
      <c r="AT8" s="24"/>
      <c r="AU8" s="24"/>
      <c r="AV8" s="24"/>
      <c r="AW8" s="24"/>
    </row>
    <row r="9" spans="1:49" ht="15.75" customHeight="1">
      <c r="A9" s="29">
        <v>2015</v>
      </c>
      <c r="B9" s="12" t="s">
        <v>64</v>
      </c>
      <c r="C9" s="30" t="s">
        <v>73</v>
      </c>
      <c r="D9" s="29" t="s">
        <v>199</v>
      </c>
      <c r="E9" s="29" t="s">
        <v>73</v>
      </c>
      <c r="F9" s="29" t="s">
        <v>181</v>
      </c>
      <c r="G9" s="29">
        <f>COUNTIF(Stakeholders!$E$2:$E960,F9)</f>
        <v>1</v>
      </c>
      <c r="H9" s="37" t="s">
        <v>202</v>
      </c>
      <c r="I9" s="32" t="s">
        <v>204</v>
      </c>
      <c r="J9" s="33" t="s">
        <v>67</v>
      </c>
      <c r="K9" s="33" t="s">
        <v>94</v>
      </c>
      <c r="L9" s="29"/>
      <c r="M9" s="29"/>
      <c r="N9" s="29"/>
      <c r="O9" s="29"/>
      <c r="P9" s="29"/>
      <c r="Q9" s="29"/>
      <c r="R9" s="29"/>
      <c r="S9" s="29"/>
      <c r="T9" s="29"/>
      <c r="U9" s="29"/>
      <c r="V9" s="29"/>
      <c r="W9" s="33" t="s">
        <v>67</v>
      </c>
      <c r="X9" s="29"/>
      <c r="Y9" s="29"/>
      <c r="Z9" s="29"/>
      <c r="AA9" s="34"/>
      <c r="AB9" s="29" t="s">
        <v>96</v>
      </c>
      <c r="AC9" s="29"/>
      <c r="AD9" s="34">
        <v>8</v>
      </c>
      <c r="AE9" s="34">
        <f>VLOOKUP(F9,Stakeholders!E:K,7,0)</f>
        <v>17</v>
      </c>
      <c r="AF9" s="34" t="e">
        <f>VLOOKUP(B9&amp;D9,Areas!$D:$E,2,FALSE)</f>
        <v>#N/A</v>
      </c>
      <c r="AG9" s="34"/>
      <c r="AH9" s="34" t="s">
        <v>82</v>
      </c>
      <c r="AI9" s="34">
        <f>COUNTIF(Stakeholders!$E$2:$E$114,F9)</f>
        <v>1</v>
      </c>
      <c r="AJ9" s="34"/>
      <c r="AK9" s="34"/>
      <c r="AL9" s="34"/>
      <c r="AM9" s="34"/>
      <c r="AN9" s="34"/>
      <c r="AO9" s="34"/>
      <c r="AP9" s="34"/>
      <c r="AQ9" s="34"/>
      <c r="AR9" s="34"/>
      <c r="AS9" s="34"/>
      <c r="AT9" s="34"/>
      <c r="AU9" s="34"/>
      <c r="AV9" s="34"/>
      <c r="AW9" s="34"/>
    </row>
    <row r="10" spans="1:49" ht="15.75" customHeight="1">
      <c r="A10" s="14">
        <v>2018</v>
      </c>
      <c r="B10" s="14" t="s">
        <v>53</v>
      </c>
      <c r="C10" s="15" t="s">
        <v>115</v>
      </c>
      <c r="D10" s="14" t="s">
        <v>115</v>
      </c>
      <c r="E10" s="14" t="s">
        <v>115</v>
      </c>
      <c r="F10" s="14" t="s">
        <v>116</v>
      </c>
      <c r="G10" s="14">
        <f>COUNTIF(Stakeholders!$E$2:$E960,F10)</f>
        <v>1</v>
      </c>
      <c r="H10" s="39" t="s">
        <v>216</v>
      </c>
      <c r="I10" s="19" t="s">
        <v>217</v>
      </c>
      <c r="J10" s="20" t="s">
        <v>67</v>
      </c>
      <c r="K10" s="20" t="s">
        <v>67</v>
      </c>
      <c r="L10" s="14"/>
      <c r="M10" s="14"/>
      <c r="N10" s="14"/>
      <c r="O10" s="14"/>
      <c r="P10" s="14"/>
      <c r="Q10" s="14"/>
      <c r="R10" s="14"/>
      <c r="S10" s="14"/>
      <c r="T10" s="14"/>
      <c r="U10" s="14"/>
      <c r="V10" s="14"/>
      <c r="W10" s="20" t="s">
        <v>94</v>
      </c>
      <c r="X10" s="14"/>
      <c r="Y10" s="14"/>
      <c r="Z10" s="14"/>
      <c r="AA10" s="24"/>
      <c r="AB10" s="14" t="s">
        <v>96</v>
      </c>
      <c r="AC10" s="14"/>
      <c r="AD10" s="24">
        <v>9</v>
      </c>
      <c r="AE10" s="24">
        <f>VLOOKUP(F10,Stakeholders!E:K,7,0)</f>
        <v>6</v>
      </c>
      <c r="AF10" s="24">
        <f>VLOOKUP(B10&amp;D10,Areas!$D:$E,2,FALSE)</f>
        <v>71</v>
      </c>
      <c r="AG10" s="24"/>
      <c r="AH10" s="24" t="s">
        <v>82</v>
      </c>
      <c r="AI10" s="24">
        <f>COUNTIF(Stakeholders!$E$2:$E$114,F10)</f>
        <v>1</v>
      </c>
      <c r="AJ10" s="24"/>
      <c r="AK10" s="24"/>
      <c r="AL10" s="24"/>
      <c r="AM10" s="24"/>
      <c r="AN10" s="24"/>
      <c r="AO10" s="24"/>
      <c r="AP10" s="24"/>
      <c r="AQ10" s="24"/>
      <c r="AR10" s="24"/>
      <c r="AS10" s="24"/>
      <c r="AT10" s="24"/>
      <c r="AU10" s="24"/>
      <c r="AV10" s="24"/>
      <c r="AW10" s="24"/>
    </row>
    <row r="11" spans="1:49" ht="15.75" customHeight="1">
      <c r="A11" s="29">
        <v>2020</v>
      </c>
      <c r="B11" s="29" t="s">
        <v>56</v>
      </c>
      <c r="C11" s="29" t="s">
        <v>224</v>
      </c>
      <c r="D11" s="29" t="s">
        <v>226</v>
      </c>
      <c r="E11" s="29" t="s">
        <v>227</v>
      </c>
      <c r="F11" s="29" t="s">
        <v>227</v>
      </c>
      <c r="G11" s="29">
        <f>COUNTIF(Stakeholders!$E$2:$E960,F11)</f>
        <v>1</v>
      </c>
      <c r="H11" s="37" t="s">
        <v>229</v>
      </c>
      <c r="I11" s="32" t="s">
        <v>230</v>
      </c>
      <c r="J11" s="33" t="s">
        <v>94</v>
      </c>
      <c r="K11" s="33" t="s">
        <v>67</v>
      </c>
      <c r="L11" s="29"/>
      <c r="M11" s="29"/>
      <c r="N11" s="29"/>
      <c r="O11" s="29"/>
      <c r="P11" s="29"/>
      <c r="Q11" s="29"/>
      <c r="R11" s="29"/>
      <c r="S11" s="29"/>
      <c r="T11" s="29"/>
      <c r="U11" s="29"/>
      <c r="V11" s="29"/>
      <c r="W11" s="33" t="s">
        <v>94</v>
      </c>
      <c r="X11" s="29"/>
      <c r="Y11" s="29"/>
      <c r="Z11" s="29"/>
      <c r="AA11" s="34"/>
      <c r="AB11" s="29" t="s">
        <v>96</v>
      </c>
      <c r="AC11" s="29"/>
      <c r="AD11" s="34">
        <v>10</v>
      </c>
      <c r="AE11" s="34">
        <f>VLOOKUP(F11,Stakeholders!E:K,7,0)</f>
        <v>105</v>
      </c>
      <c r="AF11" s="34" t="e">
        <f>VLOOKUP(B11&amp;D11,Areas!$D:$E,2,FALSE)</f>
        <v>#N/A</v>
      </c>
      <c r="AG11" s="34"/>
      <c r="AH11" s="34" t="s">
        <v>82</v>
      </c>
      <c r="AI11" s="34">
        <f>COUNTIF(Stakeholders!$E$2:$E$114,F11)</f>
        <v>1</v>
      </c>
      <c r="AJ11" s="34"/>
      <c r="AK11" s="34"/>
      <c r="AL11" s="34"/>
      <c r="AM11" s="34"/>
      <c r="AN11" s="34"/>
      <c r="AO11" s="34"/>
      <c r="AP11" s="34"/>
      <c r="AQ11" s="34"/>
      <c r="AR11" s="34"/>
      <c r="AS11" s="34"/>
      <c r="AT11" s="34"/>
      <c r="AU11" s="34"/>
      <c r="AV11" s="34"/>
      <c r="AW11" s="34"/>
    </row>
    <row r="12" spans="1:49" ht="15.75" customHeight="1">
      <c r="A12" s="14">
        <v>2019</v>
      </c>
      <c r="B12" s="12" t="s">
        <v>64</v>
      </c>
      <c r="C12" s="15" t="s">
        <v>73</v>
      </c>
      <c r="D12" s="14" t="s">
        <v>246</v>
      </c>
      <c r="E12" s="14" t="s">
        <v>73</v>
      </c>
      <c r="F12" s="14" t="s">
        <v>247</v>
      </c>
      <c r="G12" s="14">
        <f>COUNTIF(Stakeholders!$E$2:$E960,F12)</f>
        <v>1</v>
      </c>
      <c r="H12" s="39" t="s">
        <v>250</v>
      </c>
      <c r="I12" s="19" t="s">
        <v>252</v>
      </c>
      <c r="J12" s="20" t="s">
        <v>67</v>
      </c>
      <c r="K12" s="20" t="s">
        <v>67</v>
      </c>
      <c r="L12" s="14" t="s">
        <v>67</v>
      </c>
      <c r="M12" s="14" t="s">
        <v>94</v>
      </c>
      <c r="N12" s="14" t="s">
        <v>94</v>
      </c>
      <c r="O12" s="14" t="s">
        <v>67</v>
      </c>
      <c r="P12" s="14" t="s">
        <v>94</v>
      </c>
      <c r="Q12" s="14" t="s">
        <v>94</v>
      </c>
      <c r="R12" s="14" t="s">
        <v>67</v>
      </c>
      <c r="S12" s="14" t="s">
        <v>67</v>
      </c>
      <c r="T12" s="14" t="s">
        <v>67</v>
      </c>
      <c r="U12" s="14" t="s">
        <v>67</v>
      </c>
      <c r="V12" s="14"/>
      <c r="W12" s="20" t="s">
        <v>94</v>
      </c>
      <c r="X12" s="14" t="s">
        <v>257</v>
      </c>
      <c r="Y12" s="14" t="s">
        <v>258</v>
      </c>
      <c r="Z12" s="14" t="s">
        <v>259</v>
      </c>
      <c r="AA12" s="24" t="s">
        <v>260</v>
      </c>
      <c r="AB12" s="14" t="s">
        <v>96</v>
      </c>
      <c r="AC12" s="14"/>
      <c r="AD12" s="24">
        <v>11</v>
      </c>
      <c r="AE12" s="24">
        <f>VLOOKUP(F12,Stakeholders!E:K,7,0)</f>
        <v>30</v>
      </c>
      <c r="AF12" s="24" t="e">
        <f>VLOOKUP(B12&amp;D12,Areas!$D:$E,2,FALSE)</f>
        <v>#N/A</v>
      </c>
      <c r="AG12" s="24"/>
      <c r="AH12" s="24" t="s">
        <v>82</v>
      </c>
      <c r="AI12" s="24">
        <f>COUNTIF(Stakeholders!$E$2:$E$114,F12)</f>
        <v>1</v>
      </c>
      <c r="AJ12" s="24"/>
      <c r="AK12" s="24"/>
      <c r="AL12" s="24"/>
      <c r="AM12" s="24"/>
      <c r="AN12" s="24"/>
      <c r="AO12" s="24"/>
      <c r="AP12" s="24"/>
      <c r="AQ12" s="24"/>
      <c r="AR12" s="24"/>
      <c r="AS12" s="24"/>
      <c r="AT12" s="24"/>
      <c r="AU12" s="24"/>
      <c r="AV12" s="24"/>
      <c r="AW12" s="24"/>
    </row>
    <row r="13" spans="1:49" ht="15.75" customHeight="1">
      <c r="A13" s="29">
        <v>2020</v>
      </c>
      <c r="B13" s="12" t="s">
        <v>64</v>
      </c>
      <c r="C13" s="30" t="s">
        <v>73</v>
      </c>
      <c r="D13" s="29" t="s">
        <v>85</v>
      </c>
      <c r="E13" s="29" t="s">
        <v>73</v>
      </c>
      <c r="F13" s="29" t="s">
        <v>207</v>
      </c>
      <c r="G13" s="29">
        <f>COUNTIF(Stakeholders!$E$2:$E960,F13)</f>
        <v>1</v>
      </c>
      <c r="H13" s="37" t="s">
        <v>263</v>
      </c>
      <c r="I13" s="32" t="s">
        <v>264</v>
      </c>
      <c r="J13" s="33" t="s">
        <v>94</v>
      </c>
      <c r="K13" s="33" t="s">
        <v>67</v>
      </c>
      <c r="L13" s="33"/>
      <c r="M13" s="33"/>
      <c r="N13" s="33"/>
      <c r="O13" s="33"/>
      <c r="P13" s="33"/>
      <c r="Q13" s="33"/>
      <c r="R13" s="33"/>
      <c r="S13" s="33"/>
      <c r="T13" s="33"/>
      <c r="U13" s="33"/>
      <c r="V13" s="29"/>
      <c r="W13" s="33" t="s">
        <v>94</v>
      </c>
      <c r="X13" s="29"/>
      <c r="Y13" s="29"/>
      <c r="Z13" s="29"/>
      <c r="AA13" s="34"/>
      <c r="AB13" s="29" t="s">
        <v>96</v>
      </c>
      <c r="AC13" s="29"/>
      <c r="AD13" s="34">
        <v>12</v>
      </c>
      <c r="AE13" s="34">
        <f>VLOOKUP(F13,Stakeholders!E:K,7,0)</f>
        <v>15</v>
      </c>
      <c r="AF13" s="34">
        <f>VLOOKUP(B13&amp;D13,Areas!$D:$E,2,FALSE)</f>
        <v>283</v>
      </c>
      <c r="AG13" s="34"/>
      <c r="AH13" s="34" t="s">
        <v>82</v>
      </c>
      <c r="AI13" s="34">
        <f>COUNTIF(Stakeholders!$E$2:$E$114,F13)</f>
        <v>1</v>
      </c>
      <c r="AJ13" s="34"/>
      <c r="AK13" s="34"/>
      <c r="AL13" s="34"/>
      <c r="AM13" s="34"/>
      <c r="AN13" s="34"/>
      <c r="AO13" s="34"/>
      <c r="AP13" s="34"/>
      <c r="AQ13" s="34"/>
      <c r="AR13" s="34"/>
      <c r="AS13" s="34"/>
      <c r="AT13" s="34"/>
      <c r="AU13" s="34"/>
      <c r="AV13" s="34"/>
      <c r="AW13" s="34"/>
    </row>
    <row r="14" spans="1:49" ht="15.75" customHeight="1">
      <c r="A14" s="14">
        <v>2017</v>
      </c>
      <c r="B14" s="12" t="s">
        <v>64</v>
      </c>
      <c r="C14" s="15" t="s">
        <v>73</v>
      </c>
      <c r="D14" s="14" t="s">
        <v>85</v>
      </c>
      <c r="E14" s="14" t="s">
        <v>73</v>
      </c>
      <c r="F14" s="14" t="s">
        <v>247</v>
      </c>
      <c r="G14" s="14">
        <f>COUNTIF(Stakeholders!$E$2:$E960,F14)</f>
        <v>1</v>
      </c>
      <c r="H14" s="39" t="s">
        <v>271</v>
      </c>
      <c r="I14" s="19" t="s">
        <v>272</v>
      </c>
      <c r="J14" s="20" t="s">
        <v>94</v>
      </c>
      <c r="K14" s="20" t="s">
        <v>67</v>
      </c>
      <c r="L14" s="14"/>
      <c r="M14" s="14"/>
      <c r="N14" s="14"/>
      <c r="O14" s="14"/>
      <c r="P14" s="14"/>
      <c r="Q14" s="14"/>
      <c r="R14" s="14"/>
      <c r="S14" s="14"/>
      <c r="T14" s="14"/>
      <c r="U14" s="14"/>
      <c r="V14" s="14"/>
      <c r="W14" s="20" t="s">
        <v>94</v>
      </c>
      <c r="X14" s="14"/>
      <c r="Y14" s="14"/>
      <c r="Z14" s="14"/>
      <c r="AA14" s="24"/>
      <c r="AB14" s="14" t="s">
        <v>96</v>
      </c>
      <c r="AC14" s="14"/>
      <c r="AD14" s="24">
        <v>13</v>
      </c>
      <c r="AE14" s="24">
        <f>VLOOKUP(F14,Stakeholders!E:K,7,0)</f>
        <v>30</v>
      </c>
      <c r="AF14" s="24">
        <f>VLOOKUP(B14&amp;D14,Areas!$D:$E,2,FALSE)</f>
        <v>283</v>
      </c>
      <c r="AG14" s="24"/>
      <c r="AH14" s="24" t="s">
        <v>82</v>
      </c>
      <c r="AI14" s="24">
        <f>COUNTIF(Stakeholders!$E$2:$E$114,F14)</f>
        <v>1</v>
      </c>
      <c r="AJ14" s="24"/>
      <c r="AK14" s="24"/>
      <c r="AL14" s="24"/>
      <c r="AM14" s="24"/>
      <c r="AN14" s="24"/>
      <c r="AO14" s="24"/>
      <c r="AP14" s="24"/>
      <c r="AQ14" s="24"/>
      <c r="AR14" s="24"/>
      <c r="AS14" s="24"/>
      <c r="AT14" s="24"/>
      <c r="AU14" s="24"/>
      <c r="AV14" s="24"/>
      <c r="AW14" s="24"/>
    </row>
    <row r="15" spans="1:49" ht="15.75" customHeight="1">
      <c r="A15" s="29">
        <v>2020</v>
      </c>
      <c r="B15" s="12" t="s">
        <v>64</v>
      </c>
      <c r="C15" s="30" t="s">
        <v>267</v>
      </c>
      <c r="D15" s="29" t="s">
        <v>267</v>
      </c>
      <c r="E15" s="29" t="s">
        <v>267</v>
      </c>
      <c r="F15" s="29" t="s">
        <v>291</v>
      </c>
      <c r="G15" s="29">
        <f>COUNTIF(Stakeholders!$E$2:$E960,F15)</f>
        <v>1</v>
      </c>
      <c r="H15" s="29" t="s">
        <v>294</v>
      </c>
      <c r="I15" s="32" t="s">
        <v>295</v>
      </c>
      <c r="J15" s="33" t="s">
        <v>67</v>
      </c>
      <c r="K15" s="29"/>
      <c r="L15" s="29"/>
      <c r="M15" s="29"/>
      <c r="N15" s="29"/>
      <c r="O15" s="29"/>
      <c r="P15" s="29"/>
      <c r="Q15" s="29"/>
      <c r="R15" s="29"/>
      <c r="S15" s="29"/>
      <c r="T15" s="29"/>
      <c r="U15" s="29"/>
      <c r="V15" s="29"/>
      <c r="W15" s="29"/>
      <c r="X15" s="29"/>
      <c r="Y15" s="29"/>
      <c r="Z15" s="29"/>
      <c r="AA15" s="34"/>
      <c r="AB15" s="29" t="s">
        <v>96</v>
      </c>
      <c r="AC15" s="29"/>
      <c r="AD15" s="34">
        <v>14</v>
      </c>
      <c r="AE15" s="34">
        <f>VLOOKUP(F15,Stakeholders!E:K,7,0)</f>
        <v>35</v>
      </c>
      <c r="AF15" s="34">
        <f>VLOOKUP(B15&amp;D15,Areas!$D:$E,2,FALSE)</f>
        <v>106</v>
      </c>
      <c r="AG15" s="34"/>
      <c r="AH15" s="34" t="s">
        <v>82</v>
      </c>
      <c r="AI15" s="34">
        <f>COUNTIF(Stakeholders!$E$2:$E$114,F15)</f>
        <v>1</v>
      </c>
      <c r="AJ15" s="34"/>
      <c r="AK15" s="34"/>
      <c r="AL15" s="34"/>
      <c r="AM15" s="34"/>
      <c r="AN15" s="34"/>
      <c r="AO15" s="34"/>
      <c r="AP15" s="34"/>
      <c r="AQ15" s="34"/>
      <c r="AR15" s="34"/>
      <c r="AS15" s="34"/>
      <c r="AT15" s="34"/>
      <c r="AU15" s="34"/>
      <c r="AV15" s="34"/>
      <c r="AW15" s="34"/>
    </row>
    <row r="16" spans="1:49" ht="15.75" customHeight="1">
      <c r="A16" s="14">
        <v>2019</v>
      </c>
      <c r="B16" s="12" t="s">
        <v>64</v>
      </c>
      <c r="C16" s="15" t="s">
        <v>267</v>
      </c>
      <c r="D16" s="14" t="s">
        <v>267</v>
      </c>
      <c r="E16" s="14" t="s">
        <v>267</v>
      </c>
      <c r="F16" s="14" t="s">
        <v>291</v>
      </c>
      <c r="G16" s="14">
        <f>COUNTIF(Stakeholders!$E$2:$E960,F16)</f>
        <v>1</v>
      </c>
      <c r="H16" s="14" t="s">
        <v>318</v>
      </c>
      <c r="I16" s="19" t="s">
        <v>319</v>
      </c>
      <c r="J16" s="20" t="s">
        <v>67</v>
      </c>
      <c r="K16" s="14"/>
      <c r="L16" s="14"/>
      <c r="M16" s="14"/>
      <c r="N16" s="14"/>
      <c r="O16" s="14"/>
      <c r="P16" s="14"/>
      <c r="Q16" s="14"/>
      <c r="R16" s="14"/>
      <c r="S16" s="14"/>
      <c r="T16" s="14"/>
      <c r="U16" s="14"/>
      <c r="V16" s="14"/>
      <c r="W16" s="14"/>
      <c r="X16" s="14"/>
      <c r="Y16" s="14"/>
      <c r="Z16" s="14"/>
      <c r="AA16" s="24"/>
      <c r="AB16" s="14" t="s">
        <v>96</v>
      </c>
      <c r="AC16" s="14"/>
      <c r="AD16" s="24">
        <v>15</v>
      </c>
      <c r="AE16" s="24">
        <f>VLOOKUP(F16,Stakeholders!E:K,7,0)</f>
        <v>35</v>
      </c>
      <c r="AF16" s="24">
        <f>VLOOKUP(B16&amp;D16,Areas!$D:$E,2,FALSE)</f>
        <v>106</v>
      </c>
      <c r="AG16" s="24"/>
      <c r="AH16" s="24" t="s">
        <v>82</v>
      </c>
      <c r="AI16" s="24">
        <f>COUNTIF(Stakeholders!$E$2:$E$114,F16)</f>
        <v>1</v>
      </c>
      <c r="AJ16" s="24"/>
      <c r="AK16" s="24"/>
      <c r="AL16" s="24"/>
      <c r="AM16" s="24"/>
      <c r="AN16" s="24"/>
      <c r="AO16" s="24"/>
      <c r="AP16" s="24"/>
      <c r="AQ16" s="24"/>
      <c r="AR16" s="24"/>
      <c r="AS16" s="24"/>
      <c r="AT16" s="24"/>
      <c r="AU16" s="24"/>
      <c r="AV16" s="24"/>
      <c r="AW16" s="24"/>
    </row>
    <row r="17" spans="1:49" ht="15.75" customHeight="1">
      <c r="A17" s="29">
        <v>2012</v>
      </c>
      <c r="B17" s="12" t="s">
        <v>64</v>
      </c>
      <c r="C17" s="30" t="s">
        <v>73</v>
      </c>
      <c r="D17" s="37" t="s">
        <v>73</v>
      </c>
      <c r="E17" s="29" t="s">
        <v>73</v>
      </c>
      <c r="F17" s="29" t="s">
        <v>341</v>
      </c>
      <c r="G17" s="29">
        <f>COUNTIF(Stakeholders!$E$2:$E960,F17)</f>
        <v>1</v>
      </c>
      <c r="H17" s="37" t="s">
        <v>344</v>
      </c>
      <c r="I17" s="32" t="s">
        <v>345</v>
      </c>
      <c r="J17" s="33" t="s">
        <v>94</v>
      </c>
      <c r="K17" s="33" t="s">
        <v>67</v>
      </c>
      <c r="L17" s="29"/>
      <c r="M17" s="29"/>
      <c r="N17" s="29"/>
      <c r="O17" s="29"/>
      <c r="P17" s="29"/>
      <c r="Q17" s="29"/>
      <c r="R17" s="29"/>
      <c r="S17" s="29"/>
      <c r="T17" s="29"/>
      <c r="U17" s="29"/>
      <c r="V17" s="29"/>
      <c r="W17" s="33" t="s">
        <v>94</v>
      </c>
      <c r="X17" s="29"/>
      <c r="Y17" s="29"/>
      <c r="Z17" s="29"/>
      <c r="AA17" s="34"/>
      <c r="AB17" s="29" t="s">
        <v>96</v>
      </c>
      <c r="AC17" s="29"/>
      <c r="AD17" s="34">
        <v>16</v>
      </c>
      <c r="AE17" s="34">
        <f>VLOOKUP(F17,Stakeholders!E:K,7,0)</f>
        <v>33</v>
      </c>
      <c r="AF17" s="34">
        <f>VLOOKUP(B17&amp;D17,Areas!$D:$E,2,FALSE)</f>
        <v>56</v>
      </c>
      <c r="AG17" s="34"/>
      <c r="AH17" s="34" t="s">
        <v>82</v>
      </c>
      <c r="AI17" s="34">
        <f>COUNTIF(Stakeholders!$E$2:$E$114,F17)</f>
        <v>1</v>
      </c>
      <c r="AJ17" s="34"/>
      <c r="AK17" s="34"/>
      <c r="AL17" s="34"/>
      <c r="AM17" s="34"/>
      <c r="AN17" s="34"/>
      <c r="AO17" s="34"/>
      <c r="AP17" s="34"/>
      <c r="AQ17" s="34"/>
      <c r="AR17" s="34"/>
      <c r="AS17" s="34"/>
      <c r="AT17" s="34"/>
      <c r="AU17" s="34"/>
      <c r="AV17" s="34"/>
      <c r="AW17" s="34"/>
    </row>
    <row r="18" spans="1:49" ht="15.75" customHeight="1">
      <c r="A18" s="14">
        <v>2020</v>
      </c>
      <c r="B18" s="12" t="s">
        <v>64</v>
      </c>
      <c r="C18" s="15" t="s">
        <v>103</v>
      </c>
      <c r="D18" s="39" t="s">
        <v>103</v>
      </c>
      <c r="E18" s="14" t="s">
        <v>103</v>
      </c>
      <c r="F18" s="14" t="s">
        <v>190</v>
      </c>
      <c r="G18" s="14">
        <f>COUNTIF(Stakeholders!$E$2:$E960,F18)</f>
        <v>1</v>
      </c>
      <c r="H18" s="39" t="s">
        <v>361</v>
      </c>
      <c r="I18" s="19" t="s">
        <v>363</v>
      </c>
      <c r="J18" s="20" t="s">
        <v>94</v>
      </c>
      <c r="K18" s="14"/>
      <c r="L18" s="14"/>
      <c r="M18" s="14"/>
      <c r="N18" s="14"/>
      <c r="O18" s="14"/>
      <c r="P18" s="14"/>
      <c r="Q18" s="14"/>
      <c r="R18" s="14"/>
      <c r="S18" s="14"/>
      <c r="T18" s="14"/>
      <c r="U18" s="14"/>
      <c r="V18" s="14"/>
      <c r="W18" s="14"/>
      <c r="X18" s="14"/>
      <c r="Y18" s="14"/>
      <c r="Z18" s="14"/>
      <c r="AA18" s="24"/>
      <c r="AB18" s="14" t="s">
        <v>96</v>
      </c>
      <c r="AC18" s="14"/>
      <c r="AD18" s="24">
        <v>17</v>
      </c>
      <c r="AE18" s="24">
        <f>VLOOKUP(F18,Stakeholders!E:K,7,0)</f>
        <v>13</v>
      </c>
      <c r="AF18" s="24">
        <f>VLOOKUP(B18&amp;D18,Areas!$D:$E,2,FALSE)</f>
        <v>80</v>
      </c>
      <c r="AG18" s="24"/>
      <c r="AH18" s="24" t="s">
        <v>82</v>
      </c>
      <c r="AI18" s="24">
        <f>COUNTIF(Stakeholders!$E$2:$E$114,F18)</f>
        <v>1</v>
      </c>
      <c r="AJ18" s="24"/>
      <c r="AK18" s="24"/>
      <c r="AL18" s="24"/>
      <c r="AM18" s="24"/>
      <c r="AN18" s="24"/>
      <c r="AO18" s="24"/>
      <c r="AP18" s="24"/>
      <c r="AQ18" s="24"/>
      <c r="AR18" s="24"/>
      <c r="AS18" s="24"/>
      <c r="AT18" s="24"/>
      <c r="AU18" s="24"/>
      <c r="AV18" s="24"/>
      <c r="AW18" s="24"/>
    </row>
    <row r="19" spans="1:49" ht="15.75" customHeight="1">
      <c r="A19" s="29">
        <v>2017</v>
      </c>
      <c r="B19" s="12" t="s">
        <v>64</v>
      </c>
      <c r="C19" s="30" t="s">
        <v>103</v>
      </c>
      <c r="D19" s="37" t="s">
        <v>103</v>
      </c>
      <c r="E19" s="29" t="s">
        <v>103</v>
      </c>
      <c r="F19" s="29" t="s">
        <v>176</v>
      </c>
      <c r="G19" s="29">
        <f>COUNTIF(Stakeholders!$E$2:$E960,F19)</f>
        <v>1</v>
      </c>
      <c r="H19" s="37" t="s">
        <v>389</v>
      </c>
      <c r="I19" s="32" t="s">
        <v>390</v>
      </c>
      <c r="J19" s="29"/>
      <c r="K19" s="29"/>
      <c r="L19" s="29"/>
      <c r="M19" s="29"/>
      <c r="N19" s="29"/>
      <c r="O19" s="29"/>
      <c r="P19" s="29"/>
      <c r="Q19" s="29"/>
      <c r="R19" s="29"/>
      <c r="S19" s="29"/>
      <c r="T19" s="29"/>
      <c r="U19" s="29"/>
      <c r="V19" s="29"/>
      <c r="W19" s="29"/>
      <c r="X19" s="29"/>
      <c r="Y19" s="29"/>
      <c r="Z19" s="29"/>
      <c r="AA19" s="34"/>
      <c r="AB19" s="29" t="s">
        <v>96</v>
      </c>
      <c r="AC19" s="29"/>
      <c r="AD19" s="34">
        <v>18</v>
      </c>
      <c r="AE19" s="34">
        <f>VLOOKUP(F19,Stakeholders!E:K,7,0)</f>
        <v>12</v>
      </c>
      <c r="AF19" s="34">
        <f>VLOOKUP(B19&amp;D19,Areas!$D:$E,2,FALSE)</f>
        <v>80</v>
      </c>
      <c r="AG19" s="34"/>
      <c r="AH19" s="34" t="s">
        <v>82</v>
      </c>
      <c r="AI19" s="34">
        <f>COUNTIF(Stakeholders!$E$2:$E$114,F19)</f>
        <v>1</v>
      </c>
      <c r="AJ19" s="34"/>
      <c r="AK19" s="34"/>
      <c r="AL19" s="34"/>
      <c r="AM19" s="34"/>
      <c r="AN19" s="34"/>
      <c r="AO19" s="34"/>
      <c r="AP19" s="34"/>
      <c r="AQ19" s="34"/>
      <c r="AR19" s="34"/>
      <c r="AS19" s="34"/>
      <c r="AT19" s="34"/>
      <c r="AU19" s="34"/>
      <c r="AV19" s="34"/>
      <c r="AW19" s="34"/>
    </row>
    <row r="20" spans="1:49" ht="15.75" customHeight="1">
      <c r="A20" s="14">
        <v>2020</v>
      </c>
      <c r="B20" s="12" t="s">
        <v>64</v>
      </c>
      <c r="C20" s="15" t="s">
        <v>73</v>
      </c>
      <c r="D20" s="39" t="s">
        <v>85</v>
      </c>
      <c r="E20" s="14" t="s">
        <v>73</v>
      </c>
      <c r="F20" s="14" t="s">
        <v>369</v>
      </c>
      <c r="G20" s="14">
        <f>COUNTIF(Stakeholders!$E$2:$E960,F20)</f>
        <v>1</v>
      </c>
      <c r="H20" s="39" t="s">
        <v>407</v>
      </c>
      <c r="I20" s="19" t="s">
        <v>408</v>
      </c>
      <c r="J20" s="20" t="s">
        <v>94</v>
      </c>
      <c r="K20" s="20" t="s">
        <v>67</v>
      </c>
      <c r="L20" s="20" t="s">
        <v>67</v>
      </c>
      <c r="M20" s="20" t="s">
        <v>94</v>
      </c>
      <c r="N20" s="20" t="s">
        <v>94</v>
      </c>
      <c r="O20" s="20" t="s">
        <v>94</v>
      </c>
      <c r="P20" s="20" t="s">
        <v>94</v>
      </c>
      <c r="Q20" s="20" t="s">
        <v>94</v>
      </c>
      <c r="R20" s="20" t="s">
        <v>94</v>
      </c>
      <c r="S20" s="20" t="s">
        <v>94</v>
      </c>
      <c r="T20" s="20" t="s">
        <v>94</v>
      </c>
      <c r="U20" s="20" t="s">
        <v>94</v>
      </c>
      <c r="V20" s="14"/>
      <c r="W20" s="20" t="s">
        <v>94</v>
      </c>
      <c r="X20" s="14" t="s">
        <v>414</v>
      </c>
      <c r="Y20" s="14" t="s">
        <v>415</v>
      </c>
      <c r="Z20" s="14"/>
      <c r="AA20" s="24" t="s">
        <v>416</v>
      </c>
      <c r="AB20" s="14" t="s">
        <v>96</v>
      </c>
      <c r="AC20" s="14"/>
      <c r="AD20" s="24">
        <v>19</v>
      </c>
      <c r="AE20" s="24">
        <f>VLOOKUP(F20,Stakeholders!E:K,7,0)</f>
        <v>32</v>
      </c>
      <c r="AF20" s="24">
        <f>VLOOKUP(B20&amp;D20,Areas!$D:$E,2,FALSE)</f>
        <v>283</v>
      </c>
      <c r="AG20" s="24"/>
      <c r="AH20" s="24" t="s">
        <v>82</v>
      </c>
      <c r="AI20" s="24">
        <f>COUNTIF(Stakeholders!$E$2:$E$114,F20)</f>
        <v>1</v>
      </c>
      <c r="AJ20" s="24"/>
      <c r="AK20" s="24"/>
      <c r="AL20" s="24"/>
      <c r="AM20" s="24"/>
      <c r="AN20" s="24"/>
      <c r="AO20" s="24"/>
      <c r="AP20" s="24"/>
      <c r="AQ20" s="24"/>
      <c r="AR20" s="24"/>
      <c r="AS20" s="24"/>
      <c r="AT20" s="24"/>
      <c r="AU20" s="24"/>
      <c r="AV20" s="24"/>
      <c r="AW20" s="24"/>
    </row>
    <row r="21" spans="1:49" ht="15.75" customHeight="1">
      <c r="A21" s="29">
        <v>2019</v>
      </c>
      <c r="B21" s="12" t="s">
        <v>64</v>
      </c>
      <c r="C21" s="30" t="s">
        <v>73</v>
      </c>
      <c r="D21" s="37" t="s">
        <v>85</v>
      </c>
      <c r="E21" s="29" t="s">
        <v>73</v>
      </c>
      <c r="F21" s="29" t="s">
        <v>369</v>
      </c>
      <c r="G21" s="29">
        <f>COUNTIF(Stakeholders!$E$2:$E960,F21)</f>
        <v>1</v>
      </c>
      <c r="H21" s="37" t="s">
        <v>430</v>
      </c>
      <c r="I21" s="32" t="s">
        <v>432</v>
      </c>
      <c r="J21" s="33" t="s">
        <v>67</v>
      </c>
      <c r="K21" s="33" t="s">
        <v>67</v>
      </c>
      <c r="L21" s="33"/>
      <c r="M21" s="33"/>
      <c r="N21" s="33"/>
      <c r="O21" s="33"/>
      <c r="P21" s="33"/>
      <c r="Q21" s="33"/>
      <c r="R21" s="33"/>
      <c r="S21" s="33"/>
      <c r="T21" s="33"/>
      <c r="U21" s="33"/>
      <c r="V21" s="34"/>
      <c r="W21" s="33" t="s">
        <v>94</v>
      </c>
      <c r="X21" s="34"/>
      <c r="Y21" s="34"/>
      <c r="Z21" s="34"/>
      <c r="AA21" s="34"/>
      <c r="AB21" s="29" t="s">
        <v>96</v>
      </c>
      <c r="AC21" s="29"/>
      <c r="AD21" s="34">
        <v>20</v>
      </c>
      <c r="AE21" s="34">
        <f>VLOOKUP(F21,Stakeholders!E:K,7,0)</f>
        <v>32</v>
      </c>
      <c r="AF21" s="34">
        <f>VLOOKUP(B21&amp;D21,Areas!$D:$E,2,FALSE)</f>
        <v>283</v>
      </c>
      <c r="AG21" s="34"/>
      <c r="AH21" s="34" t="s">
        <v>82</v>
      </c>
      <c r="AI21" s="34">
        <f>COUNTIF(Stakeholders!$E$2:$E$114,F21)</f>
        <v>1</v>
      </c>
      <c r="AJ21" s="34"/>
      <c r="AK21" s="34"/>
      <c r="AL21" s="34"/>
      <c r="AM21" s="34"/>
      <c r="AN21" s="34"/>
      <c r="AO21" s="34"/>
      <c r="AP21" s="34"/>
      <c r="AQ21" s="34"/>
      <c r="AR21" s="34"/>
      <c r="AS21" s="34"/>
      <c r="AT21" s="34"/>
      <c r="AU21" s="34"/>
      <c r="AV21" s="34"/>
      <c r="AW21" s="34"/>
    </row>
    <row r="22" spans="1:49" ht="15.75" customHeight="1">
      <c r="A22" s="14">
        <v>2016</v>
      </c>
      <c r="B22" s="12" t="s">
        <v>64</v>
      </c>
      <c r="C22" s="15" t="s">
        <v>73</v>
      </c>
      <c r="D22" s="39" t="s">
        <v>453</v>
      </c>
      <c r="E22" s="14" t="s">
        <v>73</v>
      </c>
      <c r="F22" s="14" t="s">
        <v>369</v>
      </c>
      <c r="G22" s="14">
        <f>COUNTIF(Stakeholders!$E$2:$E960,F22)</f>
        <v>1</v>
      </c>
      <c r="H22" s="39" t="s">
        <v>458</v>
      </c>
      <c r="I22" s="19" t="s">
        <v>461</v>
      </c>
      <c r="J22" s="20" t="s">
        <v>94</v>
      </c>
      <c r="K22" s="20" t="s">
        <v>67</v>
      </c>
      <c r="L22" s="20"/>
      <c r="M22" s="20"/>
      <c r="N22" s="20"/>
      <c r="O22" s="20"/>
      <c r="P22" s="20"/>
      <c r="Q22" s="20"/>
      <c r="R22" s="20"/>
      <c r="S22" s="20"/>
      <c r="T22" s="20"/>
      <c r="U22" s="20"/>
      <c r="V22" s="24"/>
      <c r="W22" s="20" t="s">
        <v>94</v>
      </c>
      <c r="X22" s="24"/>
      <c r="Y22" s="24"/>
      <c r="Z22" s="24"/>
      <c r="AA22" s="24"/>
      <c r="AB22" s="14" t="s">
        <v>96</v>
      </c>
      <c r="AC22" s="14"/>
      <c r="AD22" s="24">
        <v>21</v>
      </c>
      <c r="AE22" s="24">
        <f>VLOOKUP(F22,Stakeholders!E:K,7,0)</f>
        <v>32</v>
      </c>
      <c r="AF22" s="24" t="e">
        <f>VLOOKUP(B22&amp;D22,Areas!$D:$E,2,FALSE)</f>
        <v>#N/A</v>
      </c>
      <c r="AG22" s="24"/>
      <c r="AH22" s="24" t="s">
        <v>82</v>
      </c>
      <c r="AI22" s="24">
        <f>COUNTIF(Stakeholders!$E$2:$E$114,F22)</f>
        <v>1</v>
      </c>
      <c r="AJ22" s="24"/>
      <c r="AK22" s="24"/>
      <c r="AL22" s="24"/>
      <c r="AM22" s="24"/>
      <c r="AN22" s="24"/>
      <c r="AO22" s="24"/>
      <c r="AP22" s="24"/>
      <c r="AQ22" s="24"/>
      <c r="AR22" s="24"/>
      <c r="AS22" s="24"/>
      <c r="AT22" s="24"/>
      <c r="AU22" s="24"/>
      <c r="AV22" s="24"/>
      <c r="AW22" s="24"/>
    </row>
    <row r="23" spans="1:49" ht="15.75" customHeight="1">
      <c r="A23" s="29">
        <v>2019</v>
      </c>
      <c r="B23" s="12" t="s">
        <v>64</v>
      </c>
      <c r="C23" s="30" t="s">
        <v>103</v>
      </c>
      <c r="D23" s="37" t="s">
        <v>85</v>
      </c>
      <c r="E23" s="29" t="s">
        <v>103</v>
      </c>
      <c r="F23" s="29" t="s">
        <v>154</v>
      </c>
      <c r="G23" s="29">
        <f>COUNTIF(Stakeholders!$E$2:$E960,F23)</f>
        <v>1</v>
      </c>
      <c r="H23" s="37" t="s">
        <v>484</v>
      </c>
      <c r="I23" s="32" t="s">
        <v>159</v>
      </c>
      <c r="J23" s="29" t="s">
        <v>67</v>
      </c>
      <c r="K23" s="29" t="s">
        <v>94</v>
      </c>
      <c r="L23" s="33" t="s">
        <v>67</v>
      </c>
      <c r="M23" s="33" t="s">
        <v>94</v>
      </c>
      <c r="N23" s="33" t="s">
        <v>94</v>
      </c>
      <c r="O23" s="33" t="s">
        <v>67</v>
      </c>
      <c r="P23" s="33" t="s">
        <v>94</v>
      </c>
      <c r="Q23" s="33" t="s">
        <v>94</v>
      </c>
      <c r="R23" s="33" t="s">
        <v>67</v>
      </c>
      <c r="S23" s="33" t="s">
        <v>67</v>
      </c>
      <c r="T23" s="33" t="s">
        <v>94</v>
      </c>
      <c r="U23" s="33" t="s">
        <v>94</v>
      </c>
      <c r="V23" s="34"/>
      <c r="W23" s="29" t="s">
        <v>94</v>
      </c>
      <c r="X23" s="34" t="s">
        <v>488</v>
      </c>
      <c r="Y23" s="34" t="s">
        <v>489</v>
      </c>
      <c r="Z23" s="34" t="s">
        <v>103</v>
      </c>
      <c r="AA23" s="34" t="s">
        <v>490</v>
      </c>
      <c r="AB23" s="29" t="s">
        <v>96</v>
      </c>
      <c r="AC23" s="29"/>
      <c r="AD23" s="34">
        <v>22</v>
      </c>
      <c r="AE23" s="34">
        <f>VLOOKUP(F23,Stakeholders!E:K,7,0)</f>
        <v>10</v>
      </c>
      <c r="AF23" s="34">
        <f>VLOOKUP(B23&amp;D23,Areas!$D:$E,2,FALSE)</f>
        <v>283</v>
      </c>
      <c r="AG23" s="34"/>
      <c r="AH23" s="34" t="s">
        <v>82</v>
      </c>
      <c r="AI23" s="34">
        <f>COUNTIF(Stakeholders!$E$2:$E$114,F23)</f>
        <v>1</v>
      </c>
      <c r="AJ23" s="34"/>
      <c r="AK23" s="34"/>
      <c r="AL23" s="34"/>
      <c r="AM23" s="34"/>
      <c r="AN23" s="34"/>
      <c r="AO23" s="34"/>
      <c r="AP23" s="34"/>
      <c r="AQ23" s="34"/>
      <c r="AR23" s="34"/>
      <c r="AS23" s="34"/>
      <c r="AT23" s="34"/>
      <c r="AU23" s="34"/>
      <c r="AV23" s="34"/>
      <c r="AW23" s="34"/>
    </row>
    <row r="24" spans="1:49" ht="15.75" customHeight="1">
      <c r="A24" s="14">
        <v>2020</v>
      </c>
      <c r="B24" s="12" t="s">
        <v>64</v>
      </c>
      <c r="C24" s="15" t="s">
        <v>73</v>
      </c>
      <c r="D24" s="39" t="s">
        <v>73</v>
      </c>
      <c r="E24" s="14" t="s">
        <v>73</v>
      </c>
      <c r="F24" s="14" t="s">
        <v>125</v>
      </c>
      <c r="G24" s="14">
        <f>COUNTIF(Stakeholders!$E$2:$E960,F24)</f>
        <v>1</v>
      </c>
      <c r="H24" s="39" t="s">
        <v>495</v>
      </c>
      <c r="I24" s="19" t="s">
        <v>496</v>
      </c>
      <c r="J24" s="20" t="s">
        <v>67</v>
      </c>
      <c r="K24" s="20" t="s">
        <v>94</v>
      </c>
      <c r="L24" s="20"/>
      <c r="M24" s="20"/>
      <c r="N24" s="20"/>
      <c r="O24" s="20"/>
      <c r="P24" s="20"/>
      <c r="Q24" s="20"/>
      <c r="R24" s="20"/>
      <c r="S24" s="20"/>
      <c r="T24" s="20"/>
      <c r="U24" s="20"/>
      <c r="V24" s="24"/>
      <c r="W24" s="20" t="s">
        <v>67</v>
      </c>
      <c r="X24" s="24"/>
      <c r="Y24" s="24"/>
      <c r="Z24" s="24"/>
      <c r="AA24" s="24"/>
      <c r="AB24" s="14" t="s">
        <v>96</v>
      </c>
      <c r="AC24" s="55">
        <v>44315</v>
      </c>
      <c r="AD24" s="24">
        <v>23</v>
      </c>
      <c r="AE24" s="24">
        <f>VLOOKUP(F24,Stakeholders!E:K,7,0)</f>
        <v>20</v>
      </c>
      <c r="AF24" s="24">
        <f>VLOOKUP(B24&amp;D24,Areas!$D:$E,2,FALSE)</f>
        <v>56</v>
      </c>
      <c r="AG24" s="24"/>
      <c r="AH24" s="24" t="s">
        <v>82</v>
      </c>
      <c r="AI24" s="24">
        <f>COUNTIF(Stakeholders!$E$2:$E$114,F24)</f>
        <v>1</v>
      </c>
      <c r="AJ24" s="24"/>
      <c r="AK24" s="24"/>
      <c r="AL24" s="24"/>
      <c r="AM24" s="24"/>
      <c r="AN24" s="24"/>
      <c r="AO24" s="24"/>
      <c r="AP24" s="24"/>
      <c r="AQ24" s="24"/>
      <c r="AR24" s="24"/>
      <c r="AS24" s="24"/>
      <c r="AT24" s="24"/>
      <c r="AU24" s="24"/>
      <c r="AV24" s="24"/>
      <c r="AW24" s="24"/>
    </row>
    <row r="25" spans="1:49" ht="15.75" customHeight="1">
      <c r="A25" s="29">
        <v>2020</v>
      </c>
      <c r="B25" s="12" t="s">
        <v>64</v>
      </c>
      <c r="C25" s="30" t="s">
        <v>73</v>
      </c>
      <c r="D25" s="37" t="s">
        <v>85</v>
      </c>
      <c r="E25" s="29" t="s">
        <v>73</v>
      </c>
      <c r="F25" s="29" t="s">
        <v>181</v>
      </c>
      <c r="G25" s="29">
        <f>COUNTIF(Stakeholders!$E$2:$E960,F25)</f>
        <v>1</v>
      </c>
      <c r="H25" s="37" t="s">
        <v>500</v>
      </c>
      <c r="I25" s="32" t="s">
        <v>501</v>
      </c>
      <c r="J25" s="33" t="s">
        <v>67</v>
      </c>
      <c r="K25" s="33" t="s">
        <v>67</v>
      </c>
      <c r="L25" s="33" t="s">
        <v>67</v>
      </c>
      <c r="M25" s="33" t="s">
        <v>67</v>
      </c>
      <c r="N25" s="33" t="s">
        <v>94</v>
      </c>
      <c r="O25" s="33" t="s">
        <v>67</v>
      </c>
      <c r="P25" s="33" t="s">
        <v>67</v>
      </c>
      <c r="Q25" s="33" t="s">
        <v>94</v>
      </c>
      <c r="R25" s="33" t="s">
        <v>67</v>
      </c>
      <c r="S25" s="33" t="s">
        <v>67</v>
      </c>
      <c r="T25" s="33" t="s">
        <v>67</v>
      </c>
      <c r="U25" s="33" t="s">
        <v>67</v>
      </c>
      <c r="V25" s="34"/>
      <c r="W25" s="33" t="s">
        <v>94</v>
      </c>
      <c r="X25" s="34" t="s">
        <v>504</v>
      </c>
      <c r="Y25" s="34" t="s">
        <v>505</v>
      </c>
      <c r="Z25" s="34" t="s">
        <v>506</v>
      </c>
      <c r="AA25" s="34" t="s">
        <v>508</v>
      </c>
      <c r="AB25" s="29" t="s">
        <v>96</v>
      </c>
      <c r="AC25" s="56">
        <v>44315</v>
      </c>
      <c r="AD25" s="34">
        <v>24</v>
      </c>
      <c r="AE25" s="34">
        <f>VLOOKUP(F25,Stakeholders!E:K,7,0)</f>
        <v>17</v>
      </c>
      <c r="AF25" s="34">
        <f>VLOOKUP(B25&amp;D25,Areas!$D:$E,2,FALSE)</f>
        <v>283</v>
      </c>
      <c r="AG25" s="34"/>
      <c r="AH25" s="34" t="s">
        <v>82</v>
      </c>
      <c r="AI25" s="34">
        <f>COUNTIF(Stakeholders!$E$2:$E$114,F25)</f>
        <v>1</v>
      </c>
      <c r="AJ25" s="34"/>
      <c r="AK25" s="34"/>
      <c r="AL25" s="34"/>
      <c r="AM25" s="34"/>
      <c r="AN25" s="34"/>
      <c r="AO25" s="34"/>
      <c r="AP25" s="34"/>
      <c r="AQ25" s="34"/>
      <c r="AR25" s="34"/>
      <c r="AS25" s="34"/>
      <c r="AT25" s="34"/>
      <c r="AU25" s="34"/>
      <c r="AV25" s="34"/>
      <c r="AW25" s="34"/>
    </row>
    <row r="26" spans="1:49" ht="15.75" customHeight="1">
      <c r="A26" s="14">
        <v>2020</v>
      </c>
      <c r="B26" s="12" t="s">
        <v>64</v>
      </c>
      <c r="C26" s="15" t="s">
        <v>73</v>
      </c>
      <c r="D26" s="39" t="s">
        <v>85</v>
      </c>
      <c r="E26" s="14" t="s">
        <v>73</v>
      </c>
      <c r="F26" s="14" t="s">
        <v>285</v>
      </c>
      <c r="G26" s="14">
        <f>COUNTIF(Stakeholders!$E$2:$E960,F26)</f>
        <v>1</v>
      </c>
      <c r="H26" s="39" t="s">
        <v>512</v>
      </c>
      <c r="I26" s="19" t="s">
        <v>293</v>
      </c>
      <c r="J26" s="14"/>
      <c r="K26" s="14"/>
      <c r="L26" s="20"/>
      <c r="M26" s="20"/>
      <c r="N26" s="20"/>
      <c r="O26" s="20"/>
      <c r="P26" s="20"/>
      <c r="Q26" s="20"/>
      <c r="R26" s="20"/>
      <c r="S26" s="20"/>
      <c r="T26" s="20"/>
      <c r="U26" s="20"/>
      <c r="V26" s="24"/>
      <c r="W26" s="14"/>
      <c r="X26" s="24"/>
      <c r="Y26" s="24"/>
      <c r="Z26" s="24"/>
      <c r="AA26" s="24"/>
      <c r="AB26" s="14" t="s">
        <v>96</v>
      </c>
      <c r="AC26" s="14"/>
      <c r="AD26" s="24">
        <v>25</v>
      </c>
      <c r="AE26" s="24">
        <f>VLOOKUP(F26,Stakeholders!E:K,7,0)</f>
        <v>26</v>
      </c>
      <c r="AF26" s="24">
        <f>VLOOKUP(B26&amp;D26,Areas!$D:$E,2,FALSE)</f>
        <v>283</v>
      </c>
      <c r="AG26" s="24"/>
      <c r="AH26" s="24" t="s">
        <v>82</v>
      </c>
      <c r="AI26" s="24">
        <f>COUNTIF(Stakeholders!$E$2:$E$114,F26)</f>
        <v>1</v>
      </c>
      <c r="AJ26" s="24"/>
      <c r="AK26" s="24"/>
      <c r="AL26" s="24"/>
      <c r="AM26" s="24"/>
      <c r="AN26" s="24"/>
      <c r="AO26" s="24"/>
      <c r="AP26" s="24"/>
      <c r="AQ26" s="24"/>
      <c r="AR26" s="24"/>
      <c r="AS26" s="24"/>
      <c r="AT26" s="24"/>
      <c r="AU26" s="24"/>
      <c r="AV26" s="24"/>
      <c r="AW26" s="24"/>
    </row>
    <row r="27" spans="1:49" ht="15.75" customHeight="1">
      <c r="A27" s="29">
        <v>2020</v>
      </c>
      <c r="B27" s="12" t="s">
        <v>64</v>
      </c>
      <c r="C27" s="30" t="s">
        <v>73</v>
      </c>
      <c r="D27" s="37" t="s">
        <v>104</v>
      </c>
      <c r="E27" s="29" t="s">
        <v>73</v>
      </c>
      <c r="F27" s="29" t="s">
        <v>181</v>
      </c>
      <c r="G27" s="29">
        <f>COUNTIF(Stakeholders!$E$2:$E960,F27)</f>
        <v>1</v>
      </c>
      <c r="H27" s="37" t="s">
        <v>518</v>
      </c>
      <c r="I27" s="32" t="s">
        <v>519</v>
      </c>
      <c r="J27" s="33" t="s">
        <v>67</v>
      </c>
      <c r="K27" s="33" t="s">
        <v>67</v>
      </c>
      <c r="L27" s="29"/>
      <c r="M27" s="29"/>
      <c r="N27" s="29"/>
      <c r="O27" s="29"/>
      <c r="P27" s="29"/>
      <c r="Q27" s="29"/>
      <c r="R27" s="29"/>
      <c r="S27" s="29"/>
      <c r="T27" s="29"/>
      <c r="U27" s="29"/>
      <c r="V27" s="34"/>
      <c r="W27" s="33" t="s">
        <v>94</v>
      </c>
      <c r="X27" s="34"/>
      <c r="Y27" s="34"/>
      <c r="Z27" s="34"/>
      <c r="AA27" s="34"/>
      <c r="AB27" s="29" t="s">
        <v>96</v>
      </c>
      <c r="AC27" s="56">
        <v>44315</v>
      </c>
      <c r="AD27" s="34">
        <v>26</v>
      </c>
      <c r="AE27" s="34">
        <f>VLOOKUP(F27,Stakeholders!E:K,7,0)</f>
        <v>17</v>
      </c>
      <c r="AF27" s="34" t="e">
        <f>VLOOKUP(B27&amp;D27,Areas!$D:$E,2,FALSE)</f>
        <v>#N/A</v>
      </c>
      <c r="AG27" s="34"/>
      <c r="AH27" s="34" t="s">
        <v>82</v>
      </c>
      <c r="AI27" s="34">
        <f>COUNTIF(Stakeholders!$E$2:$E$114,F27)</f>
        <v>1</v>
      </c>
      <c r="AJ27" s="34"/>
      <c r="AK27" s="34"/>
      <c r="AL27" s="34"/>
      <c r="AM27" s="34"/>
      <c r="AN27" s="34"/>
      <c r="AO27" s="34"/>
      <c r="AP27" s="34"/>
      <c r="AQ27" s="34"/>
      <c r="AR27" s="34"/>
      <c r="AS27" s="34"/>
      <c r="AT27" s="34"/>
      <c r="AU27" s="34"/>
      <c r="AV27" s="34"/>
      <c r="AW27" s="34"/>
    </row>
    <row r="28" spans="1:49" ht="15.75" customHeight="1">
      <c r="A28" s="14">
        <v>2020</v>
      </c>
      <c r="B28" s="12" t="s">
        <v>64</v>
      </c>
      <c r="C28" s="15" t="s">
        <v>73</v>
      </c>
      <c r="D28" s="39" t="s">
        <v>85</v>
      </c>
      <c r="E28" s="14" t="s">
        <v>73</v>
      </c>
      <c r="F28" s="14" t="s">
        <v>523</v>
      </c>
      <c r="G28" s="14">
        <f>COUNTIF(Stakeholders!$E$2:$E960,F28)</f>
        <v>1</v>
      </c>
      <c r="H28" s="39" t="s">
        <v>524</v>
      </c>
      <c r="I28" s="19" t="s">
        <v>525</v>
      </c>
      <c r="J28" s="20" t="s">
        <v>67</v>
      </c>
      <c r="K28" s="20" t="s">
        <v>67</v>
      </c>
      <c r="L28" s="20" t="s">
        <v>67</v>
      </c>
      <c r="M28" s="20" t="s">
        <v>67</v>
      </c>
      <c r="N28" s="20" t="s">
        <v>67</v>
      </c>
      <c r="O28" s="20" t="s">
        <v>67</v>
      </c>
      <c r="P28" s="20" t="s">
        <v>67</v>
      </c>
      <c r="Q28" s="20" t="s">
        <v>67</v>
      </c>
      <c r="R28" s="20" t="s">
        <v>67</v>
      </c>
      <c r="S28" s="20" t="s">
        <v>94</v>
      </c>
      <c r="T28" s="20" t="s">
        <v>67</v>
      </c>
      <c r="U28" s="20" t="s">
        <v>94</v>
      </c>
      <c r="V28" s="14"/>
      <c r="W28" s="20" t="s">
        <v>94</v>
      </c>
      <c r="X28" s="14" t="s">
        <v>529</v>
      </c>
      <c r="Y28" s="14" t="s">
        <v>530</v>
      </c>
      <c r="Z28" s="14" t="s">
        <v>122</v>
      </c>
      <c r="AA28" s="14" t="s">
        <v>531</v>
      </c>
      <c r="AB28" s="14" t="s">
        <v>96</v>
      </c>
      <c r="AC28" s="55">
        <v>44315</v>
      </c>
      <c r="AD28" s="24">
        <v>27</v>
      </c>
      <c r="AE28" s="24">
        <f>VLOOKUP(F28,Stakeholders!E:K,7,0)</f>
        <v>20</v>
      </c>
      <c r="AF28" s="24">
        <f>VLOOKUP(B28&amp;D28,Areas!$D:$E,2,FALSE)</f>
        <v>283</v>
      </c>
      <c r="AG28" s="24"/>
      <c r="AH28" s="24" t="s">
        <v>82</v>
      </c>
      <c r="AI28" s="24">
        <f>COUNTIF(Stakeholders!$E$2:$E$114,F28)</f>
        <v>1</v>
      </c>
      <c r="AJ28" s="24"/>
      <c r="AK28" s="24"/>
      <c r="AL28" s="24"/>
      <c r="AM28" s="24"/>
      <c r="AN28" s="24"/>
      <c r="AO28" s="24"/>
      <c r="AP28" s="24"/>
      <c r="AQ28" s="24"/>
      <c r="AR28" s="24"/>
      <c r="AS28" s="24"/>
      <c r="AT28" s="24"/>
      <c r="AU28" s="24"/>
      <c r="AV28" s="24"/>
      <c r="AW28" s="24"/>
    </row>
    <row r="29" spans="1:49" ht="15.75" customHeight="1">
      <c r="A29" s="29">
        <v>2020</v>
      </c>
      <c r="B29" s="12" t="s">
        <v>64</v>
      </c>
      <c r="C29" s="30" t="s">
        <v>73</v>
      </c>
      <c r="D29" s="37" t="s">
        <v>85</v>
      </c>
      <c r="E29" s="29" t="s">
        <v>73</v>
      </c>
      <c r="F29" s="29" t="s">
        <v>523</v>
      </c>
      <c r="G29" s="29">
        <f>COUNTIF(Stakeholders!$E$2:$E960,F29)</f>
        <v>1</v>
      </c>
      <c r="H29" s="37" t="s">
        <v>534</v>
      </c>
      <c r="I29" s="32" t="s">
        <v>535</v>
      </c>
      <c r="J29" s="33" t="s">
        <v>67</v>
      </c>
      <c r="K29" s="33" t="s">
        <v>67</v>
      </c>
      <c r="L29" s="33" t="s">
        <v>67</v>
      </c>
      <c r="M29" s="33" t="s">
        <v>67</v>
      </c>
      <c r="N29" s="33" t="s">
        <v>94</v>
      </c>
      <c r="O29" s="33" t="s">
        <v>67</v>
      </c>
      <c r="P29" s="33" t="s">
        <v>67</v>
      </c>
      <c r="Q29" s="33" t="s">
        <v>94</v>
      </c>
      <c r="R29" s="33" t="s">
        <v>67</v>
      </c>
      <c r="S29" s="33" t="s">
        <v>537</v>
      </c>
      <c r="T29" s="33" t="s">
        <v>67</v>
      </c>
      <c r="U29" s="33" t="s">
        <v>94</v>
      </c>
      <c r="V29" s="34"/>
      <c r="W29" s="33" t="s">
        <v>94</v>
      </c>
      <c r="X29" s="34" t="s">
        <v>530</v>
      </c>
      <c r="Y29" s="34" t="s">
        <v>414</v>
      </c>
      <c r="Z29" s="34" t="s">
        <v>540</v>
      </c>
      <c r="AA29" s="34" t="s">
        <v>541</v>
      </c>
      <c r="AB29" s="29" t="s">
        <v>96</v>
      </c>
      <c r="AC29" s="59">
        <v>44315</v>
      </c>
      <c r="AD29" s="34">
        <v>28</v>
      </c>
      <c r="AE29" s="34">
        <f>VLOOKUP(F29,Stakeholders!E:K,7,0)</f>
        <v>20</v>
      </c>
      <c r="AF29" s="34">
        <f>VLOOKUP(B29&amp;D29,Areas!$D:$E,2,FALSE)</f>
        <v>283</v>
      </c>
      <c r="AG29" s="34"/>
      <c r="AH29" s="34" t="s">
        <v>82</v>
      </c>
      <c r="AI29" s="34">
        <f>COUNTIF(Stakeholders!$E$2:$E$114,F29)</f>
        <v>1</v>
      </c>
      <c r="AJ29" s="34"/>
      <c r="AK29" s="34"/>
      <c r="AL29" s="34"/>
      <c r="AM29" s="34"/>
      <c r="AN29" s="34"/>
      <c r="AO29" s="34"/>
      <c r="AP29" s="34"/>
      <c r="AQ29" s="34"/>
      <c r="AR29" s="34"/>
      <c r="AS29" s="34"/>
      <c r="AT29" s="34"/>
      <c r="AU29" s="34"/>
      <c r="AV29" s="34"/>
      <c r="AW29" s="34"/>
    </row>
    <row r="30" spans="1:49" ht="15.75" customHeight="1">
      <c r="A30" s="14">
        <v>2020</v>
      </c>
      <c r="B30" s="12" t="s">
        <v>64</v>
      </c>
      <c r="C30" s="15" t="s">
        <v>73</v>
      </c>
      <c r="D30" s="39" t="s">
        <v>85</v>
      </c>
      <c r="E30" s="14" t="s">
        <v>73</v>
      </c>
      <c r="F30" s="14" t="s">
        <v>233</v>
      </c>
      <c r="G30" s="14">
        <f>COUNTIF(Stakeholders!$E$2:$E960,F30)</f>
        <v>1</v>
      </c>
      <c r="H30" s="39" t="s">
        <v>544</v>
      </c>
      <c r="I30" s="19" t="s">
        <v>545</v>
      </c>
      <c r="J30" s="20" t="s">
        <v>67</v>
      </c>
      <c r="K30" s="20" t="s">
        <v>67</v>
      </c>
      <c r="L30" s="20" t="s">
        <v>67</v>
      </c>
      <c r="M30" s="20" t="s">
        <v>94</v>
      </c>
      <c r="N30" s="20" t="s">
        <v>67</v>
      </c>
      <c r="O30" s="20" t="s">
        <v>67</v>
      </c>
      <c r="P30" s="20" t="s">
        <v>94</v>
      </c>
      <c r="Q30" s="20" t="s">
        <v>94</v>
      </c>
      <c r="R30" s="20" t="s">
        <v>67</v>
      </c>
      <c r="S30" s="20" t="s">
        <v>94</v>
      </c>
      <c r="T30" s="20" t="s">
        <v>94</v>
      </c>
      <c r="U30" s="20" t="s">
        <v>67</v>
      </c>
      <c r="V30" s="14" t="s">
        <v>549</v>
      </c>
      <c r="W30" s="20" t="s">
        <v>67</v>
      </c>
      <c r="X30" s="14" t="s">
        <v>550</v>
      </c>
      <c r="Y30" s="14" t="s">
        <v>551</v>
      </c>
      <c r="Z30" s="14" t="s">
        <v>552</v>
      </c>
      <c r="AA30" s="14" t="s">
        <v>553</v>
      </c>
      <c r="AB30" s="14" t="s">
        <v>96</v>
      </c>
      <c r="AC30" s="60">
        <v>44323</v>
      </c>
      <c r="AD30" s="24">
        <v>29</v>
      </c>
      <c r="AE30" s="24">
        <f>VLOOKUP(F30,Stakeholders!E:K,7,0)</f>
        <v>19</v>
      </c>
      <c r="AF30" s="24">
        <f>VLOOKUP(B30&amp;D30,Areas!$D:$E,2,FALSE)</f>
        <v>283</v>
      </c>
      <c r="AG30" s="24"/>
      <c r="AH30" s="24" t="s">
        <v>82</v>
      </c>
      <c r="AI30" s="24">
        <f>COUNTIF(Stakeholders!$E$2:$E$114,F30)</f>
        <v>1</v>
      </c>
      <c r="AJ30" s="24"/>
      <c r="AK30" s="24"/>
      <c r="AL30" s="24"/>
      <c r="AM30" s="24"/>
      <c r="AN30" s="24"/>
      <c r="AO30" s="24"/>
      <c r="AP30" s="24"/>
      <c r="AQ30" s="24"/>
      <c r="AR30" s="24"/>
      <c r="AS30" s="24"/>
      <c r="AT30" s="24"/>
      <c r="AU30" s="24"/>
      <c r="AV30" s="24"/>
      <c r="AW30" s="24"/>
    </row>
    <row r="31" spans="1:49" ht="15.75" customHeight="1">
      <c r="A31" s="29">
        <v>2021</v>
      </c>
      <c r="B31" s="12" t="s">
        <v>64</v>
      </c>
      <c r="C31" s="30" t="s">
        <v>73</v>
      </c>
      <c r="D31" s="37" t="s">
        <v>85</v>
      </c>
      <c r="E31" s="29" t="s">
        <v>73</v>
      </c>
      <c r="F31" s="29" t="s">
        <v>556</v>
      </c>
      <c r="G31" s="29">
        <f>COUNTIF(Stakeholders!$E$2:$E960,F31)</f>
        <v>1</v>
      </c>
      <c r="H31" s="37" t="s">
        <v>557</v>
      </c>
      <c r="I31" s="32" t="s">
        <v>558</v>
      </c>
      <c r="J31" s="33" t="s">
        <v>94</v>
      </c>
      <c r="K31" s="33" t="s">
        <v>67</v>
      </c>
      <c r="L31" s="33"/>
      <c r="M31" s="33"/>
      <c r="N31" s="33"/>
      <c r="O31" s="33"/>
      <c r="P31" s="33"/>
      <c r="Q31" s="33"/>
      <c r="R31" s="33"/>
      <c r="S31" s="33"/>
      <c r="T31" s="33"/>
      <c r="U31" s="33"/>
      <c r="V31" s="34"/>
      <c r="W31" s="33" t="s">
        <v>94</v>
      </c>
      <c r="X31" s="34"/>
      <c r="Y31" s="34"/>
      <c r="Z31" s="34"/>
      <c r="AA31" s="34"/>
      <c r="AB31" s="29" t="s">
        <v>96</v>
      </c>
      <c r="AC31" s="59">
        <v>44327</v>
      </c>
      <c r="AD31" s="34">
        <v>30</v>
      </c>
      <c r="AE31" s="34">
        <f>VLOOKUP(F31,Stakeholders!E:K,7,0)</f>
        <v>21</v>
      </c>
      <c r="AF31" s="34">
        <f>VLOOKUP(B31&amp;D31,Areas!$D:$E,2,FALSE)</f>
        <v>283</v>
      </c>
      <c r="AG31" s="34"/>
      <c r="AH31" s="34" t="s">
        <v>82</v>
      </c>
      <c r="AI31" s="34">
        <f>COUNTIF(Stakeholders!$E$2:$E$114,F31)</f>
        <v>1</v>
      </c>
      <c r="AJ31" s="34"/>
      <c r="AK31" s="34"/>
      <c r="AL31" s="34"/>
      <c r="AM31" s="34"/>
      <c r="AN31" s="34"/>
      <c r="AO31" s="34"/>
      <c r="AP31" s="34"/>
      <c r="AQ31" s="34"/>
      <c r="AR31" s="34"/>
      <c r="AS31" s="34"/>
      <c r="AT31" s="34"/>
      <c r="AU31" s="34"/>
      <c r="AV31" s="34"/>
      <c r="AW31" s="34"/>
    </row>
    <row r="32" spans="1:49" ht="15.75" customHeight="1">
      <c r="A32" s="14">
        <v>2020</v>
      </c>
      <c r="B32" s="12" t="s">
        <v>64</v>
      </c>
      <c r="C32" s="15" t="s">
        <v>73</v>
      </c>
      <c r="D32" s="39" t="s">
        <v>122</v>
      </c>
      <c r="E32" s="14" t="s">
        <v>73</v>
      </c>
      <c r="F32" s="14" t="s">
        <v>165</v>
      </c>
      <c r="G32" s="14">
        <f>COUNTIF(Stakeholders!$E$2:$E960,F32)</f>
        <v>1</v>
      </c>
      <c r="H32" s="39" t="s">
        <v>562</v>
      </c>
      <c r="I32" s="19" t="s">
        <v>563</v>
      </c>
      <c r="J32" s="20" t="s">
        <v>94</v>
      </c>
      <c r="K32" s="20" t="s">
        <v>67</v>
      </c>
      <c r="L32" s="20" t="s">
        <v>94</v>
      </c>
      <c r="M32" s="20" t="s">
        <v>67</v>
      </c>
      <c r="N32" s="20" t="s">
        <v>67</v>
      </c>
      <c r="O32" s="20" t="s">
        <v>94</v>
      </c>
      <c r="P32" s="20" t="s">
        <v>94</v>
      </c>
      <c r="Q32" s="20" t="s">
        <v>94</v>
      </c>
      <c r="R32" s="20" t="s">
        <v>94</v>
      </c>
      <c r="S32" s="20" t="s">
        <v>94</v>
      </c>
      <c r="T32" s="20" t="s">
        <v>94</v>
      </c>
      <c r="U32" s="20" t="s">
        <v>94</v>
      </c>
      <c r="V32" s="24"/>
      <c r="W32" s="20" t="s">
        <v>94</v>
      </c>
      <c r="X32" s="24" t="s">
        <v>567</v>
      </c>
      <c r="Y32" s="24" t="s">
        <v>568</v>
      </c>
      <c r="Z32" s="24" t="s">
        <v>569</v>
      </c>
      <c r="AA32" s="24" t="s">
        <v>570</v>
      </c>
      <c r="AB32" s="14" t="s">
        <v>96</v>
      </c>
      <c r="AC32" s="25">
        <v>44334</v>
      </c>
      <c r="AD32" s="24">
        <v>31</v>
      </c>
      <c r="AE32" s="24">
        <f>VLOOKUP(F32,Stakeholders!E:K,7,0)</f>
        <v>28</v>
      </c>
      <c r="AF32" s="24" t="e">
        <f>VLOOKUP(B32&amp;D32,Areas!$D:$E,2,FALSE)</f>
        <v>#N/A</v>
      </c>
      <c r="AG32" s="24"/>
      <c r="AH32" s="24" t="s">
        <v>82</v>
      </c>
      <c r="AI32" s="24">
        <f>COUNTIF(Stakeholders!$E$2:$E$114,F32)</f>
        <v>1</v>
      </c>
      <c r="AJ32" s="24"/>
      <c r="AK32" s="24"/>
      <c r="AL32" s="24"/>
      <c r="AM32" s="24"/>
      <c r="AN32" s="24"/>
      <c r="AO32" s="24"/>
      <c r="AP32" s="24"/>
      <c r="AQ32" s="24"/>
      <c r="AR32" s="24"/>
      <c r="AS32" s="24"/>
      <c r="AT32" s="24"/>
      <c r="AU32" s="24"/>
      <c r="AV32" s="24"/>
      <c r="AW32" s="24"/>
    </row>
    <row r="33" spans="1:49" ht="15.75" customHeight="1">
      <c r="A33" s="29">
        <v>2018</v>
      </c>
      <c r="B33" s="12" t="s">
        <v>64</v>
      </c>
      <c r="C33" s="30" t="s">
        <v>73</v>
      </c>
      <c r="D33" s="37" t="s">
        <v>122</v>
      </c>
      <c r="E33" s="29" t="s">
        <v>73</v>
      </c>
      <c r="F33" s="29" t="s">
        <v>346</v>
      </c>
      <c r="G33" s="29">
        <f>COUNTIF(Stakeholders!$E$2:$E960,F33)</f>
        <v>1</v>
      </c>
      <c r="H33" s="37" t="s">
        <v>573</v>
      </c>
      <c r="I33" s="32" t="s">
        <v>574</v>
      </c>
      <c r="J33" s="33" t="s">
        <v>67</v>
      </c>
      <c r="K33" s="33" t="s">
        <v>67</v>
      </c>
      <c r="L33" s="33"/>
      <c r="M33" s="33"/>
      <c r="N33" s="33"/>
      <c r="O33" s="33"/>
      <c r="P33" s="33"/>
      <c r="Q33" s="33"/>
      <c r="R33" s="33"/>
      <c r="S33" s="33"/>
      <c r="T33" s="33"/>
      <c r="U33" s="33"/>
      <c r="V33" s="29"/>
      <c r="W33" s="33" t="s">
        <v>94</v>
      </c>
      <c r="X33" s="29"/>
      <c r="Y33" s="29"/>
      <c r="Z33" s="29"/>
      <c r="AA33" s="34"/>
      <c r="AB33" s="29" t="s">
        <v>96</v>
      </c>
      <c r="AC33" s="59">
        <v>44372</v>
      </c>
      <c r="AD33" s="34">
        <v>32</v>
      </c>
      <c r="AE33" s="34">
        <f>VLOOKUP(F33,Stakeholders!E:K,7,0)</f>
        <v>31</v>
      </c>
      <c r="AF33" s="34" t="e">
        <f>VLOOKUP(B33&amp;D33,Areas!$D:$E,2,FALSE)</f>
        <v>#N/A</v>
      </c>
      <c r="AG33" s="29"/>
      <c r="AH33" s="34" t="s">
        <v>82</v>
      </c>
      <c r="AI33" s="34">
        <f>COUNTIF(Stakeholders!$E$2:$E$114,F33)</f>
        <v>1</v>
      </c>
      <c r="AJ33" s="29"/>
      <c r="AK33" s="29"/>
      <c r="AL33" s="29"/>
      <c r="AM33" s="29"/>
      <c r="AN33" s="29"/>
      <c r="AO33" s="29"/>
      <c r="AP33" s="29"/>
      <c r="AQ33" s="29"/>
      <c r="AR33" s="29"/>
      <c r="AS33" s="29"/>
      <c r="AT33" s="29"/>
      <c r="AU33" s="29"/>
      <c r="AV33" s="29"/>
      <c r="AW33" s="29"/>
    </row>
    <row r="34" spans="1:49" ht="15.75" customHeight="1">
      <c r="A34" s="14">
        <v>2020</v>
      </c>
      <c r="B34" s="14" t="s">
        <v>58</v>
      </c>
      <c r="C34" s="15" t="s">
        <v>393</v>
      </c>
      <c r="D34" s="14" t="s">
        <v>393</v>
      </c>
      <c r="E34" s="14" t="s">
        <v>393</v>
      </c>
      <c r="F34" s="14" t="s">
        <v>578</v>
      </c>
      <c r="G34" s="14">
        <f>COUNTIF(Stakeholders!$E$2:$E960,F34)</f>
        <v>1</v>
      </c>
      <c r="H34" s="14" t="s">
        <v>580</v>
      </c>
      <c r="I34" s="19" t="s">
        <v>581</v>
      </c>
      <c r="J34" s="14" t="s">
        <v>67</v>
      </c>
      <c r="K34" s="14" t="s">
        <v>94</v>
      </c>
      <c r="L34" s="14" t="s">
        <v>94</v>
      </c>
      <c r="M34" s="14" t="s">
        <v>94</v>
      </c>
      <c r="N34" s="14" t="s">
        <v>94</v>
      </c>
      <c r="O34" s="14" t="s">
        <v>94</v>
      </c>
      <c r="P34" s="14" t="s">
        <v>94</v>
      </c>
      <c r="Q34" s="14" t="s">
        <v>94</v>
      </c>
      <c r="R34" s="14" t="s">
        <v>67</v>
      </c>
      <c r="S34" s="14" t="s">
        <v>94</v>
      </c>
      <c r="T34" s="14" t="s">
        <v>94</v>
      </c>
      <c r="U34" s="14" t="s">
        <v>94</v>
      </c>
      <c r="V34" s="14"/>
      <c r="W34" s="14" t="s">
        <v>94</v>
      </c>
      <c r="X34" s="14" t="s">
        <v>393</v>
      </c>
      <c r="Y34" s="14" t="s">
        <v>583</v>
      </c>
      <c r="Z34" s="14"/>
      <c r="AA34" s="24" t="s">
        <v>584</v>
      </c>
      <c r="AB34" s="14" t="s">
        <v>585</v>
      </c>
      <c r="AC34" s="14"/>
      <c r="AD34" s="24">
        <v>33</v>
      </c>
      <c r="AE34" s="24">
        <f>VLOOKUP(F34,Stakeholders!E:K,7,0)</f>
        <v>79</v>
      </c>
      <c r="AF34" s="24">
        <f>VLOOKUP(B34&amp;D34,Areas!$D:$E,2,FALSE)</f>
        <v>225</v>
      </c>
      <c r="AG34" s="14"/>
      <c r="AH34" s="24" t="s">
        <v>82</v>
      </c>
      <c r="AI34" s="24">
        <f>COUNTIF(Stakeholders!$E$2:$E$114,F34)</f>
        <v>1</v>
      </c>
      <c r="AJ34" s="14"/>
      <c r="AK34" s="14"/>
      <c r="AL34" s="14"/>
      <c r="AM34" s="14"/>
      <c r="AN34" s="14"/>
      <c r="AO34" s="14"/>
      <c r="AP34" s="14"/>
      <c r="AQ34" s="14"/>
      <c r="AR34" s="14"/>
      <c r="AS34" s="14"/>
      <c r="AT34" s="14"/>
      <c r="AU34" s="14"/>
      <c r="AV34" s="14"/>
      <c r="AW34" s="14"/>
    </row>
    <row r="35" spans="1:49" ht="15.75" customHeight="1">
      <c r="A35" s="29">
        <v>2019</v>
      </c>
      <c r="B35" s="29" t="s">
        <v>58</v>
      </c>
      <c r="C35" s="30" t="s">
        <v>396</v>
      </c>
      <c r="D35" s="29" t="s">
        <v>396</v>
      </c>
      <c r="E35" s="29" t="s">
        <v>396</v>
      </c>
      <c r="F35" s="29" t="s">
        <v>589</v>
      </c>
      <c r="G35" s="29">
        <f>COUNTIF(Stakeholders!$E$2:$E960,F35)</f>
        <v>1</v>
      </c>
      <c r="H35" s="29" t="s">
        <v>590</v>
      </c>
      <c r="I35" s="32" t="s">
        <v>591</v>
      </c>
      <c r="J35" s="29"/>
      <c r="K35" s="29"/>
      <c r="L35" s="29"/>
      <c r="M35" s="29"/>
      <c r="N35" s="29"/>
      <c r="O35" s="29"/>
      <c r="P35" s="29"/>
      <c r="Q35" s="29"/>
      <c r="R35" s="29"/>
      <c r="S35" s="29"/>
      <c r="T35" s="29"/>
      <c r="U35" s="29"/>
      <c r="V35" s="29"/>
      <c r="W35" s="29"/>
      <c r="X35" s="29"/>
      <c r="Y35" s="29"/>
      <c r="Z35" s="29"/>
      <c r="AA35" s="34"/>
      <c r="AB35" s="29" t="s">
        <v>585</v>
      </c>
      <c r="AC35" s="29"/>
      <c r="AD35" s="34">
        <v>34</v>
      </c>
      <c r="AE35" s="34">
        <f>VLOOKUP(F35,Stakeholders!E:K,7,0)</f>
        <v>82</v>
      </c>
      <c r="AF35" s="34">
        <f>VLOOKUP(B35&amp;D35,Areas!$D:$E,2,FALSE)</f>
        <v>229</v>
      </c>
      <c r="AG35" s="29"/>
      <c r="AH35" s="34" t="s">
        <v>82</v>
      </c>
      <c r="AI35" s="34">
        <f>COUNTIF(Stakeholders!$E$2:$E$114,F35)</f>
        <v>1</v>
      </c>
      <c r="AJ35" s="29"/>
      <c r="AK35" s="29"/>
      <c r="AL35" s="29"/>
      <c r="AM35" s="29"/>
      <c r="AN35" s="29"/>
      <c r="AO35" s="29"/>
      <c r="AP35" s="29"/>
      <c r="AQ35" s="29"/>
      <c r="AR35" s="29"/>
      <c r="AS35" s="29"/>
      <c r="AT35" s="29"/>
      <c r="AU35" s="29"/>
      <c r="AV35" s="29"/>
      <c r="AW35" s="29"/>
    </row>
    <row r="36" spans="1:49" ht="15.75" customHeight="1">
      <c r="A36" s="14">
        <v>2015</v>
      </c>
      <c r="B36" s="14" t="s">
        <v>58</v>
      </c>
      <c r="C36" s="14" t="s">
        <v>397</v>
      </c>
      <c r="D36" s="14" t="s">
        <v>397</v>
      </c>
      <c r="E36" s="14" t="s">
        <v>397</v>
      </c>
      <c r="F36" s="14" t="s">
        <v>598</v>
      </c>
      <c r="G36" s="14">
        <f>COUNTIF(Stakeholders!$E$2:$E960,F36)</f>
        <v>1</v>
      </c>
      <c r="H36" s="14" t="s">
        <v>600</v>
      </c>
      <c r="I36" s="19" t="s">
        <v>601</v>
      </c>
      <c r="J36" s="14"/>
      <c r="K36" s="14"/>
      <c r="L36" s="14"/>
      <c r="M36" s="14"/>
      <c r="N36" s="14"/>
      <c r="O36" s="14"/>
      <c r="P36" s="14"/>
      <c r="Q36" s="14"/>
      <c r="R36" s="14"/>
      <c r="S36" s="14"/>
      <c r="T36" s="14"/>
      <c r="U36" s="14"/>
      <c r="V36" s="14"/>
      <c r="W36" s="14"/>
      <c r="X36" s="14"/>
      <c r="Y36" s="14"/>
      <c r="Z36" s="14"/>
      <c r="AA36" s="24"/>
      <c r="AB36" s="14" t="s">
        <v>585</v>
      </c>
      <c r="AC36" s="14"/>
      <c r="AD36" s="24">
        <v>35</v>
      </c>
      <c r="AE36" s="24">
        <f>VLOOKUP(F36,Stakeholders!E:K,7,0)</f>
        <v>83</v>
      </c>
      <c r="AF36" s="24">
        <f>VLOOKUP(B36&amp;D36,Areas!$D:$E,2,FALSE)</f>
        <v>231</v>
      </c>
      <c r="AG36" s="14"/>
      <c r="AH36" s="24" t="s">
        <v>82</v>
      </c>
      <c r="AI36" s="24">
        <f>COUNTIF(Stakeholders!$E$2:$E$114,F36)</f>
        <v>1</v>
      </c>
      <c r="AJ36" s="14"/>
      <c r="AK36" s="14"/>
      <c r="AL36" s="14"/>
      <c r="AM36" s="14"/>
      <c r="AN36" s="14"/>
      <c r="AO36" s="14"/>
      <c r="AP36" s="14"/>
      <c r="AQ36" s="14"/>
      <c r="AR36" s="14"/>
      <c r="AS36" s="14"/>
      <c r="AT36" s="14"/>
      <c r="AU36" s="14"/>
      <c r="AV36" s="14"/>
      <c r="AW36" s="14"/>
    </row>
    <row r="37" spans="1:49" ht="15.75" customHeight="1">
      <c r="A37" s="29">
        <v>2012</v>
      </c>
      <c r="B37" s="29" t="s">
        <v>58</v>
      </c>
      <c r="C37" s="29" t="s">
        <v>398</v>
      </c>
      <c r="D37" s="29" t="s">
        <v>398</v>
      </c>
      <c r="E37" s="29" t="s">
        <v>398</v>
      </c>
      <c r="F37" s="29" t="s">
        <v>618</v>
      </c>
      <c r="G37" s="29">
        <f>COUNTIF(Stakeholders!$E$2:$E960,F37)</f>
        <v>1</v>
      </c>
      <c r="H37" s="29" t="s">
        <v>621</v>
      </c>
      <c r="I37" s="32" t="s">
        <v>622</v>
      </c>
      <c r="J37" s="29"/>
      <c r="K37" s="29"/>
      <c r="L37" s="29"/>
      <c r="M37" s="29"/>
      <c r="N37" s="29"/>
      <c r="O37" s="29"/>
      <c r="P37" s="29"/>
      <c r="Q37" s="29"/>
      <c r="R37" s="29"/>
      <c r="S37" s="29"/>
      <c r="T37" s="29"/>
      <c r="U37" s="29"/>
      <c r="V37" s="29"/>
      <c r="W37" s="29"/>
      <c r="X37" s="29"/>
      <c r="Y37" s="29"/>
      <c r="Z37" s="29"/>
      <c r="AA37" s="34"/>
      <c r="AB37" s="29" t="s">
        <v>585</v>
      </c>
      <c r="AC37" s="29"/>
      <c r="AD37" s="34">
        <v>36</v>
      </c>
      <c r="AE37" s="34">
        <f>VLOOKUP(F37,Stakeholders!E:K,7,0)</f>
        <v>84</v>
      </c>
      <c r="AF37" s="34">
        <f>VLOOKUP(B37&amp;D37,Areas!$D:$E,2,FALSE)</f>
        <v>233</v>
      </c>
      <c r="AG37" s="29"/>
      <c r="AH37" s="34" t="s">
        <v>82</v>
      </c>
      <c r="AI37" s="34">
        <f>COUNTIF(Stakeholders!$E$2:$E$114,F37)</f>
        <v>1</v>
      </c>
      <c r="AJ37" s="29"/>
      <c r="AK37" s="29"/>
      <c r="AL37" s="29"/>
      <c r="AM37" s="29"/>
      <c r="AN37" s="29"/>
      <c r="AO37" s="29"/>
      <c r="AP37" s="29"/>
      <c r="AQ37" s="29"/>
      <c r="AR37" s="29"/>
      <c r="AS37" s="29"/>
      <c r="AT37" s="29"/>
      <c r="AU37" s="29"/>
      <c r="AV37" s="29"/>
      <c r="AW37" s="29"/>
    </row>
    <row r="38" spans="1:49" ht="15.75" customHeight="1">
      <c r="A38" s="14">
        <v>2020</v>
      </c>
      <c r="B38" s="14" t="s">
        <v>58</v>
      </c>
      <c r="C38" s="14" t="s">
        <v>400</v>
      </c>
      <c r="D38" s="14" t="s">
        <v>400</v>
      </c>
      <c r="E38" s="14" t="s">
        <v>635</v>
      </c>
      <c r="F38" s="14" t="s">
        <v>626</v>
      </c>
      <c r="G38" s="14">
        <f>COUNTIF(Stakeholders!$E$2:$E960,F38)</f>
        <v>1</v>
      </c>
      <c r="H38" s="14" t="s">
        <v>637</v>
      </c>
      <c r="I38" s="19" t="s">
        <v>638</v>
      </c>
      <c r="J38" s="14"/>
      <c r="K38" s="14"/>
      <c r="L38" s="14"/>
      <c r="M38" s="14"/>
      <c r="N38" s="14"/>
      <c r="O38" s="14"/>
      <c r="P38" s="14"/>
      <c r="Q38" s="14"/>
      <c r="R38" s="14"/>
      <c r="S38" s="14"/>
      <c r="T38" s="14"/>
      <c r="U38" s="14"/>
      <c r="V38" s="14"/>
      <c r="W38" s="14"/>
      <c r="X38" s="14"/>
      <c r="Y38" s="14"/>
      <c r="Z38" s="14"/>
      <c r="AA38" s="24"/>
      <c r="AB38" s="14" t="s">
        <v>585</v>
      </c>
      <c r="AC38" s="14"/>
      <c r="AD38" s="24">
        <v>37</v>
      </c>
      <c r="AE38" s="24">
        <f>VLOOKUP(F38,Stakeholders!E:K,7,0)</f>
        <v>65</v>
      </c>
      <c r="AF38" s="24">
        <f>VLOOKUP(B38&amp;D38,Areas!$D:$E,2,FALSE)</f>
        <v>235</v>
      </c>
      <c r="AG38" s="14"/>
      <c r="AH38" s="24" t="s">
        <v>82</v>
      </c>
      <c r="AI38" s="24">
        <f>COUNTIF(Stakeholders!$E$2:$E$114,F38)</f>
        <v>1</v>
      </c>
      <c r="AJ38" s="14"/>
      <c r="AK38" s="14"/>
      <c r="AL38" s="14"/>
      <c r="AM38" s="14"/>
      <c r="AN38" s="14"/>
      <c r="AO38" s="14"/>
      <c r="AP38" s="14"/>
      <c r="AQ38" s="14"/>
      <c r="AR38" s="14"/>
      <c r="AS38" s="14"/>
      <c r="AT38" s="14"/>
      <c r="AU38" s="14"/>
      <c r="AV38" s="14"/>
      <c r="AW38" s="14"/>
    </row>
    <row r="39" spans="1:49" ht="15.75" customHeight="1">
      <c r="A39" s="29">
        <v>2015</v>
      </c>
      <c r="B39" s="29" t="s">
        <v>58</v>
      </c>
      <c r="C39" s="29" t="s">
        <v>404</v>
      </c>
      <c r="D39" s="29" t="s">
        <v>404</v>
      </c>
      <c r="E39" s="29" t="s">
        <v>404</v>
      </c>
      <c r="F39" s="29" t="s">
        <v>645</v>
      </c>
      <c r="G39" s="29">
        <f>COUNTIF(Stakeholders!$E$2:$E960,F39)</f>
        <v>1</v>
      </c>
      <c r="H39" s="29" t="s">
        <v>647</v>
      </c>
      <c r="I39" s="32" t="s">
        <v>649</v>
      </c>
      <c r="J39" s="29"/>
      <c r="K39" s="29"/>
      <c r="L39" s="29"/>
      <c r="M39" s="29"/>
      <c r="N39" s="29"/>
      <c r="O39" s="29"/>
      <c r="P39" s="29"/>
      <c r="Q39" s="29"/>
      <c r="R39" s="29"/>
      <c r="S39" s="29"/>
      <c r="T39" s="29"/>
      <c r="U39" s="29"/>
      <c r="V39" s="29"/>
      <c r="W39" s="29"/>
      <c r="X39" s="29"/>
      <c r="Y39" s="29"/>
      <c r="Z39" s="29"/>
      <c r="AA39" s="34"/>
      <c r="AB39" s="29" t="s">
        <v>585</v>
      </c>
      <c r="AC39" s="29"/>
      <c r="AD39" s="34">
        <v>38</v>
      </c>
      <c r="AE39" s="34">
        <f>VLOOKUP(F39,Stakeholders!E:K,7,0)</f>
        <v>87</v>
      </c>
      <c r="AF39" s="34">
        <f>VLOOKUP(B39&amp;D39,Areas!$D:$E,2,FALSE)</f>
        <v>238</v>
      </c>
      <c r="AG39" s="29"/>
      <c r="AH39" s="34" t="s">
        <v>82</v>
      </c>
      <c r="AI39" s="34">
        <f>COUNTIF(Stakeholders!$E$2:$E$114,F39)</f>
        <v>1</v>
      </c>
      <c r="AJ39" s="29"/>
      <c r="AK39" s="29"/>
      <c r="AL39" s="29"/>
      <c r="AM39" s="29"/>
      <c r="AN39" s="29"/>
      <c r="AO39" s="29"/>
      <c r="AP39" s="29"/>
      <c r="AQ39" s="29"/>
      <c r="AR39" s="29"/>
      <c r="AS39" s="29"/>
      <c r="AT39" s="29"/>
      <c r="AU39" s="29"/>
      <c r="AV39" s="29"/>
      <c r="AW39" s="29"/>
    </row>
    <row r="40" spans="1:49" ht="15.75" customHeight="1">
      <c r="A40" s="14">
        <v>2009</v>
      </c>
      <c r="B40" s="14" t="s">
        <v>58</v>
      </c>
      <c r="C40" s="14" t="s">
        <v>405</v>
      </c>
      <c r="D40" s="14" t="s">
        <v>405</v>
      </c>
      <c r="E40" s="14" t="s">
        <v>635</v>
      </c>
      <c r="F40" s="14" t="s">
        <v>626</v>
      </c>
      <c r="G40" s="14">
        <f>COUNTIF(Stakeholders!$E$2:$E960,F40)</f>
        <v>1</v>
      </c>
      <c r="H40" s="14" t="s">
        <v>657</v>
      </c>
      <c r="I40" s="19" t="s">
        <v>659</v>
      </c>
      <c r="J40" s="14"/>
      <c r="K40" s="14"/>
      <c r="L40" s="14"/>
      <c r="M40" s="14"/>
      <c r="N40" s="14"/>
      <c r="O40" s="14"/>
      <c r="P40" s="14"/>
      <c r="Q40" s="14"/>
      <c r="R40" s="14"/>
      <c r="S40" s="14"/>
      <c r="T40" s="14"/>
      <c r="U40" s="14"/>
      <c r="V40" s="14"/>
      <c r="W40" s="14"/>
      <c r="X40" s="14"/>
      <c r="Y40" s="14"/>
      <c r="Z40" s="14"/>
      <c r="AA40" s="24"/>
      <c r="AB40" s="14" t="s">
        <v>585</v>
      </c>
      <c r="AC40" s="14"/>
      <c r="AD40" s="24">
        <v>39</v>
      </c>
      <c r="AE40" s="24">
        <f>VLOOKUP(F40,Stakeholders!E:K,7,0)</f>
        <v>65</v>
      </c>
      <c r="AF40" s="24">
        <f>VLOOKUP(B40&amp;D40,Areas!$D:$E,2,FALSE)</f>
        <v>240</v>
      </c>
      <c r="AG40" s="14"/>
      <c r="AH40" s="24" t="s">
        <v>82</v>
      </c>
      <c r="AI40" s="24">
        <f>COUNTIF(Stakeholders!$E$2:$E$114,F40)</f>
        <v>1</v>
      </c>
      <c r="AJ40" s="14"/>
      <c r="AK40" s="14"/>
      <c r="AL40" s="14"/>
      <c r="AM40" s="14"/>
      <c r="AN40" s="14"/>
      <c r="AO40" s="14"/>
      <c r="AP40" s="14"/>
      <c r="AQ40" s="14"/>
      <c r="AR40" s="14"/>
      <c r="AS40" s="14"/>
      <c r="AT40" s="14"/>
      <c r="AU40" s="14"/>
      <c r="AV40" s="14"/>
      <c r="AW40" s="14"/>
    </row>
    <row r="41" spans="1:49" ht="15.75" customHeight="1">
      <c r="A41" s="29">
        <v>2015</v>
      </c>
      <c r="B41" s="29" t="s">
        <v>58</v>
      </c>
      <c r="C41" s="65" t="s">
        <v>393</v>
      </c>
      <c r="D41" s="29" t="s">
        <v>391</v>
      </c>
      <c r="E41" s="29" t="s">
        <v>393</v>
      </c>
      <c r="F41" s="29" t="s">
        <v>670</v>
      </c>
      <c r="G41" s="29">
        <f>COUNTIF(Stakeholders!$E$2:$E960,F41)</f>
        <v>1</v>
      </c>
      <c r="H41" s="29" t="s">
        <v>675</v>
      </c>
      <c r="I41" s="66" t="s">
        <v>676</v>
      </c>
      <c r="J41" s="29"/>
      <c r="K41" s="29"/>
      <c r="L41" s="29"/>
      <c r="M41" s="29"/>
      <c r="N41" s="29"/>
      <c r="O41" s="29"/>
      <c r="P41" s="29"/>
      <c r="Q41" s="29"/>
      <c r="R41" s="29"/>
      <c r="S41" s="29"/>
      <c r="T41" s="29"/>
      <c r="U41" s="29"/>
      <c r="V41" s="29"/>
      <c r="W41" s="29"/>
      <c r="X41" s="29"/>
      <c r="Y41" s="29"/>
      <c r="Z41" s="29"/>
      <c r="AA41" s="34"/>
      <c r="AB41" s="29" t="s">
        <v>585</v>
      </c>
      <c r="AC41" s="29"/>
      <c r="AD41" s="34">
        <v>40</v>
      </c>
      <c r="AE41" s="34">
        <f>VLOOKUP(F41,Stakeholders!E:K,7,0)</f>
        <v>78</v>
      </c>
      <c r="AF41" s="34">
        <f>VLOOKUP(B41&amp;D41,Areas!$D:$E,2,FALSE)</f>
        <v>224</v>
      </c>
      <c r="AG41" s="29"/>
      <c r="AH41" s="34" t="s">
        <v>82</v>
      </c>
      <c r="AI41" s="34">
        <f>COUNTIF(Stakeholders!$E$2:$E$114,F41)</f>
        <v>1</v>
      </c>
      <c r="AJ41" s="29"/>
      <c r="AK41" s="29"/>
      <c r="AL41" s="29"/>
      <c r="AM41" s="29"/>
      <c r="AN41" s="29"/>
      <c r="AO41" s="29"/>
      <c r="AP41" s="29"/>
      <c r="AQ41" s="29"/>
      <c r="AR41" s="29"/>
      <c r="AS41" s="29"/>
      <c r="AT41" s="29"/>
      <c r="AU41" s="29"/>
      <c r="AV41" s="29"/>
      <c r="AW41" s="29"/>
    </row>
    <row r="42" spans="1:49" ht="15.75" customHeight="1">
      <c r="A42" s="14">
        <v>2021</v>
      </c>
      <c r="B42" s="14" t="s">
        <v>8</v>
      </c>
      <c r="C42" s="15" t="s">
        <v>393</v>
      </c>
      <c r="D42" s="14" t="s">
        <v>192</v>
      </c>
      <c r="E42" s="14" t="s">
        <v>52</v>
      </c>
      <c r="F42" s="14" t="s">
        <v>59</v>
      </c>
      <c r="G42" s="14">
        <f>COUNTIF(Stakeholders!$E$2:$E960,F42)</f>
        <v>1</v>
      </c>
      <c r="H42" s="14" t="s">
        <v>681</v>
      </c>
      <c r="I42" s="67" t="s">
        <v>682</v>
      </c>
      <c r="J42" s="20" t="s">
        <v>67</v>
      </c>
      <c r="K42" s="20" t="s">
        <v>67</v>
      </c>
      <c r="L42" s="14"/>
      <c r="M42" s="14"/>
      <c r="N42" s="14"/>
      <c r="O42" s="14"/>
      <c r="P42" s="14"/>
      <c r="Q42" s="14"/>
      <c r="R42" s="14"/>
      <c r="S42" s="14"/>
      <c r="T42" s="14"/>
      <c r="U42" s="14"/>
      <c r="V42" s="14"/>
      <c r="W42" s="20" t="s">
        <v>94</v>
      </c>
      <c r="X42" s="14"/>
      <c r="Y42" s="14"/>
      <c r="Z42" s="14"/>
      <c r="AA42" s="24"/>
      <c r="AB42" s="14" t="s">
        <v>688</v>
      </c>
      <c r="AC42" s="14" t="s">
        <v>689</v>
      </c>
      <c r="AD42" s="24">
        <v>41</v>
      </c>
      <c r="AE42" s="24">
        <f>VLOOKUP(F42,Stakeholders!E:K,7,0)</f>
        <v>1</v>
      </c>
      <c r="AF42" s="24" t="e">
        <f>VLOOKUP(B42&amp;D42,Areas!$D:$E,2,FALSE)</f>
        <v>#N/A</v>
      </c>
      <c r="AG42" s="14"/>
      <c r="AH42" s="24" t="s">
        <v>82</v>
      </c>
      <c r="AI42" s="24">
        <f>COUNTIF(Stakeholders!$E$2:$E$114,F42)</f>
        <v>1</v>
      </c>
      <c r="AJ42" s="14"/>
      <c r="AK42" s="14"/>
      <c r="AL42" s="14"/>
      <c r="AM42" s="14"/>
      <c r="AN42" s="14"/>
      <c r="AO42" s="14"/>
      <c r="AP42" s="14"/>
      <c r="AQ42" s="14"/>
      <c r="AR42" s="14"/>
      <c r="AS42" s="14"/>
      <c r="AT42" s="14"/>
      <c r="AU42" s="14"/>
      <c r="AV42" s="14"/>
      <c r="AW42" s="14"/>
    </row>
    <row r="43" spans="1:49" ht="15.75" customHeight="1">
      <c r="A43" s="29">
        <v>2021</v>
      </c>
      <c r="B43" s="22" t="s">
        <v>8</v>
      </c>
      <c r="C43" s="30" t="s">
        <v>365</v>
      </c>
      <c r="D43" s="29" t="s">
        <v>192</v>
      </c>
      <c r="E43" s="29" t="s">
        <v>52</v>
      </c>
      <c r="F43" s="29" t="s">
        <v>59</v>
      </c>
      <c r="G43" s="29">
        <f>COUNTIF(Stakeholders!$E$2:$E960,F43)</f>
        <v>1</v>
      </c>
      <c r="H43" s="29" t="s">
        <v>698</v>
      </c>
      <c r="I43" s="66" t="s">
        <v>699</v>
      </c>
      <c r="J43" s="33" t="s">
        <v>67</v>
      </c>
      <c r="K43" s="33" t="s">
        <v>67</v>
      </c>
      <c r="L43" s="29"/>
      <c r="M43" s="29"/>
      <c r="N43" s="29"/>
      <c r="O43" s="29"/>
      <c r="P43" s="29"/>
      <c r="Q43" s="29"/>
      <c r="R43" s="29"/>
      <c r="S43" s="29"/>
      <c r="T43" s="29"/>
      <c r="U43" s="29"/>
      <c r="V43" s="29"/>
      <c r="W43" s="33" t="s">
        <v>94</v>
      </c>
      <c r="X43" s="29"/>
      <c r="Y43" s="29"/>
      <c r="Z43" s="29"/>
      <c r="AA43" s="34"/>
      <c r="AB43" s="29" t="s">
        <v>688</v>
      </c>
      <c r="AC43" s="29" t="s">
        <v>689</v>
      </c>
      <c r="AD43" s="34">
        <v>42</v>
      </c>
      <c r="AE43" s="34">
        <f>VLOOKUP(F43,Stakeholders!E:K,7,0)</f>
        <v>1</v>
      </c>
      <c r="AF43" s="34" t="e">
        <f>VLOOKUP(B43&amp;D43,Areas!$D:$E,2,FALSE)</f>
        <v>#N/A</v>
      </c>
      <c r="AG43" s="29"/>
      <c r="AH43" s="34" t="s">
        <v>82</v>
      </c>
      <c r="AI43" s="34">
        <f>COUNTIF(Stakeholders!$E$2:$E$114,F43)</f>
        <v>1</v>
      </c>
      <c r="AJ43" s="29"/>
      <c r="AK43" s="29"/>
      <c r="AL43" s="29"/>
      <c r="AM43" s="29"/>
      <c r="AN43" s="29"/>
      <c r="AO43" s="29"/>
      <c r="AP43" s="29"/>
      <c r="AQ43" s="29"/>
      <c r="AR43" s="29"/>
      <c r="AS43" s="29"/>
      <c r="AT43" s="29"/>
      <c r="AU43" s="29"/>
      <c r="AV43" s="29"/>
      <c r="AW43" s="29"/>
    </row>
    <row r="44" spans="1:49" ht="15.75" customHeight="1">
      <c r="A44" s="14">
        <v>2020</v>
      </c>
      <c r="B44" s="14" t="s">
        <v>58</v>
      </c>
      <c r="C44" s="15" t="s">
        <v>73</v>
      </c>
      <c r="D44" s="14" t="s">
        <v>8</v>
      </c>
      <c r="E44" s="14" t="s">
        <v>73</v>
      </c>
      <c r="F44" s="76" t="s">
        <v>76</v>
      </c>
      <c r="G44" s="14">
        <f>COUNTIF(Stakeholders!$E$2:$E960,F44)</f>
        <v>1</v>
      </c>
      <c r="H44" s="39" t="s">
        <v>707</v>
      </c>
      <c r="I44" s="67" t="s">
        <v>708</v>
      </c>
      <c r="J44" s="20" t="s">
        <v>67</v>
      </c>
      <c r="K44" s="20" t="s">
        <v>67</v>
      </c>
      <c r="L44" s="14"/>
      <c r="M44" s="14"/>
      <c r="N44" s="14"/>
      <c r="O44" s="14"/>
      <c r="P44" s="14"/>
      <c r="Q44" s="14"/>
      <c r="R44" s="14"/>
      <c r="S44" s="14"/>
      <c r="T44" s="14"/>
      <c r="U44" s="14"/>
      <c r="V44" s="14"/>
      <c r="W44" s="20" t="s">
        <v>94</v>
      </c>
      <c r="X44" s="14"/>
      <c r="Y44" s="14"/>
      <c r="Z44" s="14"/>
      <c r="AA44" s="24"/>
      <c r="AB44" s="14" t="s">
        <v>688</v>
      </c>
      <c r="AC44" s="14" t="s">
        <v>689</v>
      </c>
      <c r="AD44" s="24">
        <v>43</v>
      </c>
      <c r="AE44" s="24">
        <f>VLOOKUP(F44,Stakeholders!E:K,7,0)</f>
        <v>2</v>
      </c>
      <c r="AF44" s="24" t="e">
        <f>VLOOKUP(B44&amp;D44,Areas!$D:$E,2,FALSE)</f>
        <v>#N/A</v>
      </c>
      <c r="AG44" s="14"/>
      <c r="AH44" s="24" t="s">
        <v>82</v>
      </c>
      <c r="AI44" s="24">
        <f>COUNTIF(Stakeholders!$E$2:$E$114,F44)</f>
        <v>1</v>
      </c>
      <c r="AJ44" s="14"/>
      <c r="AK44" s="14"/>
      <c r="AL44" s="14"/>
      <c r="AM44" s="14"/>
      <c r="AN44" s="14"/>
      <c r="AO44" s="14"/>
      <c r="AP44" s="14"/>
      <c r="AQ44" s="14"/>
      <c r="AR44" s="14"/>
      <c r="AS44" s="14"/>
      <c r="AT44" s="14"/>
      <c r="AU44" s="14"/>
      <c r="AV44" s="14"/>
      <c r="AW44" s="14"/>
    </row>
    <row r="45" spans="1:49" ht="15.75" customHeight="1">
      <c r="A45" s="29">
        <v>2020</v>
      </c>
      <c r="B45" s="29" t="s">
        <v>58</v>
      </c>
      <c r="C45" s="30" t="s">
        <v>60</v>
      </c>
      <c r="D45" s="29" t="s">
        <v>615</v>
      </c>
      <c r="E45" s="29" t="s">
        <v>60</v>
      </c>
      <c r="F45" s="78" t="s">
        <v>87</v>
      </c>
      <c r="G45" s="29">
        <v>1</v>
      </c>
      <c r="H45" s="37" t="s">
        <v>715</v>
      </c>
      <c r="I45" s="79" t="s">
        <v>716</v>
      </c>
      <c r="J45" s="33" t="s">
        <v>67</v>
      </c>
      <c r="K45" s="33" t="s">
        <v>67</v>
      </c>
      <c r="L45" s="29"/>
      <c r="M45" s="29"/>
      <c r="N45" s="29"/>
      <c r="O45" s="29"/>
      <c r="P45" s="29"/>
      <c r="Q45" s="29"/>
      <c r="R45" s="29"/>
      <c r="S45" s="29"/>
      <c r="T45" s="29"/>
      <c r="U45" s="29"/>
      <c r="V45" s="29"/>
      <c r="W45" s="33" t="s">
        <v>94</v>
      </c>
      <c r="X45" s="29"/>
      <c r="Y45" s="29"/>
      <c r="Z45" s="29"/>
      <c r="AA45" s="34"/>
      <c r="AB45" s="29" t="s">
        <v>688</v>
      </c>
      <c r="AC45" s="29" t="s">
        <v>689</v>
      </c>
      <c r="AD45" s="34">
        <v>44</v>
      </c>
      <c r="AE45" s="34">
        <v>3</v>
      </c>
      <c r="AF45" s="34" t="e">
        <v>#N/A</v>
      </c>
      <c r="AG45" s="29"/>
      <c r="AH45" s="34" t="s">
        <v>82</v>
      </c>
      <c r="AI45" s="34" t="s">
        <v>718</v>
      </c>
      <c r="AJ45" s="29" t="s">
        <v>718</v>
      </c>
      <c r="AK45" s="29"/>
      <c r="AL45" s="29"/>
      <c r="AM45" s="29"/>
      <c r="AN45" s="29"/>
      <c r="AO45" s="29"/>
      <c r="AP45" s="29"/>
      <c r="AQ45" s="29"/>
      <c r="AR45" s="29"/>
      <c r="AS45" s="29"/>
      <c r="AT45" s="29"/>
      <c r="AU45" s="29"/>
      <c r="AV45" s="29"/>
      <c r="AW45" s="29"/>
    </row>
    <row r="46" spans="1:49" ht="15.75" customHeight="1">
      <c r="A46" s="14">
        <v>2020</v>
      </c>
      <c r="B46" s="12" t="s">
        <v>64</v>
      </c>
      <c r="C46" s="80" t="s">
        <v>8</v>
      </c>
      <c r="D46" s="14" t="s">
        <v>8</v>
      </c>
      <c r="E46" s="14" t="s">
        <v>73</v>
      </c>
      <c r="F46" s="76" t="s">
        <v>369</v>
      </c>
      <c r="G46" s="14">
        <f>COUNTIF(Stakeholders!$E$2:$E960,F46)</f>
        <v>1</v>
      </c>
      <c r="H46" s="39" t="s">
        <v>731</v>
      </c>
      <c r="I46" s="67" t="s">
        <v>732</v>
      </c>
      <c r="J46" s="20" t="s">
        <v>67</v>
      </c>
      <c r="K46" s="20" t="s">
        <v>67</v>
      </c>
      <c r="L46" s="14"/>
      <c r="M46" s="14"/>
      <c r="N46" s="14"/>
      <c r="O46" s="14"/>
      <c r="P46" s="14"/>
      <c r="Q46" s="14"/>
      <c r="R46" s="14"/>
      <c r="S46" s="14"/>
      <c r="T46" s="14"/>
      <c r="U46" s="14"/>
      <c r="V46" s="14"/>
      <c r="W46" s="20" t="s">
        <v>94</v>
      </c>
      <c r="X46" s="14"/>
      <c r="Y46" s="14"/>
      <c r="Z46" s="14"/>
      <c r="AA46" s="24"/>
      <c r="AB46" s="14" t="s">
        <v>688</v>
      </c>
      <c r="AC46" s="14" t="s">
        <v>689</v>
      </c>
      <c r="AD46" s="24">
        <v>45</v>
      </c>
      <c r="AE46" s="24">
        <f>VLOOKUP(F46,Stakeholders!E:K,7,0)</f>
        <v>32</v>
      </c>
      <c r="AF46" s="24" t="e">
        <f>VLOOKUP(B46&amp;D46,Areas!$D:$E,2,FALSE)</f>
        <v>#N/A</v>
      </c>
      <c r="AG46" s="14"/>
      <c r="AH46" s="24" t="s">
        <v>82</v>
      </c>
      <c r="AI46" s="24">
        <f>COUNTIF(Stakeholders!$E$2:$E$114,F46)</f>
        <v>1</v>
      </c>
      <c r="AJ46" s="14"/>
      <c r="AK46" s="14"/>
      <c r="AL46" s="14"/>
      <c r="AM46" s="14"/>
      <c r="AN46" s="14"/>
      <c r="AO46" s="14"/>
      <c r="AP46" s="14"/>
      <c r="AQ46" s="14"/>
      <c r="AR46" s="14"/>
      <c r="AS46" s="14"/>
      <c r="AT46" s="14"/>
      <c r="AU46" s="14"/>
      <c r="AV46" s="14"/>
      <c r="AW46" s="14"/>
    </row>
    <row r="47" spans="1:49" ht="15.75" customHeight="1">
      <c r="A47" s="29">
        <v>2020</v>
      </c>
      <c r="B47" s="12" t="s">
        <v>64</v>
      </c>
      <c r="C47" s="65" t="s">
        <v>8</v>
      </c>
      <c r="D47" s="29" t="s">
        <v>8</v>
      </c>
      <c r="E47" s="29" t="s">
        <v>73</v>
      </c>
      <c r="F47" s="81" t="s">
        <v>369</v>
      </c>
      <c r="G47" s="29">
        <f>COUNTIF(Stakeholders!$E$2:$E960,F47)</f>
        <v>1</v>
      </c>
      <c r="H47" s="37" t="s">
        <v>740</v>
      </c>
      <c r="I47" s="66" t="s">
        <v>741</v>
      </c>
      <c r="J47" s="33" t="s">
        <v>67</v>
      </c>
      <c r="K47" s="33" t="s">
        <v>67</v>
      </c>
      <c r="L47" s="29"/>
      <c r="M47" s="29"/>
      <c r="N47" s="29"/>
      <c r="O47" s="29"/>
      <c r="P47" s="29"/>
      <c r="Q47" s="29"/>
      <c r="R47" s="29"/>
      <c r="S47" s="29"/>
      <c r="T47" s="29"/>
      <c r="U47" s="29"/>
      <c r="V47" s="29"/>
      <c r="W47" s="33" t="s">
        <v>94</v>
      </c>
      <c r="X47" s="29"/>
      <c r="Y47" s="29"/>
      <c r="Z47" s="29"/>
      <c r="AA47" s="34"/>
      <c r="AB47" s="29" t="s">
        <v>688</v>
      </c>
      <c r="AC47" s="29" t="s">
        <v>689</v>
      </c>
      <c r="AD47" s="34">
        <v>46</v>
      </c>
      <c r="AE47" s="34">
        <f>VLOOKUP(F47,Stakeholders!E:K,7,0)</f>
        <v>32</v>
      </c>
      <c r="AF47" s="34" t="e">
        <f>VLOOKUP(B47&amp;D47,Areas!$D:$E,2,FALSE)</f>
        <v>#N/A</v>
      </c>
      <c r="AG47" s="29"/>
      <c r="AH47" s="34" t="s">
        <v>82</v>
      </c>
      <c r="AI47" s="34">
        <f>COUNTIF(Stakeholders!$E$2:$E$114,F47)</f>
        <v>1</v>
      </c>
      <c r="AJ47" s="29"/>
      <c r="AK47" s="29"/>
      <c r="AL47" s="29"/>
      <c r="AM47" s="29"/>
      <c r="AN47" s="29"/>
      <c r="AO47" s="29"/>
      <c r="AP47" s="29"/>
      <c r="AQ47" s="29"/>
      <c r="AR47" s="29"/>
      <c r="AS47" s="29"/>
      <c r="AT47" s="29"/>
      <c r="AU47" s="29"/>
      <c r="AV47" s="29"/>
      <c r="AW47" s="29"/>
    </row>
    <row r="48" spans="1:49" ht="15.75" customHeight="1">
      <c r="A48" s="14">
        <v>2020</v>
      </c>
      <c r="B48" s="12" t="s">
        <v>64</v>
      </c>
      <c r="C48" s="80" t="s">
        <v>73</v>
      </c>
      <c r="D48" s="14" t="s">
        <v>168</v>
      </c>
      <c r="E48" s="14" t="s">
        <v>73</v>
      </c>
      <c r="F48" s="76" t="s">
        <v>523</v>
      </c>
      <c r="G48" s="14">
        <f>COUNTIF(Stakeholders!$E$2:$E960,F48)</f>
        <v>1</v>
      </c>
      <c r="H48" s="39" t="s">
        <v>769</v>
      </c>
      <c r="I48" s="67" t="s">
        <v>770</v>
      </c>
      <c r="J48" s="20" t="s">
        <v>67</v>
      </c>
      <c r="K48" s="20" t="s">
        <v>67</v>
      </c>
      <c r="L48" s="14"/>
      <c r="M48" s="14"/>
      <c r="N48" s="14"/>
      <c r="O48" s="14"/>
      <c r="P48" s="14"/>
      <c r="Q48" s="14"/>
      <c r="R48" s="14"/>
      <c r="S48" s="14"/>
      <c r="T48" s="14"/>
      <c r="U48" s="14"/>
      <c r="V48" s="14"/>
      <c r="W48" s="20" t="s">
        <v>94</v>
      </c>
      <c r="X48" s="14"/>
      <c r="Y48" s="14"/>
      <c r="Z48" s="14"/>
      <c r="AA48" s="24"/>
      <c r="AB48" s="14" t="s">
        <v>688</v>
      </c>
      <c r="AC48" s="14" t="s">
        <v>689</v>
      </c>
      <c r="AD48" s="24">
        <v>47</v>
      </c>
      <c r="AE48" s="24">
        <f>VLOOKUP(F48,Stakeholders!E:K,7,0)</f>
        <v>20</v>
      </c>
      <c r="AF48" s="24" t="e">
        <f>VLOOKUP(B48&amp;D48,Areas!$D:$E,2,FALSE)</f>
        <v>#N/A</v>
      </c>
      <c r="AG48" s="14"/>
      <c r="AH48" s="24" t="s">
        <v>82</v>
      </c>
      <c r="AI48" s="24">
        <f>COUNTIF(Stakeholders!$E$2:$E$114,F48)</f>
        <v>1</v>
      </c>
      <c r="AJ48" s="14"/>
      <c r="AK48" s="14"/>
      <c r="AL48" s="14"/>
      <c r="AM48" s="14"/>
      <c r="AN48" s="14"/>
      <c r="AO48" s="14"/>
      <c r="AP48" s="14"/>
      <c r="AQ48" s="14"/>
      <c r="AR48" s="14"/>
      <c r="AS48" s="14"/>
      <c r="AT48" s="14"/>
      <c r="AU48" s="14"/>
      <c r="AV48" s="14"/>
      <c r="AW48" s="14"/>
    </row>
    <row r="49" spans="1:49" ht="15.75" customHeight="1">
      <c r="A49" s="29">
        <v>2020</v>
      </c>
      <c r="B49" s="22" t="s">
        <v>8</v>
      </c>
      <c r="C49" s="65" t="s">
        <v>365</v>
      </c>
      <c r="D49" s="29" t="s">
        <v>192</v>
      </c>
      <c r="E49" s="29" t="s">
        <v>52</v>
      </c>
      <c r="F49" s="37" t="s">
        <v>59</v>
      </c>
      <c r="G49" s="29">
        <f>COUNTIF(Stakeholders!$E$2:$E960,F49)</f>
        <v>1</v>
      </c>
      <c r="H49" s="37" t="s">
        <v>795</v>
      </c>
      <c r="I49" s="66" t="s">
        <v>796</v>
      </c>
      <c r="J49" s="33" t="s">
        <v>67</v>
      </c>
      <c r="K49" s="82" t="s">
        <v>94</v>
      </c>
      <c r="L49" s="29"/>
      <c r="M49" s="29"/>
      <c r="N49" s="29"/>
      <c r="O49" s="29"/>
      <c r="P49" s="29"/>
      <c r="Q49" s="29"/>
      <c r="R49" s="29"/>
      <c r="S49" s="29"/>
      <c r="T49" s="29"/>
      <c r="U49" s="29"/>
      <c r="V49" s="29"/>
      <c r="W49" s="82" t="s">
        <v>67</v>
      </c>
      <c r="X49" s="29"/>
      <c r="Y49" s="29"/>
      <c r="Z49" s="29"/>
      <c r="AA49" s="34"/>
      <c r="AB49" s="29" t="s">
        <v>688</v>
      </c>
      <c r="AC49" s="29" t="s">
        <v>689</v>
      </c>
      <c r="AD49" s="34">
        <v>48</v>
      </c>
      <c r="AE49" s="34">
        <f>VLOOKUP(F49,Stakeholders!E:K,7,0)</f>
        <v>1</v>
      </c>
      <c r="AF49" s="34" t="e">
        <f>VLOOKUP(B49&amp;D49,Areas!$D:$E,2,FALSE)</f>
        <v>#N/A</v>
      </c>
      <c r="AG49" s="29"/>
      <c r="AH49" s="34" t="s">
        <v>82</v>
      </c>
      <c r="AI49" s="34">
        <f>COUNTIF(Stakeholders!$E$2:$E$114,F49)</f>
        <v>1</v>
      </c>
      <c r="AJ49" s="29"/>
      <c r="AK49" s="29"/>
      <c r="AL49" s="29"/>
      <c r="AM49" s="29"/>
      <c r="AN49" s="29"/>
      <c r="AO49" s="29"/>
      <c r="AP49" s="29"/>
      <c r="AQ49" s="29"/>
      <c r="AR49" s="29"/>
      <c r="AS49" s="29"/>
      <c r="AT49" s="29"/>
      <c r="AU49" s="29"/>
      <c r="AV49" s="29"/>
      <c r="AW49" s="29"/>
    </row>
    <row r="50" spans="1:49" ht="15.75" customHeight="1">
      <c r="A50" s="14">
        <v>2020</v>
      </c>
      <c r="B50" s="14" t="s">
        <v>8</v>
      </c>
      <c r="C50" s="14" t="s">
        <v>224</v>
      </c>
      <c r="D50" s="14" t="s">
        <v>192</v>
      </c>
      <c r="E50" s="14" t="s">
        <v>52</v>
      </c>
      <c r="F50" s="39" t="s">
        <v>59</v>
      </c>
      <c r="G50" s="14">
        <f>COUNTIF(Stakeholders!$E$2:$E960,F50)</f>
        <v>1</v>
      </c>
      <c r="H50" s="39" t="s">
        <v>799</v>
      </c>
      <c r="I50" s="67" t="s">
        <v>800</v>
      </c>
      <c r="J50" s="20" t="s">
        <v>67</v>
      </c>
      <c r="K50" s="83" t="s">
        <v>94</v>
      </c>
      <c r="L50" s="14"/>
      <c r="M50" s="14"/>
      <c r="N50" s="14"/>
      <c r="O50" s="14"/>
      <c r="P50" s="14"/>
      <c r="Q50" s="14"/>
      <c r="R50" s="14"/>
      <c r="S50" s="14"/>
      <c r="T50" s="14"/>
      <c r="U50" s="14"/>
      <c r="V50" s="14"/>
      <c r="W50" s="83" t="s">
        <v>67</v>
      </c>
      <c r="X50" s="14"/>
      <c r="Y50" s="14"/>
      <c r="Z50" s="14"/>
      <c r="AA50" s="24"/>
      <c r="AB50" s="14" t="s">
        <v>688</v>
      </c>
      <c r="AC50" s="14" t="s">
        <v>689</v>
      </c>
      <c r="AD50" s="24">
        <v>49</v>
      </c>
      <c r="AE50" s="24">
        <f>VLOOKUP(F50,Stakeholders!E:K,7,0)</f>
        <v>1</v>
      </c>
      <c r="AF50" s="24" t="e">
        <f>VLOOKUP(B50&amp;D50,Areas!$D:$E,2,FALSE)</f>
        <v>#N/A</v>
      </c>
      <c r="AG50" s="14"/>
      <c r="AH50" s="24" t="s">
        <v>82</v>
      </c>
      <c r="AI50" s="24">
        <f>COUNTIF(Stakeholders!$E$2:$E$114,F50)</f>
        <v>1</v>
      </c>
      <c r="AJ50" s="14"/>
      <c r="AK50" s="14"/>
      <c r="AL50" s="14"/>
      <c r="AM50" s="14"/>
      <c r="AN50" s="14"/>
      <c r="AO50" s="14"/>
      <c r="AP50" s="14"/>
      <c r="AQ50" s="14"/>
      <c r="AR50" s="14"/>
      <c r="AS50" s="14"/>
      <c r="AT50" s="14"/>
      <c r="AU50" s="14"/>
      <c r="AV50" s="14"/>
      <c r="AW50" s="14"/>
    </row>
    <row r="51" spans="1:49" ht="15.75" customHeight="1">
      <c r="A51" s="29">
        <v>2020</v>
      </c>
      <c r="B51" s="29" t="s">
        <v>8</v>
      </c>
      <c r="C51" s="65" t="s">
        <v>393</v>
      </c>
      <c r="D51" s="29" t="s">
        <v>192</v>
      </c>
      <c r="E51" s="29" t="s">
        <v>52</v>
      </c>
      <c r="F51" s="37" t="s">
        <v>59</v>
      </c>
      <c r="G51" s="29">
        <f>COUNTIF(Stakeholders!$E$2:$E960,F51)</f>
        <v>1</v>
      </c>
      <c r="H51" s="37" t="s">
        <v>817</v>
      </c>
      <c r="I51" s="66" t="s">
        <v>818</v>
      </c>
      <c r="J51" s="33" t="s">
        <v>67</v>
      </c>
      <c r="K51" s="82" t="s">
        <v>94</v>
      </c>
      <c r="L51" s="29"/>
      <c r="M51" s="29"/>
      <c r="N51" s="29"/>
      <c r="O51" s="29"/>
      <c r="P51" s="29"/>
      <c r="Q51" s="29"/>
      <c r="R51" s="29"/>
      <c r="S51" s="29"/>
      <c r="T51" s="29"/>
      <c r="U51" s="29"/>
      <c r="V51" s="29"/>
      <c r="W51" s="82" t="s">
        <v>67</v>
      </c>
      <c r="X51" s="29"/>
      <c r="Y51" s="29"/>
      <c r="Z51" s="29"/>
      <c r="AA51" s="34"/>
      <c r="AB51" s="29" t="s">
        <v>688</v>
      </c>
      <c r="AC51" s="29" t="s">
        <v>689</v>
      </c>
      <c r="AD51" s="34">
        <v>50</v>
      </c>
      <c r="AE51" s="34">
        <f>VLOOKUP(F51,Stakeholders!E:K,7,0)</f>
        <v>1</v>
      </c>
      <c r="AF51" s="34" t="e">
        <f>VLOOKUP(B51&amp;D51,Areas!$D:$E,2,FALSE)</f>
        <v>#N/A</v>
      </c>
      <c r="AG51" s="29"/>
      <c r="AH51" s="34" t="s">
        <v>82</v>
      </c>
      <c r="AI51" s="34">
        <f>COUNTIF(Stakeholders!$E$2:$E$114,F51)</f>
        <v>1</v>
      </c>
      <c r="AJ51" s="29"/>
      <c r="AK51" s="29"/>
      <c r="AL51" s="29"/>
      <c r="AM51" s="29"/>
      <c r="AN51" s="29"/>
      <c r="AO51" s="29"/>
      <c r="AP51" s="29"/>
      <c r="AQ51" s="29"/>
      <c r="AR51" s="29"/>
      <c r="AS51" s="29"/>
      <c r="AT51" s="29"/>
      <c r="AU51" s="29"/>
      <c r="AV51" s="29"/>
      <c r="AW51" s="29"/>
    </row>
    <row r="52" spans="1:49" ht="15.75" customHeight="1">
      <c r="A52" s="14">
        <v>2020</v>
      </c>
      <c r="B52" s="14" t="s">
        <v>8</v>
      </c>
      <c r="C52" s="14" t="s">
        <v>224</v>
      </c>
      <c r="D52" s="39" t="s">
        <v>208</v>
      </c>
      <c r="E52" s="14" t="s">
        <v>52</v>
      </c>
      <c r="F52" s="39" t="s">
        <v>59</v>
      </c>
      <c r="G52" s="14">
        <f>COUNTIF(Stakeholders!$E$2:$E960,F52)</f>
        <v>1</v>
      </c>
      <c r="H52" s="39" t="s">
        <v>824</v>
      </c>
      <c r="I52" s="67" t="s">
        <v>825</v>
      </c>
      <c r="J52" s="20" t="s">
        <v>67</v>
      </c>
      <c r="K52" s="83" t="s">
        <v>94</v>
      </c>
      <c r="L52" s="14"/>
      <c r="M52" s="14"/>
      <c r="N52" s="14"/>
      <c r="O52" s="14"/>
      <c r="P52" s="14"/>
      <c r="Q52" s="14"/>
      <c r="R52" s="14"/>
      <c r="S52" s="14"/>
      <c r="T52" s="14"/>
      <c r="U52" s="14"/>
      <c r="V52" s="14"/>
      <c r="W52" s="83" t="s">
        <v>67</v>
      </c>
      <c r="X52" s="14"/>
      <c r="Y52" s="14"/>
      <c r="Z52" s="14"/>
      <c r="AA52" s="24"/>
      <c r="AB52" s="14" t="s">
        <v>688</v>
      </c>
      <c r="AC52" s="14" t="s">
        <v>689</v>
      </c>
      <c r="AD52" s="24">
        <v>51</v>
      </c>
      <c r="AE52" s="24">
        <f>VLOOKUP(F52,Stakeholders!E:K,7,0)</f>
        <v>1</v>
      </c>
      <c r="AF52" s="24" t="e">
        <f>VLOOKUP(B52&amp;D52,Areas!$D:$E,2,FALSE)</f>
        <v>#N/A</v>
      </c>
      <c r="AG52" s="14"/>
      <c r="AH52" s="24" t="s">
        <v>82</v>
      </c>
      <c r="AI52" s="24">
        <f>COUNTIF(Stakeholders!$E$2:$E$114,F52)</f>
        <v>1</v>
      </c>
      <c r="AJ52" s="14"/>
      <c r="AK52" s="14"/>
      <c r="AL52" s="14"/>
      <c r="AM52" s="14"/>
      <c r="AN52" s="14"/>
      <c r="AO52" s="14"/>
      <c r="AP52" s="14"/>
      <c r="AQ52" s="14"/>
      <c r="AR52" s="14"/>
      <c r="AS52" s="14"/>
      <c r="AT52" s="14"/>
      <c r="AU52" s="14"/>
      <c r="AV52" s="14"/>
      <c r="AW52" s="14"/>
    </row>
    <row r="53" spans="1:49" ht="15.75" customHeight="1">
      <c r="A53" s="29">
        <v>2020</v>
      </c>
      <c r="B53" s="29" t="s">
        <v>8</v>
      </c>
      <c r="C53" s="65" t="s">
        <v>397</v>
      </c>
      <c r="D53" s="37" t="s">
        <v>194</v>
      </c>
      <c r="E53" s="29" t="s">
        <v>52</v>
      </c>
      <c r="F53" s="37" t="s">
        <v>59</v>
      </c>
      <c r="G53" s="29">
        <f>COUNTIF(Stakeholders!$E$2:$E960,F53)</f>
        <v>1</v>
      </c>
      <c r="H53" s="37" t="s">
        <v>830</v>
      </c>
      <c r="I53" s="66" t="s">
        <v>831</v>
      </c>
      <c r="J53" s="33" t="s">
        <v>67</v>
      </c>
      <c r="K53" s="82" t="s">
        <v>94</v>
      </c>
      <c r="L53" s="29"/>
      <c r="M53" s="29"/>
      <c r="N53" s="29"/>
      <c r="O53" s="29"/>
      <c r="P53" s="29"/>
      <c r="Q53" s="29"/>
      <c r="R53" s="29"/>
      <c r="S53" s="29"/>
      <c r="T53" s="29"/>
      <c r="U53" s="29"/>
      <c r="V53" s="29"/>
      <c r="W53" s="82" t="s">
        <v>67</v>
      </c>
      <c r="X53" s="29"/>
      <c r="Y53" s="29"/>
      <c r="Z53" s="29"/>
      <c r="AA53" s="34"/>
      <c r="AB53" s="29" t="s">
        <v>688</v>
      </c>
      <c r="AC53" s="29" t="s">
        <v>689</v>
      </c>
      <c r="AD53" s="34">
        <v>52</v>
      </c>
      <c r="AE53" s="34">
        <f>VLOOKUP(F53,Stakeholders!E:K,7,0)</f>
        <v>1</v>
      </c>
      <c r="AF53" s="34" t="e">
        <f>VLOOKUP(B53&amp;D53,Areas!$D:$E,2,FALSE)</f>
        <v>#N/A</v>
      </c>
      <c r="AG53" s="29"/>
      <c r="AH53" s="34" t="s">
        <v>82</v>
      </c>
      <c r="AI53" s="34">
        <f>COUNTIF(Stakeholders!$E$2:$E$114,F53)</f>
        <v>1</v>
      </c>
      <c r="AJ53" s="29"/>
      <c r="AK53" s="29"/>
      <c r="AL53" s="29"/>
      <c r="AM53" s="29"/>
      <c r="AN53" s="29"/>
      <c r="AO53" s="29"/>
      <c r="AP53" s="29"/>
      <c r="AQ53" s="29"/>
      <c r="AR53" s="29"/>
      <c r="AS53" s="29"/>
      <c r="AT53" s="29"/>
      <c r="AU53" s="29"/>
      <c r="AV53" s="29"/>
      <c r="AW53" s="29"/>
    </row>
    <row r="54" spans="1:49" ht="15.75" customHeight="1">
      <c r="A54" s="14">
        <v>2020</v>
      </c>
      <c r="B54" s="12" t="s">
        <v>64</v>
      </c>
      <c r="C54" s="14" t="s">
        <v>224</v>
      </c>
      <c r="D54" s="14" t="s">
        <v>8</v>
      </c>
      <c r="E54" s="14" t="s">
        <v>73</v>
      </c>
      <c r="F54" s="14" t="s">
        <v>247</v>
      </c>
      <c r="G54" s="14">
        <f>COUNTIF(Stakeholders!$E$2:$E960,F54)</f>
        <v>1</v>
      </c>
      <c r="H54" s="39" t="s">
        <v>837</v>
      </c>
      <c r="I54" s="67" t="s">
        <v>838</v>
      </c>
      <c r="J54" s="20" t="s">
        <v>67</v>
      </c>
      <c r="K54" s="83" t="s">
        <v>94</v>
      </c>
      <c r="L54" s="14"/>
      <c r="M54" s="14"/>
      <c r="N54" s="14"/>
      <c r="O54" s="14"/>
      <c r="P54" s="14"/>
      <c r="Q54" s="14"/>
      <c r="R54" s="14"/>
      <c r="S54" s="14"/>
      <c r="T54" s="14"/>
      <c r="U54" s="14"/>
      <c r="V54" s="14"/>
      <c r="W54" s="83" t="s">
        <v>67</v>
      </c>
      <c r="X54" s="14"/>
      <c r="Y54" s="14"/>
      <c r="Z54" s="14"/>
      <c r="AA54" s="24"/>
      <c r="AB54" s="14" t="s">
        <v>688</v>
      </c>
      <c r="AC54" s="14" t="s">
        <v>689</v>
      </c>
      <c r="AD54" s="24">
        <v>53</v>
      </c>
      <c r="AE54" s="24">
        <f>VLOOKUP(F54,Stakeholders!E:K,7,0)</f>
        <v>30</v>
      </c>
      <c r="AF54" s="24" t="e">
        <f>VLOOKUP(B54&amp;D54,Areas!$D:$E,2,FALSE)</f>
        <v>#N/A</v>
      </c>
      <c r="AG54" s="14"/>
      <c r="AH54" s="24" t="s">
        <v>82</v>
      </c>
      <c r="AI54" s="24">
        <f>COUNTIF(Stakeholders!$E$2:$E$114,F54)</f>
        <v>1</v>
      </c>
      <c r="AJ54" s="14"/>
      <c r="AK54" s="14"/>
      <c r="AL54" s="14"/>
      <c r="AM54" s="14"/>
      <c r="AN54" s="14"/>
      <c r="AO54" s="14"/>
      <c r="AP54" s="14"/>
      <c r="AQ54" s="14"/>
      <c r="AR54" s="14"/>
      <c r="AS54" s="14"/>
      <c r="AT54" s="14"/>
      <c r="AU54" s="14"/>
      <c r="AV54" s="14"/>
      <c r="AW54" s="14"/>
    </row>
    <row r="55" spans="1:49" ht="15.75" customHeight="1">
      <c r="A55" s="29">
        <v>2020</v>
      </c>
      <c r="B55" s="29" t="s">
        <v>58</v>
      </c>
      <c r="C55" s="29" t="s">
        <v>224</v>
      </c>
      <c r="D55" s="29" t="s">
        <v>8</v>
      </c>
      <c r="E55" s="29" t="s">
        <v>95</v>
      </c>
      <c r="F55" s="29" t="s">
        <v>98</v>
      </c>
      <c r="G55" s="29">
        <f>COUNTIF(Stakeholders!$E$2:$E960,F55)</f>
        <v>1</v>
      </c>
      <c r="H55" s="37" t="s">
        <v>845</v>
      </c>
      <c r="I55" s="66" t="s">
        <v>846</v>
      </c>
      <c r="J55" s="33" t="s">
        <v>67</v>
      </c>
      <c r="K55" s="82" t="s">
        <v>94</v>
      </c>
      <c r="L55" s="29"/>
      <c r="M55" s="29"/>
      <c r="N55" s="29"/>
      <c r="O55" s="29"/>
      <c r="P55" s="29"/>
      <c r="Q55" s="29"/>
      <c r="R55" s="29"/>
      <c r="S55" s="29"/>
      <c r="T55" s="29"/>
      <c r="U55" s="29"/>
      <c r="V55" s="29"/>
      <c r="W55" s="82" t="s">
        <v>67</v>
      </c>
      <c r="X55" s="29"/>
      <c r="Y55" s="29"/>
      <c r="Z55" s="29"/>
      <c r="AA55" s="84" t="s">
        <v>849</v>
      </c>
      <c r="AB55" s="29" t="s">
        <v>688</v>
      </c>
      <c r="AC55" s="29" t="s">
        <v>689</v>
      </c>
      <c r="AD55" s="34">
        <v>54</v>
      </c>
      <c r="AE55" s="34">
        <f>VLOOKUP(F55,Stakeholders!E:K,7,0)</f>
        <v>4</v>
      </c>
      <c r="AF55" s="34" t="e">
        <f>VLOOKUP(B55&amp;D55,Areas!$D:$E,2,FALSE)</f>
        <v>#N/A</v>
      </c>
      <c r="AG55" s="29"/>
      <c r="AH55" s="34" t="s">
        <v>82</v>
      </c>
      <c r="AI55" s="34">
        <f>COUNTIF(Stakeholders!$E$2:$E$114,F55)</f>
        <v>1</v>
      </c>
      <c r="AJ55" s="29"/>
      <c r="AK55" s="29"/>
      <c r="AL55" s="29"/>
      <c r="AM55" s="29"/>
      <c r="AN55" s="29"/>
      <c r="AO55" s="29"/>
      <c r="AP55" s="29"/>
      <c r="AQ55" s="29"/>
      <c r="AR55" s="29"/>
      <c r="AS55" s="29"/>
      <c r="AT55" s="29"/>
      <c r="AU55" s="29"/>
      <c r="AV55" s="29"/>
      <c r="AW55" s="29"/>
    </row>
    <row r="56" spans="1:49" ht="15.75" customHeight="1">
      <c r="A56" s="14">
        <v>2020</v>
      </c>
      <c r="B56" s="14" t="s">
        <v>56</v>
      </c>
      <c r="C56" s="15" t="s">
        <v>854</v>
      </c>
      <c r="D56" s="14" t="s">
        <v>85</v>
      </c>
      <c r="E56" s="14" t="s">
        <v>107</v>
      </c>
      <c r="F56" s="14" t="s">
        <v>107</v>
      </c>
      <c r="G56" s="14">
        <f>COUNTIF(Stakeholders!$E$2:$E960,F56)</f>
        <v>1</v>
      </c>
      <c r="H56" s="39" t="s">
        <v>856</v>
      </c>
      <c r="I56" s="67" t="s">
        <v>857</v>
      </c>
      <c r="J56" s="20" t="s">
        <v>67</v>
      </c>
      <c r="K56" s="20" t="s">
        <v>67</v>
      </c>
      <c r="L56" s="14"/>
      <c r="M56" s="14"/>
      <c r="N56" s="14"/>
      <c r="O56" s="14"/>
      <c r="P56" s="14"/>
      <c r="Q56" s="14"/>
      <c r="R56" s="14"/>
      <c r="S56" s="14"/>
      <c r="T56" s="14"/>
      <c r="U56" s="14"/>
      <c r="V56" s="14"/>
      <c r="W56" s="20" t="s">
        <v>67</v>
      </c>
      <c r="X56" s="14"/>
      <c r="Y56" s="14"/>
      <c r="Z56" s="14"/>
      <c r="AA56" s="24" t="s">
        <v>862</v>
      </c>
      <c r="AB56" s="14" t="s">
        <v>688</v>
      </c>
      <c r="AC56" s="14" t="s">
        <v>689</v>
      </c>
      <c r="AD56" s="24">
        <v>55</v>
      </c>
      <c r="AE56" s="24">
        <f>VLOOKUP(F56,Stakeholders!E:K,7,0)</f>
        <v>5</v>
      </c>
      <c r="AF56" s="24" t="e">
        <f>VLOOKUP(B56&amp;D56,Areas!$D:$E,2,FALSE)</f>
        <v>#N/A</v>
      </c>
      <c r="AG56" s="14"/>
      <c r="AH56" s="24" t="s">
        <v>82</v>
      </c>
      <c r="AI56" s="24">
        <f>COUNTIF(Stakeholders!$E$2:$E$114,F56)</f>
        <v>1</v>
      </c>
      <c r="AJ56" s="14"/>
      <c r="AK56" s="14"/>
      <c r="AL56" s="14"/>
      <c r="AM56" s="14"/>
      <c r="AN56" s="14"/>
      <c r="AO56" s="14"/>
      <c r="AP56" s="14"/>
      <c r="AQ56" s="14"/>
      <c r="AR56" s="14"/>
      <c r="AS56" s="14"/>
      <c r="AT56" s="14"/>
      <c r="AU56" s="14"/>
      <c r="AV56" s="14"/>
      <c r="AW56" s="14"/>
    </row>
    <row r="57" spans="1:49" ht="15.75" customHeight="1">
      <c r="A57" s="29">
        <v>2020</v>
      </c>
      <c r="B57" s="29" t="s">
        <v>56</v>
      </c>
      <c r="C57" s="30" t="s">
        <v>854</v>
      </c>
      <c r="D57" s="29" t="s">
        <v>85</v>
      </c>
      <c r="E57" s="29" t="s">
        <v>107</v>
      </c>
      <c r="F57" s="29" t="s">
        <v>107</v>
      </c>
      <c r="G57" s="29">
        <f>COUNTIF(Stakeholders!$E$2:$E960,F57)</f>
        <v>1</v>
      </c>
      <c r="H57" s="37" t="s">
        <v>866</v>
      </c>
      <c r="I57" s="66" t="s">
        <v>867</v>
      </c>
      <c r="J57" s="33" t="s">
        <v>67</v>
      </c>
      <c r="K57" s="33" t="s">
        <v>67</v>
      </c>
      <c r="L57" s="29"/>
      <c r="M57" s="29"/>
      <c r="N57" s="29"/>
      <c r="O57" s="29"/>
      <c r="P57" s="29"/>
      <c r="Q57" s="29"/>
      <c r="R57" s="29"/>
      <c r="S57" s="29"/>
      <c r="T57" s="29"/>
      <c r="U57" s="29"/>
      <c r="V57" s="29"/>
      <c r="W57" s="33" t="s">
        <v>94</v>
      </c>
      <c r="X57" s="29"/>
      <c r="Y57" s="29"/>
      <c r="Z57" s="29"/>
      <c r="AA57" s="34" t="s">
        <v>862</v>
      </c>
      <c r="AB57" s="29" t="s">
        <v>688</v>
      </c>
      <c r="AC57" s="29" t="s">
        <v>689</v>
      </c>
      <c r="AD57" s="34">
        <v>56</v>
      </c>
      <c r="AE57" s="34">
        <f>VLOOKUP(F57,Stakeholders!E:K,7,0)</f>
        <v>5</v>
      </c>
      <c r="AF57" s="34" t="e">
        <f>VLOOKUP(B57&amp;D57,Areas!$D:$E,2,FALSE)</f>
        <v>#N/A</v>
      </c>
      <c r="AG57" s="29"/>
      <c r="AH57" s="34" t="s">
        <v>82</v>
      </c>
      <c r="AI57" s="34">
        <f>COUNTIF(Stakeholders!$E$2:$E$114,F57)</f>
        <v>1</v>
      </c>
      <c r="AJ57" s="29"/>
      <c r="AK57" s="29"/>
      <c r="AL57" s="29"/>
      <c r="AM57" s="29"/>
      <c r="AN57" s="29"/>
      <c r="AO57" s="29"/>
      <c r="AP57" s="29"/>
      <c r="AQ57" s="29"/>
      <c r="AR57" s="29"/>
      <c r="AS57" s="29"/>
      <c r="AT57" s="29"/>
      <c r="AU57" s="29"/>
      <c r="AV57" s="29"/>
      <c r="AW57" s="29"/>
    </row>
    <row r="58" spans="1:49" ht="15.75" customHeight="1">
      <c r="A58" s="14">
        <v>2020</v>
      </c>
      <c r="B58" s="14" t="s">
        <v>56</v>
      </c>
      <c r="C58" s="15" t="s">
        <v>854</v>
      </c>
      <c r="D58" s="14" t="s">
        <v>85</v>
      </c>
      <c r="E58" s="14" t="s">
        <v>107</v>
      </c>
      <c r="F58" s="14" t="s">
        <v>107</v>
      </c>
      <c r="G58" s="14">
        <f>COUNTIF(Stakeholders!$E$2:$E960,F58)</f>
        <v>1</v>
      </c>
      <c r="H58" s="39" t="s">
        <v>875</v>
      </c>
      <c r="I58" s="67" t="s">
        <v>876</v>
      </c>
      <c r="J58" s="20" t="s">
        <v>67</v>
      </c>
      <c r="K58" s="83" t="s">
        <v>67</v>
      </c>
      <c r="L58" s="14"/>
      <c r="M58" s="14"/>
      <c r="N58" s="14"/>
      <c r="O58" s="14"/>
      <c r="P58" s="14"/>
      <c r="Q58" s="14"/>
      <c r="R58" s="14"/>
      <c r="S58" s="14"/>
      <c r="T58" s="14"/>
      <c r="U58" s="14"/>
      <c r="V58" s="14"/>
      <c r="W58" s="83" t="s">
        <v>94</v>
      </c>
      <c r="X58" s="14"/>
      <c r="Y58" s="14"/>
      <c r="Z58" s="14"/>
      <c r="AA58" s="24" t="s">
        <v>862</v>
      </c>
      <c r="AB58" s="14" t="s">
        <v>688</v>
      </c>
      <c r="AC58" s="14" t="s">
        <v>689</v>
      </c>
      <c r="AD58" s="24">
        <v>57</v>
      </c>
      <c r="AE58" s="24">
        <f>VLOOKUP(F58,Stakeholders!E:K,7,0)</f>
        <v>5</v>
      </c>
      <c r="AF58" s="24" t="e">
        <f>VLOOKUP(B58&amp;D58,Areas!$D:$E,2,FALSE)</f>
        <v>#N/A</v>
      </c>
      <c r="AG58" s="14"/>
      <c r="AH58" s="24" t="s">
        <v>82</v>
      </c>
      <c r="AI58" s="24">
        <f>COUNTIF(Stakeholders!$E$2:$E$114,F58)</f>
        <v>1</v>
      </c>
      <c r="AJ58" s="14"/>
      <c r="AK58" s="14"/>
      <c r="AL58" s="14"/>
      <c r="AM58" s="14"/>
      <c r="AN58" s="14"/>
      <c r="AO58" s="14"/>
      <c r="AP58" s="14"/>
      <c r="AQ58" s="14"/>
      <c r="AR58" s="14"/>
      <c r="AS58" s="14"/>
      <c r="AT58" s="14"/>
      <c r="AU58" s="14"/>
      <c r="AV58" s="14"/>
      <c r="AW58" s="14"/>
    </row>
    <row r="59" spans="1:49" ht="15.75" customHeight="1">
      <c r="A59" s="29">
        <v>2020</v>
      </c>
      <c r="B59" s="29" t="s">
        <v>56</v>
      </c>
      <c r="C59" s="30" t="s">
        <v>854</v>
      </c>
      <c r="D59" s="29" t="s">
        <v>85</v>
      </c>
      <c r="E59" s="29" t="s">
        <v>107</v>
      </c>
      <c r="F59" s="29" t="s">
        <v>107</v>
      </c>
      <c r="G59" s="29">
        <f>COUNTIF(Stakeholders!$E$2:$E960,F59)</f>
        <v>1</v>
      </c>
      <c r="H59" s="37" t="s">
        <v>882</v>
      </c>
      <c r="I59" s="66" t="s">
        <v>883</v>
      </c>
      <c r="J59" s="33" t="s">
        <v>67</v>
      </c>
      <c r="K59" s="82" t="s">
        <v>67</v>
      </c>
      <c r="L59" s="29"/>
      <c r="M59" s="29"/>
      <c r="N59" s="29"/>
      <c r="O59" s="29"/>
      <c r="P59" s="29"/>
      <c r="Q59" s="29"/>
      <c r="R59" s="29"/>
      <c r="S59" s="29"/>
      <c r="T59" s="29"/>
      <c r="U59" s="29"/>
      <c r="V59" s="29"/>
      <c r="W59" s="82" t="s">
        <v>94</v>
      </c>
      <c r="X59" s="29"/>
      <c r="Y59" s="29"/>
      <c r="Z59" s="29"/>
      <c r="AA59" s="34" t="s">
        <v>862</v>
      </c>
      <c r="AB59" s="29" t="s">
        <v>688</v>
      </c>
      <c r="AC59" s="29" t="s">
        <v>689</v>
      </c>
      <c r="AD59" s="34">
        <v>58</v>
      </c>
      <c r="AE59" s="34">
        <f>VLOOKUP(F59,Stakeholders!E:K,7,0)</f>
        <v>5</v>
      </c>
      <c r="AF59" s="34" t="e">
        <f>VLOOKUP(B59&amp;D59,Areas!$D:$E,2,FALSE)</f>
        <v>#N/A</v>
      </c>
      <c r="AG59" s="29"/>
      <c r="AH59" s="34" t="s">
        <v>82</v>
      </c>
      <c r="AI59" s="34">
        <f>COUNTIF(Stakeholders!$E$2:$E$114,F59)</f>
        <v>1</v>
      </c>
      <c r="AJ59" s="29"/>
      <c r="AK59" s="29"/>
      <c r="AL59" s="29"/>
      <c r="AM59" s="29"/>
      <c r="AN59" s="29"/>
      <c r="AO59" s="29"/>
      <c r="AP59" s="29"/>
      <c r="AQ59" s="29"/>
      <c r="AR59" s="29"/>
      <c r="AS59" s="29"/>
      <c r="AT59" s="29"/>
      <c r="AU59" s="29"/>
      <c r="AV59" s="29"/>
      <c r="AW59" s="29"/>
    </row>
    <row r="60" spans="1:49" ht="15.75" customHeight="1">
      <c r="A60" s="14">
        <v>2020</v>
      </c>
      <c r="B60" s="14" t="s">
        <v>56</v>
      </c>
      <c r="C60" s="15" t="s">
        <v>854</v>
      </c>
      <c r="D60" s="14" t="s">
        <v>85</v>
      </c>
      <c r="E60" s="14" t="s">
        <v>107</v>
      </c>
      <c r="F60" s="14" t="s">
        <v>107</v>
      </c>
      <c r="G60" s="14">
        <f>COUNTIF(Stakeholders!$E$2:$E960,F60)</f>
        <v>1</v>
      </c>
      <c r="H60" s="39" t="s">
        <v>889</v>
      </c>
      <c r="I60" s="67" t="s">
        <v>891</v>
      </c>
      <c r="J60" s="20" t="s">
        <v>67</v>
      </c>
      <c r="K60" s="83" t="s">
        <v>67</v>
      </c>
      <c r="L60" s="14"/>
      <c r="M60" s="14"/>
      <c r="N60" s="14"/>
      <c r="O60" s="14"/>
      <c r="P60" s="14"/>
      <c r="Q60" s="14"/>
      <c r="R60" s="14"/>
      <c r="S60" s="14"/>
      <c r="T60" s="14"/>
      <c r="U60" s="14"/>
      <c r="V60" s="14"/>
      <c r="W60" s="83" t="s">
        <v>94</v>
      </c>
      <c r="X60" s="14"/>
      <c r="Y60" s="14"/>
      <c r="Z60" s="14"/>
      <c r="AA60" s="24" t="s">
        <v>862</v>
      </c>
      <c r="AB60" s="14" t="s">
        <v>688</v>
      </c>
      <c r="AC60" s="14" t="s">
        <v>689</v>
      </c>
      <c r="AD60" s="24">
        <v>59</v>
      </c>
      <c r="AE60" s="24">
        <f>VLOOKUP(F60,Stakeholders!E:K,7,0)</f>
        <v>5</v>
      </c>
      <c r="AF60" s="24" t="e">
        <f>VLOOKUP(B60&amp;D60,Areas!$D:$E,2,FALSE)</f>
        <v>#N/A</v>
      </c>
      <c r="AG60" s="14"/>
      <c r="AH60" s="24" t="s">
        <v>82</v>
      </c>
      <c r="AI60" s="24">
        <f>COUNTIF(Stakeholders!$E$2:$E$114,F60)</f>
        <v>1</v>
      </c>
      <c r="AJ60" s="14"/>
      <c r="AK60" s="14"/>
      <c r="AL60" s="14"/>
      <c r="AM60" s="14"/>
      <c r="AN60" s="14"/>
      <c r="AO60" s="14"/>
      <c r="AP60" s="14"/>
      <c r="AQ60" s="14"/>
      <c r="AR60" s="14"/>
      <c r="AS60" s="14"/>
      <c r="AT60" s="14"/>
      <c r="AU60" s="14"/>
      <c r="AV60" s="14"/>
      <c r="AW60" s="14"/>
    </row>
    <row r="61" spans="1:49" ht="15.75" customHeight="1">
      <c r="A61" s="29">
        <v>2019</v>
      </c>
      <c r="B61" s="29" t="s">
        <v>58</v>
      </c>
      <c r="C61" s="29" t="s">
        <v>224</v>
      </c>
      <c r="D61" s="29" t="s">
        <v>8</v>
      </c>
      <c r="E61" s="29" t="s">
        <v>404</v>
      </c>
      <c r="F61" s="29" t="s">
        <v>801</v>
      </c>
      <c r="G61" s="29">
        <f>COUNTIF(Stakeholders!$E$2:$E960,F61)</f>
        <v>1</v>
      </c>
      <c r="H61" s="37" t="s">
        <v>896</v>
      </c>
      <c r="I61" s="66" t="s">
        <v>897</v>
      </c>
      <c r="J61" s="33" t="s">
        <v>67</v>
      </c>
      <c r="K61" s="82" t="s">
        <v>94</v>
      </c>
      <c r="L61" s="29"/>
      <c r="M61" s="29"/>
      <c r="N61" s="29"/>
      <c r="O61" s="29"/>
      <c r="P61" s="29"/>
      <c r="Q61" s="29"/>
      <c r="R61" s="29"/>
      <c r="S61" s="29"/>
      <c r="T61" s="29"/>
      <c r="U61" s="29"/>
      <c r="V61" s="29"/>
      <c r="W61" s="82" t="s">
        <v>67</v>
      </c>
      <c r="X61" s="29"/>
      <c r="Y61" s="29"/>
      <c r="Z61" s="29"/>
      <c r="AA61" s="34"/>
      <c r="AB61" s="29" t="s">
        <v>688</v>
      </c>
      <c r="AC61" s="29" t="s">
        <v>689</v>
      </c>
      <c r="AD61" s="34">
        <v>60</v>
      </c>
      <c r="AE61" s="34">
        <f>VLOOKUP(F61,Stakeholders!E:K,7,0)</f>
        <v>88</v>
      </c>
      <c r="AF61" s="34" t="e">
        <f>VLOOKUP(B61&amp;D61,Areas!$D:$E,2,FALSE)</f>
        <v>#N/A</v>
      </c>
      <c r="AG61" s="29"/>
      <c r="AH61" s="34" t="s">
        <v>82</v>
      </c>
      <c r="AI61" s="34">
        <f>COUNTIF(Stakeholders!$E$2:$E$114,F61)</f>
        <v>1</v>
      </c>
      <c r="AJ61" s="29"/>
      <c r="AK61" s="29"/>
      <c r="AL61" s="29"/>
      <c r="AM61" s="29"/>
      <c r="AN61" s="29"/>
      <c r="AO61" s="29"/>
      <c r="AP61" s="29"/>
      <c r="AQ61" s="29"/>
      <c r="AR61" s="29"/>
      <c r="AS61" s="29"/>
      <c r="AT61" s="29"/>
      <c r="AU61" s="29"/>
      <c r="AV61" s="29"/>
      <c r="AW61" s="29"/>
    </row>
    <row r="62" spans="1:49" ht="15.75" customHeight="1">
      <c r="A62" s="14">
        <v>2019</v>
      </c>
      <c r="B62" s="14" t="s">
        <v>58</v>
      </c>
      <c r="C62" s="14" t="s">
        <v>224</v>
      </c>
      <c r="D62" s="14" t="s">
        <v>8</v>
      </c>
      <c r="E62" s="14" t="s">
        <v>404</v>
      </c>
      <c r="F62" s="39" t="s">
        <v>801</v>
      </c>
      <c r="G62" s="14">
        <f>COUNTIF(Stakeholders!$E$2:$E960,F62)</f>
        <v>1</v>
      </c>
      <c r="H62" s="39" t="s">
        <v>903</v>
      </c>
      <c r="I62" s="67" t="s">
        <v>904</v>
      </c>
      <c r="J62" s="20" t="s">
        <v>67</v>
      </c>
      <c r="K62" s="83" t="s">
        <v>94</v>
      </c>
      <c r="L62" s="14"/>
      <c r="M62" s="14"/>
      <c r="N62" s="14"/>
      <c r="O62" s="14"/>
      <c r="P62" s="14"/>
      <c r="Q62" s="14"/>
      <c r="R62" s="14"/>
      <c r="S62" s="14"/>
      <c r="T62" s="14"/>
      <c r="U62" s="14"/>
      <c r="V62" s="14"/>
      <c r="W62" s="83" t="s">
        <v>67</v>
      </c>
      <c r="X62" s="14"/>
      <c r="Y62" s="14"/>
      <c r="Z62" s="14"/>
      <c r="AA62" s="24"/>
      <c r="AB62" s="14" t="s">
        <v>688</v>
      </c>
      <c r="AC62" s="14" t="s">
        <v>689</v>
      </c>
      <c r="AD62" s="24">
        <v>61</v>
      </c>
      <c r="AE62" s="24">
        <f>VLOOKUP(F62,Stakeholders!E:K,7,0)</f>
        <v>88</v>
      </c>
      <c r="AF62" s="24" t="e">
        <f>VLOOKUP(B62&amp;D62,Areas!$D:$E,2,FALSE)</f>
        <v>#N/A</v>
      </c>
      <c r="AG62" s="14"/>
      <c r="AH62" s="24" t="s">
        <v>82</v>
      </c>
      <c r="AI62" s="24">
        <f>COUNTIF(Stakeholders!$E$2:$E$114,F62)</f>
        <v>1</v>
      </c>
      <c r="AJ62" s="14"/>
      <c r="AK62" s="14"/>
      <c r="AL62" s="14"/>
      <c r="AM62" s="14"/>
      <c r="AN62" s="14"/>
      <c r="AO62" s="14"/>
      <c r="AP62" s="14"/>
      <c r="AQ62" s="14"/>
      <c r="AR62" s="14"/>
      <c r="AS62" s="14"/>
      <c r="AT62" s="14"/>
      <c r="AU62" s="14"/>
      <c r="AV62" s="14"/>
      <c r="AW62" s="14"/>
    </row>
    <row r="63" spans="1:49" ht="15.75" customHeight="1">
      <c r="A63" s="29">
        <v>2019</v>
      </c>
      <c r="B63" s="29" t="s">
        <v>58</v>
      </c>
      <c r="C63" s="29" t="s">
        <v>224</v>
      </c>
      <c r="D63" s="29" t="s">
        <v>8</v>
      </c>
      <c r="E63" s="29" t="s">
        <v>404</v>
      </c>
      <c r="F63" s="37" t="s">
        <v>801</v>
      </c>
      <c r="G63" s="29">
        <f>COUNTIF(Stakeholders!$E$2:$E960,F63)</f>
        <v>1</v>
      </c>
      <c r="H63" s="37" t="s">
        <v>910</v>
      </c>
      <c r="I63" s="66" t="s">
        <v>911</v>
      </c>
      <c r="J63" s="33" t="s">
        <v>67</v>
      </c>
      <c r="K63" s="82" t="s">
        <v>94</v>
      </c>
      <c r="L63" s="29"/>
      <c r="M63" s="29"/>
      <c r="N63" s="29"/>
      <c r="O63" s="29"/>
      <c r="P63" s="29"/>
      <c r="Q63" s="29"/>
      <c r="R63" s="29"/>
      <c r="S63" s="29"/>
      <c r="T63" s="29"/>
      <c r="U63" s="29"/>
      <c r="V63" s="29"/>
      <c r="W63" s="82" t="s">
        <v>67</v>
      </c>
      <c r="X63" s="29"/>
      <c r="Y63" s="29"/>
      <c r="Z63" s="29"/>
      <c r="AA63" s="34"/>
      <c r="AB63" s="29" t="s">
        <v>688</v>
      </c>
      <c r="AC63" s="29" t="s">
        <v>689</v>
      </c>
      <c r="AD63" s="34">
        <v>62</v>
      </c>
      <c r="AE63" s="34">
        <f>VLOOKUP(F63,Stakeholders!E:K,7,0)</f>
        <v>88</v>
      </c>
      <c r="AF63" s="34" t="e">
        <f>VLOOKUP(B63&amp;D63,Areas!$D:$E,2,FALSE)</f>
        <v>#N/A</v>
      </c>
      <c r="AG63" s="29"/>
      <c r="AH63" s="34" t="s">
        <v>82</v>
      </c>
      <c r="AI63" s="34">
        <f>COUNTIF(Stakeholders!$E$2:$E$114,F63)</f>
        <v>1</v>
      </c>
      <c r="AJ63" s="29"/>
      <c r="AK63" s="29"/>
      <c r="AL63" s="29"/>
      <c r="AM63" s="29"/>
      <c r="AN63" s="29"/>
      <c r="AO63" s="29"/>
      <c r="AP63" s="29"/>
      <c r="AQ63" s="29"/>
      <c r="AR63" s="29"/>
      <c r="AS63" s="29"/>
      <c r="AT63" s="29"/>
      <c r="AU63" s="29"/>
      <c r="AV63" s="29"/>
      <c r="AW63" s="29"/>
    </row>
    <row r="64" spans="1:49" ht="15.75" customHeight="1">
      <c r="A64" s="14">
        <v>2019</v>
      </c>
      <c r="B64" s="14" t="s">
        <v>58</v>
      </c>
      <c r="C64" s="14" t="s">
        <v>224</v>
      </c>
      <c r="D64" s="14" t="s">
        <v>8</v>
      </c>
      <c r="E64" s="14" t="s">
        <v>404</v>
      </c>
      <c r="F64" s="39" t="s">
        <v>801</v>
      </c>
      <c r="G64" s="14">
        <f>COUNTIF(Stakeholders!$E$2:$E960,F64)</f>
        <v>1</v>
      </c>
      <c r="H64" s="39" t="s">
        <v>915</v>
      </c>
      <c r="I64" s="67" t="s">
        <v>916</v>
      </c>
      <c r="J64" s="20" t="s">
        <v>67</v>
      </c>
      <c r="K64" s="83" t="s">
        <v>94</v>
      </c>
      <c r="L64" s="14"/>
      <c r="M64" s="14"/>
      <c r="N64" s="14"/>
      <c r="O64" s="14"/>
      <c r="P64" s="14"/>
      <c r="Q64" s="14"/>
      <c r="R64" s="14"/>
      <c r="S64" s="14"/>
      <c r="T64" s="14"/>
      <c r="U64" s="14"/>
      <c r="V64" s="14"/>
      <c r="W64" s="83" t="s">
        <v>67</v>
      </c>
      <c r="X64" s="14"/>
      <c r="Y64" s="14"/>
      <c r="Z64" s="14"/>
      <c r="AA64" s="24"/>
      <c r="AB64" s="14" t="s">
        <v>688</v>
      </c>
      <c r="AC64" s="14" t="s">
        <v>689</v>
      </c>
      <c r="AD64" s="24">
        <v>63</v>
      </c>
      <c r="AE64" s="24">
        <f>VLOOKUP(F64,Stakeholders!E:K,7,0)</f>
        <v>88</v>
      </c>
      <c r="AF64" s="24" t="e">
        <f>VLOOKUP(B64&amp;D64,Areas!$D:$E,2,FALSE)</f>
        <v>#N/A</v>
      </c>
      <c r="AG64" s="14"/>
      <c r="AH64" s="24" t="s">
        <v>82</v>
      </c>
      <c r="AI64" s="24">
        <f>COUNTIF(Stakeholders!$E$2:$E$114,F64)</f>
        <v>1</v>
      </c>
      <c r="AJ64" s="14"/>
      <c r="AK64" s="14"/>
      <c r="AL64" s="14"/>
      <c r="AM64" s="14"/>
      <c r="AN64" s="14"/>
      <c r="AO64" s="14"/>
      <c r="AP64" s="14"/>
      <c r="AQ64" s="14"/>
      <c r="AR64" s="14"/>
      <c r="AS64" s="14"/>
      <c r="AT64" s="14"/>
      <c r="AU64" s="14"/>
      <c r="AV64" s="14"/>
      <c r="AW64" s="14"/>
    </row>
    <row r="65" spans="1:49" ht="15.75" customHeight="1">
      <c r="A65" s="29">
        <v>2019</v>
      </c>
      <c r="B65" s="29" t="s">
        <v>58</v>
      </c>
      <c r="C65" s="29" t="s">
        <v>224</v>
      </c>
      <c r="D65" s="29" t="s">
        <v>8</v>
      </c>
      <c r="E65" s="29" t="s">
        <v>404</v>
      </c>
      <c r="F65" s="37" t="s">
        <v>801</v>
      </c>
      <c r="G65" s="29">
        <f>COUNTIF(Stakeholders!$E$2:$E960,F65)</f>
        <v>1</v>
      </c>
      <c r="H65" s="37" t="s">
        <v>922</v>
      </c>
      <c r="I65" s="66" t="s">
        <v>923</v>
      </c>
      <c r="J65" s="33" t="s">
        <v>67</v>
      </c>
      <c r="K65" s="82" t="s">
        <v>94</v>
      </c>
      <c r="L65" s="29"/>
      <c r="M65" s="29"/>
      <c r="N65" s="29"/>
      <c r="O65" s="29"/>
      <c r="P65" s="29"/>
      <c r="Q65" s="29"/>
      <c r="R65" s="29"/>
      <c r="S65" s="29"/>
      <c r="T65" s="29"/>
      <c r="U65" s="29"/>
      <c r="V65" s="29"/>
      <c r="W65" s="82" t="s">
        <v>67</v>
      </c>
      <c r="X65" s="29"/>
      <c r="Y65" s="29"/>
      <c r="Z65" s="29"/>
      <c r="AA65" s="34"/>
      <c r="AB65" s="29" t="s">
        <v>688</v>
      </c>
      <c r="AC65" s="29" t="s">
        <v>689</v>
      </c>
      <c r="AD65" s="34">
        <v>64</v>
      </c>
      <c r="AE65" s="34">
        <f>VLOOKUP(F65,Stakeholders!E:K,7,0)</f>
        <v>88</v>
      </c>
      <c r="AF65" s="34" t="e">
        <f>VLOOKUP(B65&amp;D65,Areas!$D:$E,2,FALSE)</f>
        <v>#N/A</v>
      </c>
      <c r="AG65" s="29"/>
      <c r="AH65" s="34" t="s">
        <v>82</v>
      </c>
      <c r="AI65" s="34">
        <f>COUNTIF(Stakeholders!$E$2:$E$114,F65)</f>
        <v>1</v>
      </c>
      <c r="AJ65" s="29"/>
      <c r="AK65" s="29"/>
      <c r="AL65" s="29"/>
      <c r="AM65" s="29"/>
      <c r="AN65" s="29"/>
      <c r="AO65" s="29"/>
      <c r="AP65" s="29"/>
      <c r="AQ65" s="29"/>
      <c r="AR65" s="29"/>
      <c r="AS65" s="29"/>
      <c r="AT65" s="29"/>
      <c r="AU65" s="29"/>
      <c r="AV65" s="29"/>
      <c r="AW65" s="29"/>
    </row>
    <row r="66" spans="1:49" ht="15.75" customHeight="1">
      <c r="A66" s="14">
        <v>2019</v>
      </c>
      <c r="B66" s="12" t="s">
        <v>64</v>
      </c>
      <c r="C66" s="80" t="s">
        <v>73</v>
      </c>
      <c r="D66" s="14" t="s">
        <v>8</v>
      </c>
      <c r="E66" s="14" t="s">
        <v>73</v>
      </c>
      <c r="F66" s="39" t="s">
        <v>125</v>
      </c>
      <c r="G66" s="14">
        <f>COUNTIF(Stakeholders!$E$2:$E960,F66)</f>
        <v>1</v>
      </c>
      <c r="H66" s="39" t="s">
        <v>932</v>
      </c>
      <c r="I66" s="67" t="s">
        <v>933</v>
      </c>
      <c r="J66" s="20" t="s">
        <v>67</v>
      </c>
      <c r="K66" s="83" t="s">
        <v>94</v>
      </c>
      <c r="L66" s="14"/>
      <c r="M66" s="14"/>
      <c r="N66" s="14"/>
      <c r="O66" s="14"/>
      <c r="P66" s="14"/>
      <c r="Q66" s="14"/>
      <c r="R66" s="14"/>
      <c r="S66" s="14"/>
      <c r="T66" s="14"/>
      <c r="U66" s="14"/>
      <c r="V66" s="14"/>
      <c r="W66" s="83" t="s">
        <v>67</v>
      </c>
      <c r="X66" s="14"/>
      <c r="Y66" s="14"/>
      <c r="Z66" s="14"/>
      <c r="AA66" s="24"/>
      <c r="AB66" s="14" t="s">
        <v>688</v>
      </c>
      <c r="AC66" s="14" t="s">
        <v>689</v>
      </c>
      <c r="AD66" s="24">
        <v>65</v>
      </c>
      <c r="AE66" s="24">
        <f>VLOOKUP(F66,Stakeholders!E:K,7,0)</f>
        <v>20</v>
      </c>
      <c r="AF66" s="24" t="e">
        <f>VLOOKUP(B66&amp;D66,Areas!$D:$E,2,FALSE)</f>
        <v>#N/A</v>
      </c>
      <c r="AG66" s="14"/>
      <c r="AH66" s="24" t="s">
        <v>82</v>
      </c>
      <c r="AI66" s="24">
        <f>COUNTIF(Stakeholders!$E$2:$E$114,F66)</f>
        <v>1</v>
      </c>
      <c r="AJ66" s="14"/>
      <c r="AK66" s="14"/>
      <c r="AL66" s="14"/>
      <c r="AM66" s="14"/>
      <c r="AN66" s="14"/>
      <c r="AO66" s="14"/>
      <c r="AP66" s="14"/>
      <c r="AQ66" s="14"/>
      <c r="AR66" s="14"/>
      <c r="AS66" s="14"/>
      <c r="AT66" s="14"/>
      <c r="AU66" s="14"/>
      <c r="AV66" s="14"/>
      <c r="AW66" s="14"/>
    </row>
    <row r="67" spans="1:49" ht="15.75" customHeight="1">
      <c r="A67" s="29">
        <v>2019</v>
      </c>
      <c r="B67" s="29" t="s">
        <v>8</v>
      </c>
      <c r="C67" s="29" t="s">
        <v>224</v>
      </c>
      <c r="D67" s="29" t="s">
        <v>192</v>
      </c>
      <c r="E67" s="29" t="s">
        <v>52</v>
      </c>
      <c r="F67" s="37" t="s">
        <v>59</v>
      </c>
      <c r="G67" s="29">
        <f>COUNTIF(Stakeholders!$E$2:$E960,F67)</f>
        <v>1</v>
      </c>
      <c r="H67" s="37" t="s">
        <v>939</v>
      </c>
      <c r="I67" s="32" t="s">
        <v>941</v>
      </c>
      <c r="J67" s="33" t="s">
        <v>67</v>
      </c>
      <c r="K67" s="82" t="s">
        <v>94</v>
      </c>
      <c r="L67" s="29"/>
      <c r="M67" s="29"/>
      <c r="N67" s="29"/>
      <c r="O67" s="29"/>
      <c r="P67" s="29"/>
      <c r="Q67" s="29"/>
      <c r="R67" s="29"/>
      <c r="S67" s="29"/>
      <c r="T67" s="29"/>
      <c r="U67" s="29"/>
      <c r="V67" s="29"/>
      <c r="W67" s="82" t="s">
        <v>67</v>
      </c>
      <c r="X67" s="29"/>
      <c r="Y67" s="29"/>
      <c r="Z67" s="29"/>
      <c r="AA67" s="34"/>
      <c r="AB67" s="29" t="s">
        <v>688</v>
      </c>
      <c r="AC67" s="29" t="s">
        <v>689</v>
      </c>
      <c r="AD67" s="34">
        <v>66</v>
      </c>
      <c r="AE67" s="34">
        <f>VLOOKUP(F67,Stakeholders!E:K,7,0)</f>
        <v>1</v>
      </c>
      <c r="AF67" s="34" t="e">
        <f>VLOOKUP(B67&amp;D67,Areas!$D:$E,2,FALSE)</f>
        <v>#N/A</v>
      </c>
      <c r="AG67" s="29"/>
      <c r="AH67" s="34" t="s">
        <v>82</v>
      </c>
      <c r="AI67" s="34">
        <f>COUNTIF(Stakeholders!$E$2:$E$114,F67)</f>
        <v>1</v>
      </c>
      <c r="AJ67" s="29"/>
      <c r="AK67" s="29"/>
      <c r="AL67" s="29"/>
      <c r="AM67" s="29"/>
      <c r="AN67" s="29"/>
      <c r="AO67" s="29"/>
      <c r="AP67" s="29"/>
      <c r="AQ67" s="29"/>
      <c r="AR67" s="29"/>
      <c r="AS67" s="29"/>
      <c r="AT67" s="29"/>
      <c r="AU67" s="29"/>
      <c r="AV67" s="29"/>
      <c r="AW67" s="29"/>
    </row>
    <row r="68" spans="1:49" ht="15.75" customHeight="1">
      <c r="A68" s="14">
        <v>2020</v>
      </c>
      <c r="B68" s="14" t="s">
        <v>8</v>
      </c>
      <c r="C68" s="14" t="s">
        <v>224</v>
      </c>
      <c r="D68" s="14" t="s">
        <v>192</v>
      </c>
      <c r="E68" s="14" t="s">
        <v>52</v>
      </c>
      <c r="F68" s="39" t="s">
        <v>59</v>
      </c>
      <c r="G68" s="14">
        <f>COUNTIF(Stakeholders!$E$2:$E960,F68)</f>
        <v>1</v>
      </c>
      <c r="H68" s="39" t="s">
        <v>949</v>
      </c>
      <c r="I68" s="19" t="s">
        <v>950</v>
      </c>
      <c r="J68" s="20" t="s">
        <v>94</v>
      </c>
      <c r="K68" s="83" t="s">
        <v>67</v>
      </c>
      <c r="L68" s="20"/>
      <c r="M68" s="20"/>
      <c r="N68" s="20"/>
      <c r="O68" s="20"/>
      <c r="P68" s="20"/>
      <c r="Q68" s="20"/>
      <c r="R68" s="20"/>
      <c r="S68" s="20"/>
      <c r="T68" s="20"/>
      <c r="U68" s="20"/>
      <c r="V68" s="14"/>
      <c r="W68" s="83" t="s">
        <v>94</v>
      </c>
      <c r="X68" s="14"/>
      <c r="Y68" s="14"/>
      <c r="Z68" s="14"/>
      <c r="AA68" s="24" t="s">
        <v>953</v>
      </c>
      <c r="AB68" s="14" t="s">
        <v>688</v>
      </c>
      <c r="AC68" s="14" t="s">
        <v>954</v>
      </c>
      <c r="AD68" s="24">
        <v>67</v>
      </c>
      <c r="AE68" s="24">
        <f>VLOOKUP(F68,Stakeholders!E:K,7,0)</f>
        <v>1</v>
      </c>
      <c r="AF68" s="24" t="e">
        <f>VLOOKUP(B68&amp;D68,Areas!$D:$E,2,FALSE)</f>
        <v>#N/A</v>
      </c>
      <c r="AG68" s="14"/>
      <c r="AH68" s="24" t="s">
        <v>82</v>
      </c>
      <c r="AI68" s="24">
        <f>COUNTIF(Stakeholders!$E$2:$E$114,F68)</f>
        <v>1</v>
      </c>
      <c r="AJ68" s="14"/>
      <c r="AK68" s="14"/>
      <c r="AL68" s="14"/>
      <c r="AM68" s="14"/>
      <c r="AN68" s="14"/>
      <c r="AO68" s="14"/>
      <c r="AP68" s="14"/>
      <c r="AQ68" s="14"/>
      <c r="AR68" s="14"/>
      <c r="AS68" s="14"/>
      <c r="AT68" s="14"/>
      <c r="AU68" s="14"/>
      <c r="AV68" s="14"/>
      <c r="AW68" s="14"/>
    </row>
    <row r="69" spans="1:49" ht="15.75" customHeight="1">
      <c r="A69" s="29">
        <v>2020</v>
      </c>
      <c r="B69" s="29" t="s">
        <v>8</v>
      </c>
      <c r="C69" s="65" t="s">
        <v>393</v>
      </c>
      <c r="D69" s="29" t="s">
        <v>192</v>
      </c>
      <c r="E69" s="29" t="s">
        <v>52</v>
      </c>
      <c r="F69" s="37" t="s">
        <v>59</v>
      </c>
      <c r="G69" s="29">
        <f>COUNTIF(Stakeholders!$E$2:$E960,F69)</f>
        <v>1</v>
      </c>
      <c r="H69" s="37" t="s">
        <v>998</v>
      </c>
      <c r="I69" s="32" t="s">
        <v>999</v>
      </c>
      <c r="J69" s="33" t="s">
        <v>67</v>
      </c>
      <c r="K69" s="82" t="s">
        <v>94</v>
      </c>
      <c r="L69" s="33"/>
      <c r="M69" s="33"/>
      <c r="N69" s="33"/>
      <c r="O69" s="33"/>
      <c r="P69" s="33"/>
      <c r="Q69" s="33"/>
      <c r="R69" s="33"/>
      <c r="S69" s="33"/>
      <c r="T69" s="33"/>
      <c r="U69" s="33"/>
      <c r="V69" s="29"/>
      <c r="W69" s="82" t="s">
        <v>67</v>
      </c>
      <c r="X69" s="29"/>
      <c r="Y69" s="29"/>
      <c r="Z69" s="29"/>
      <c r="AA69" s="34" t="s">
        <v>1004</v>
      </c>
      <c r="AB69" s="29" t="s">
        <v>688</v>
      </c>
      <c r="AC69" s="29" t="s">
        <v>954</v>
      </c>
      <c r="AD69" s="34">
        <v>68</v>
      </c>
      <c r="AE69" s="34">
        <f>VLOOKUP(F69,Stakeholders!E:K,7,0)</f>
        <v>1</v>
      </c>
      <c r="AF69" s="34" t="e">
        <f>VLOOKUP(B69&amp;D69,Areas!$D:$E,2,FALSE)</f>
        <v>#N/A</v>
      </c>
      <c r="AG69" s="29"/>
      <c r="AH69" s="34" t="s">
        <v>82</v>
      </c>
      <c r="AI69" s="34">
        <f>COUNTIF(Stakeholders!$E$2:$E$114,F69)</f>
        <v>1</v>
      </c>
      <c r="AJ69" s="29"/>
      <c r="AK69" s="29"/>
      <c r="AL69" s="29"/>
      <c r="AM69" s="29"/>
      <c r="AN69" s="29"/>
      <c r="AO69" s="29"/>
      <c r="AP69" s="29"/>
      <c r="AQ69" s="29"/>
      <c r="AR69" s="29"/>
      <c r="AS69" s="29"/>
      <c r="AT69" s="29"/>
      <c r="AU69" s="29"/>
      <c r="AV69" s="29"/>
      <c r="AW69" s="29"/>
    </row>
    <row r="70" spans="1:49" ht="15.75" customHeight="1">
      <c r="A70" s="14">
        <v>2021</v>
      </c>
      <c r="B70" s="14" t="s">
        <v>8</v>
      </c>
      <c r="C70" s="80" t="s">
        <v>404</v>
      </c>
      <c r="D70" s="39" t="s">
        <v>631</v>
      </c>
      <c r="E70" s="14" t="s">
        <v>52</v>
      </c>
      <c r="F70" s="39" t="s">
        <v>59</v>
      </c>
      <c r="G70" s="14">
        <f>COUNTIF(Stakeholders!$E$2:$E960,F70)</f>
        <v>1</v>
      </c>
      <c r="H70" s="39" t="s">
        <v>1008</v>
      </c>
      <c r="I70" s="19" t="s">
        <v>1009</v>
      </c>
      <c r="J70" s="20" t="s">
        <v>94</v>
      </c>
      <c r="K70" s="83" t="s">
        <v>67</v>
      </c>
      <c r="L70" s="20"/>
      <c r="M70" s="20"/>
      <c r="N70" s="20"/>
      <c r="O70" s="20"/>
      <c r="P70" s="20"/>
      <c r="Q70" s="20"/>
      <c r="R70" s="20"/>
      <c r="S70" s="20"/>
      <c r="T70" s="20"/>
      <c r="U70" s="20"/>
      <c r="V70" s="39"/>
      <c r="W70" s="83" t="s">
        <v>94</v>
      </c>
      <c r="X70" s="39"/>
      <c r="Y70" s="39"/>
      <c r="Z70" s="39"/>
      <c r="AA70" s="24" t="s">
        <v>953</v>
      </c>
      <c r="AB70" s="14" t="s">
        <v>688</v>
      </c>
      <c r="AC70" s="101" t="s">
        <v>954</v>
      </c>
      <c r="AD70" s="24">
        <v>69</v>
      </c>
      <c r="AE70" s="24">
        <f>VLOOKUP(F70,Stakeholders!E:K,7,0)</f>
        <v>1</v>
      </c>
      <c r="AF70" s="24" t="e">
        <f>VLOOKUP(B70&amp;D70,Areas!$D:$E,2,FALSE)</f>
        <v>#N/A</v>
      </c>
      <c r="AG70" s="39"/>
      <c r="AH70" s="24" t="s">
        <v>82</v>
      </c>
      <c r="AI70" s="24">
        <f>COUNTIF(Stakeholders!$E$2:$E$114,F70)</f>
        <v>1</v>
      </c>
      <c r="AJ70" s="39"/>
      <c r="AK70" s="39"/>
      <c r="AL70" s="39"/>
      <c r="AM70" s="39"/>
      <c r="AN70" s="39"/>
      <c r="AO70" s="39"/>
      <c r="AP70" s="39"/>
      <c r="AQ70" s="39"/>
      <c r="AR70" s="39"/>
      <c r="AS70" s="39"/>
      <c r="AT70" s="39"/>
      <c r="AU70" s="39"/>
      <c r="AV70" s="39"/>
      <c r="AW70" s="39"/>
    </row>
    <row r="71" spans="1:49" ht="15.75" customHeight="1">
      <c r="A71" s="37">
        <v>2020</v>
      </c>
      <c r="B71" s="37" t="s">
        <v>92</v>
      </c>
      <c r="C71" s="65" t="s">
        <v>412</v>
      </c>
      <c r="D71" s="29" t="s">
        <v>311</v>
      </c>
      <c r="E71" s="29" t="s">
        <v>412</v>
      </c>
      <c r="F71" s="29" t="s">
        <v>1020</v>
      </c>
      <c r="G71" s="29">
        <f>COUNTIF(Stakeholders!$E$2:$E960,F71)</f>
        <v>1</v>
      </c>
      <c r="H71" s="37" t="s">
        <v>1021</v>
      </c>
      <c r="I71" s="102" t="s">
        <v>1022</v>
      </c>
      <c r="J71" s="103" t="s">
        <v>67</v>
      </c>
      <c r="K71" s="103" t="s">
        <v>94</v>
      </c>
      <c r="L71" s="103"/>
      <c r="M71" s="103"/>
      <c r="N71" s="103"/>
      <c r="O71" s="103"/>
      <c r="P71" s="103"/>
      <c r="Q71" s="103"/>
      <c r="R71" s="103"/>
      <c r="S71" s="103"/>
      <c r="T71" s="103"/>
      <c r="U71" s="103"/>
      <c r="V71" s="29"/>
      <c r="W71" s="103" t="s">
        <v>94</v>
      </c>
      <c r="X71" s="29"/>
      <c r="Y71" s="29"/>
      <c r="Z71" s="29"/>
      <c r="AA71" s="34"/>
      <c r="AB71" s="37" t="s">
        <v>1026</v>
      </c>
      <c r="AC71" s="104">
        <v>44318</v>
      </c>
      <c r="AD71" s="34">
        <v>70</v>
      </c>
      <c r="AE71" s="34">
        <f>VLOOKUP(F71,Stakeholders!E:K,7,0)</f>
        <v>99</v>
      </c>
      <c r="AF71" s="34" t="e">
        <f>VLOOKUP(B71&amp;D71,Areas!$D:$E,2,FALSE)</f>
        <v>#N/A</v>
      </c>
      <c r="AG71" s="105"/>
      <c r="AH71" s="34" t="s">
        <v>82</v>
      </c>
      <c r="AI71" s="34">
        <f>COUNTIF(Stakeholders!$E$2:$E$114,F71)</f>
        <v>1</v>
      </c>
      <c r="AJ71" s="105"/>
      <c r="AK71" s="105"/>
      <c r="AL71" s="105"/>
      <c r="AM71" s="105"/>
      <c r="AN71" s="105"/>
      <c r="AO71" s="105"/>
      <c r="AP71" s="105"/>
      <c r="AQ71" s="105"/>
      <c r="AR71" s="105"/>
      <c r="AS71" s="105"/>
      <c r="AT71" s="105"/>
      <c r="AU71" s="105"/>
      <c r="AV71" s="105"/>
      <c r="AW71" s="105"/>
    </row>
    <row r="72" spans="1:49" ht="15.75" customHeight="1">
      <c r="A72" s="106">
        <v>2019</v>
      </c>
      <c r="B72" s="12" t="s">
        <v>64</v>
      </c>
      <c r="C72" s="14" t="s">
        <v>224</v>
      </c>
      <c r="D72" s="14" t="s">
        <v>73</v>
      </c>
      <c r="E72" s="14" t="s">
        <v>73</v>
      </c>
      <c r="F72" s="14" t="s">
        <v>872</v>
      </c>
      <c r="G72" s="14">
        <f>COUNTIF(Stakeholders!$E$2:$E960,F72)</f>
        <v>1</v>
      </c>
      <c r="H72" s="14" t="s">
        <v>1031</v>
      </c>
      <c r="I72" s="107" t="s">
        <v>1032</v>
      </c>
      <c r="J72" s="108" t="s">
        <v>67</v>
      </c>
      <c r="K72" s="108" t="s">
        <v>94</v>
      </c>
      <c r="L72" s="14"/>
      <c r="M72" s="14"/>
      <c r="N72" s="14"/>
      <c r="O72" s="14"/>
      <c r="P72" s="14"/>
      <c r="Q72" s="14"/>
      <c r="R72" s="14"/>
      <c r="S72" s="14"/>
      <c r="T72" s="14"/>
      <c r="U72" s="14"/>
      <c r="V72" s="39"/>
      <c r="W72" s="108" t="s">
        <v>94</v>
      </c>
      <c r="X72" s="39"/>
      <c r="Y72" s="39"/>
      <c r="Z72" s="39"/>
      <c r="AA72" s="24" t="s">
        <v>1035</v>
      </c>
      <c r="AB72" s="14" t="s">
        <v>1026</v>
      </c>
      <c r="AC72" s="109">
        <v>44318</v>
      </c>
      <c r="AD72" s="24">
        <v>71</v>
      </c>
      <c r="AE72" s="24">
        <f>VLOOKUP(F72,Stakeholders!E:K,7,0)</f>
        <v>103</v>
      </c>
      <c r="AF72" s="24">
        <f>VLOOKUP(B72&amp;D72,Areas!$D:$E,2,FALSE)</f>
        <v>56</v>
      </c>
      <c r="AG72" s="39"/>
      <c r="AH72" s="24" t="s">
        <v>82</v>
      </c>
      <c r="AI72" s="24">
        <f>COUNTIF(Stakeholders!$E$2:$E$114,F72)</f>
        <v>1</v>
      </c>
      <c r="AJ72" s="39"/>
      <c r="AK72" s="39"/>
      <c r="AL72" s="39"/>
      <c r="AM72" s="39"/>
      <c r="AN72" s="39"/>
      <c r="AO72" s="39"/>
      <c r="AP72" s="39"/>
      <c r="AQ72" s="39"/>
      <c r="AR72" s="39"/>
      <c r="AS72" s="39"/>
      <c r="AT72" s="39"/>
      <c r="AU72" s="39"/>
      <c r="AV72" s="39"/>
      <c r="AW72" s="39"/>
    </row>
    <row r="73" spans="1:49" ht="15.75" customHeight="1">
      <c r="A73" s="37">
        <v>2020</v>
      </c>
      <c r="B73" s="37" t="s">
        <v>92</v>
      </c>
      <c r="C73" s="65" t="s">
        <v>412</v>
      </c>
      <c r="D73" s="29" t="s">
        <v>412</v>
      </c>
      <c r="E73" s="29" t="s">
        <v>412</v>
      </c>
      <c r="F73" s="29" t="s">
        <v>859</v>
      </c>
      <c r="G73" s="29">
        <f>COUNTIF(Stakeholders!$E$2:$E960,F73)</f>
        <v>1</v>
      </c>
      <c r="H73" s="37" t="s">
        <v>1040</v>
      </c>
      <c r="I73" s="102" t="s">
        <v>1041</v>
      </c>
      <c r="J73" s="103" t="s">
        <v>67</v>
      </c>
      <c r="K73" s="103" t="s">
        <v>94</v>
      </c>
      <c r="L73" s="103"/>
      <c r="M73" s="103"/>
      <c r="N73" s="103"/>
      <c r="O73" s="103"/>
      <c r="P73" s="103"/>
      <c r="Q73" s="103"/>
      <c r="R73" s="103"/>
      <c r="S73" s="103"/>
      <c r="T73" s="103"/>
      <c r="U73" s="103"/>
      <c r="V73" s="37"/>
      <c r="W73" s="103" t="s">
        <v>94</v>
      </c>
      <c r="X73" s="37"/>
      <c r="Y73" s="37"/>
      <c r="Z73" s="37"/>
      <c r="AA73" s="34" t="s">
        <v>1044</v>
      </c>
      <c r="AB73" s="37" t="s">
        <v>1026</v>
      </c>
      <c r="AC73" s="104">
        <v>44318</v>
      </c>
      <c r="AD73" s="34">
        <v>72</v>
      </c>
      <c r="AE73" s="34">
        <f>VLOOKUP(F73,Stakeholders!E:K,7,0)</f>
        <v>101</v>
      </c>
      <c r="AF73" s="34">
        <f>VLOOKUP(B73&amp;D73,Areas!$D:$E,2,FALSE)</f>
        <v>249</v>
      </c>
      <c r="AG73" s="37"/>
      <c r="AH73" s="34" t="s">
        <v>82</v>
      </c>
      <c r="AI73" s="34">
        <f>COUNTIF(Stakeholders!$E$2:$E$114,F73)</f>
        <v>1</v>
      </c>
      <c r="AJ73" s="37"/>
      <c r="AK73" s="37"/>
      <c r="AL73" s="37"/>
      <c r="AM73" s="37"/>
      <c r="AN73" s="37"/>
      <c r="AO73" s="37"/>
      <c r="AP73" s="37"/>
      <c r="AQ73" s="37"/>
      <c r="AR73" s="37"/>
      <c r="AS73" s="37"/>
      <c r="AT73" s="37"/>
      <c r="AU73" s="37"/>
      <c r="AV73" s="37"/>
      <c r="AW73" s="37"/>
    </row>
    <row r="74" spans="1:49" ht="15.75" customHeight="1">
      <c r="A74" s="39">
        <v>2019</v>
      </c>
      <c r="B74" s="39" t="s">
        <v>92</v>
      </c>
      <c r="C74" s="80" t="s">
        <v>412</v>
      </c>
      <c r="D74" s="14" t="s">
        <v>412</v>
      </c>
      <c r="E74" s="14" t="s">
        <v>412</v>
      </c>
      <c r="F74" s="14" t="s">
        <v>1020</v>
      </c>
      <c r="G74" s="14">
        <f>COUNTIF(Stakeholders!$E$2:$E960,F74)</f>
        <v>1</v>
      </c>
      <c r="H74" s="39" t="s">
        <v>1054</v>
      </c>
      <c r="I74" s="110" t="s">
        <v>1055</v>
      </c>
      <c r="J74" s="108" t="s">
        <v>67</v>
      </c>
      <c r="K74" s="108" t="s">
        <v>94</v>
      </c>
      <c r="L74" s="108"/>
      <c r="M74" s="108"/>
      <c r="N74" s="108"/>
      <c r="O74" s="108"/>
      <c r="P74" s="108"/>
      <c r="Q74" s="108"/>
      <c r="R74" s="108"/>
      <c r="S74" s="108"/>
      <c r="T74" s="108"/>
      <c r="U74" s="108"/>
      <c r="V74" s="39"/>
      <c r="W74" s="108" t="s">
        <v>94</v>
      </c>
      <c r="X74" s="39"/>
      <c r="Y74" s="39"/>
      <c r="Z74" s="39"/>
      <c r="AA74" s="111" t="s">
        <v>1068</v>
      </c>
      <c r="AB74" s="39" t="s">
        <v>1026</v>
      </c>
      <c r="AC74" s="109">
        <v>44318</v>
      </c>
      <c r="AD74" s="24">
        <v>73</v>
      </c>
      <c r="AE74" s="24">
        <f>VLOOKUP(F74,Stakeholders!E:K,7,0)</f>
        <v>99</v>
      </c>
      <c r="AF74" s="24">
        <f>VLOOKUP(B74&amp;D74,Areas!$D:$E,2,FALSE)</f>
        <v>249</v>
      </c>
      <c r="AG74" s="39"/>
      <c r="AH74" s="24" t="s">
        <v>82</v>
      </c>
      <c r="AI74" s="24">
        <f>COUNTIF(Stakeholders!$E$2:$E$114,F74)</f>
        <v>1</v>
      </c>
      <c r="AJ74" s="39"/>
      <c r="AK74" s="39"/>
      <c r="AL74" s="39"/>
      <c r="AM74" s="39"/>
      <c r="AN74" s="39"/>
      <c r="AO74" s="39"/>
      <c r="AP74" s="39"/>
      <c r="AQ74" s="39"/>
      <c r="AR74" s="39"/>
      <c r="AS74" s="39"/>
      <c r="AT74" s="39"/>
      <c r="AU74" s="39"/>
      <c r="AV74" s="39"/>
      <c r="AW74" s="39"/>
    </row>
    <row r="75" spans="1:49" ht="15.75" customHeight="1">
      <c r="A75" s="37">
        <v>2020</v>
      </c>
      <c r="B75" s="37" t="s">
        <v>92</v>
      </c>
      <c r="C75" s="65" t="s">
        <v>412</v>
      </c>
      <c r="D75" s="29" t="s">
        <v>412</v>
      </c>
      <c r="E75" s="29" t="s">
        <v>412</v>
      </c>
      <c r="F75" s="29" t="s">
        <v>859</v>
      </c>
      <c r="G75" s="29">
        <f>COUNTIF(Stakeholders!$E$2:$E960,F75)</f>
        <v>1</v>
      </c>
      <c r="H75" s="37" t="s">
        <v>1084</v>
      </c>
      <c r="I75" s="102" t="s">
        <v>1085</v>
      </c>
      <c r="J75" s="103" t="s">
        <v>67</v>
      </c>
      <c r="K75" s="103" t="s">
        <v>94</v>
      </c>
      <c r="L75" s="103"/>
      <c r="M75" s="103"/>
      <c r="N75" s="103"/>
      <c r="O75" s="103"/>
      <c r="P75" s="103"/>
      <c r="Q75" s="103"/>
      <c r="R75" s="103"/>
      <c r="S75" s="103"/>
      <c r="T75" s="103"/>
      <c r="U75" s="103"/>
      <c r="V75" s="37"/>
      <c r="W75" s="103" t="s">
        <v>94</v>
      </c>
      <c r="X75" s="37"/>
      <c r="Y75" s="37"/>
      <c r="Z75" s="37"/>
      <c r="AA75" s="34" t="s">
        <v>1102</v>
      </c>
      <c r="AB75" s="37" t="s">
        <v>1026</v>
      </c>
      <c r="AC75" s="104">
        <v>44318</v>
      </c>
      <c r="AD75" s="34">
        <v>74</v>
      </c>
      <c r="AE75" s="34">
        <f>VLOOKUP(F75,Stakeholders!E:K,7,0)</f>
        <v>101</v>
      </c>
      <c r="AF75" s="34">
        <f>VLOOKUP(B75&amp;D75,Areas!$D:$E,2,FALSE)</f>
        <v>249</v>
      </c>
      <c r="AG75" s="37"/>
      <c r="AH75" s="34" t="s">
        <v>82</v>
      </c>
      <c r="AI75" s="34">
        <f>COUNTIF(Stakeholders!$E$2:$E$114,F75)</f>
        <v>1</v>
      </c>
      <c r="AJ75" s="37"/>
      <c r="AK75" s="37"/>
      <c r="AL75" s="37"/>
      <c r="AM75" s="37"/>
      <c r="AN75" s="37"/>
      <c r="AO75" s="37"/>
      <c r="AP75" s="37"/>
      <c r="AQ75" s="37"/>
      <c r="AR75" s="37"/>
      <c r="AS75" s="37"/>
      <c r="AT75" s="37"/>
      <c r="AU75" s="37"/>
      <c r="AV75" s="37"/>
      <c r="AW75" s="37"/>
    </row>
    <row r="76" spans="1:49" ht="15.75" customHeight="1">
      <c r="A76" s="39">
        <v>2020</v>
      </c>
      <c r="B76" s="39" t="s">
        <v>92</v>
      </c>
      <c r="C76" s="80" t="s">
        <v>412</v>
      </c>
      <c r="D76" s="14" t="s">
        <v>412</v>
      </c>
      <c r="E76" s="14" t="s">
        <v>412</v>
      </c>
      <c r="F76" s="14" t="s">
        <v>859</v>
      </c>
      <c r="G76" s="14">
        <f>COUNTIF(Stakeholders!$E$2:$E960,F76)</f>
        <v>1</v>
      </c>
      <c r="H76" s="39" t="s">
        <v>1126</v>
      </c>
      <c r="I76" s="110" t="s">
        <v>1127</v>
      </c>
      <c r="J76" s="108" t="s">
        <v>67</v>
      </c>
      <c r="K76" s="108" t="s">
        <v>94</v>
      </c>
      <c r="L76" s="108"/>
      <c r="M76" s="108"/>
      <c r="N76" s="108"/>
      <c r="O76" s="108"/>
      <c r="P76" s="108"/>
      <c r="Q76" s="108"/>
      <c r="R76" s="108"/>
      <c r="S76" s="108"/>
      <c r="T76" s="108"/>
      <c r="U76" s="108"/>
      <c r="V76" s="39"/>
      <c r="W76" s="108" t="s">
        <v>94</v>
      </c>
      <c r="X76" s="39"/>
      <c r="Y76" s="39"/>
      <c r="Z76" s="39"/>
      <c r="AA76" s="111" t="s">
        <v>1138</v>
      </c>
      <c r="AB76" s="39" t="s">
        <v>1026</v>
      </c>
      <c r="AC76" s="109">
        <v>44318</v>
      </c>
      <c r="AD76" s="24">
        <v>75</v>
      </c>
      <c r="AE76" s="24">
        <f>VLOOKUP(F76,Stakeholders!E:K,7,0)</f>
        <v>101</v>
      </c>
      <c r="AF76" s="24">
        <f>VLOOKUP(B76&amp;D76,Areas!$D:$E,2,FALSE)</f>
        <v>249</v>
      </c>
      <c r="AG76" s="39"/>
      <c r="AH76" s="24" t="s">
        <v>82</v>
      </c>
      <c r="AI76" s="24">
        <f>COUNTIF(Stakeholders!$E$2:$E$114,F76)</f>
        <v>1</v>
      </c>
      <c r="AJ76" s="39"/>
      <c r="AK76" s="39"/>
      <c r="AL76" s="39"/>
      <c r="AM76" s="39"/>
      <c r="AN76" s="39"/>
      <c r="AO76" s="39"/>
      <c r="AP76" s="39"/>
      <c r="AQ76" s="39"/>
      <c r="AR76" s="39"/>
      <c r="AS76" s="39"/>
      <c r="AT76" s="39"/>
      <c r="AU76" s="39"/>
      <c r="AV76" s="39"/>
      <c r="AW76" s="39"/>
    </row>
    <row r="77" spans="1:49" ht="15.75" customHeight="1">
      <c r="A77" s="37">
        <v>2019</v>
      </c>
      <c r="B77" s="37" t="s">
        <v>92</v>
      </c>
      <c r="C77" s="65" t="s">
        <v>412</v>
      </c>
      <c r="D77" s="29" t="s">
        <v>412</v>
      </c>
      <c r="E77" s="29" t="s">
        <v>412</v>
      </c>
      <c r="F77" s="29" t="s">
        <v>859</v>
      </c>
      <c r="G77" s="29">
        <f>COUNTIF(Stakeholders!$E$2:$E960,F77)</f>
        <v>1</v>
      </c>
      <c r="H77" s="37" t="s">
        <v>1159</v>
      </c>
      <c r="I77" s="102" t="s">
        <v>1160</v>
      </c>
      <c r="J77" s="103" t="s">
        <v>67</v>
      </c>
      <c r="K77" s="103" t="s">
        <v>94</v>
      </c>
      <c r="L77" s="103"/>
      <c r="M77" s="103"/>
      <c r="N77" s="103"/>
      <c r="O77" s="103"/>
      <c r="P77" s="103"/>
      <c r="Q77" s="103"/>
      <c r="R77" s="103"/>
      <c r="S77" s="103"/>
      <c r="T77" s="103"/>
      <c r="U77" s="103"/>
      <c r="V77" s="37"/>
      <c r="W77" s="103" t="s">
        <v>94</v>
      </c>
      <c r="X77" s="37"/>
      <c r="Y77" s="37"/>
      <c r="Z77" s="37"/>
      <c r="AA77" s="34" t="s">
        <v>1170</v>
      </c>
      <c r="AB77" s="37" t="s">
        <v>1026</v>
      </c>
      <c r="AC77" s="104">
        <v>44318</v>
      </c>
      <c r="AD77" s="34">
        <v>76</v>
      </c>
      <c r="AE77" s="34">
        <f>VLOOKUP(F77,Stakeholders!E:K,7,0)</f>
        <v>101</v>
      </c>
      <c r="AF77" s="34">
        <f>VLOOKUP(B77&amp;D77,Areas!$D:$E,2,FALSE)</f>
        <v>249</v>
      </c>
      <c r="AG77" s="37"/>
      <c r="AH77" s="34" t="s">
        <v>82</v>
      </c>
      <c r="AI77" s="34">
        <f>COUNTIF(Stakeholders!$E$2:$E$114,F77)</f>
        <v>1</v>
      </c>
      <c r="AJ77" s="37"/>
      <c r="AK77" s="37"/>
      <c r="AL77" s="37"/>
      <c r="AM77" s="37"/>
      <c r="AN77" s="37"/>
      <c r="AO77" s="37"/>
      <c r="AP77" s="37"/>
      <c r="AQ77" s="37"/>
      <c r="AR77" s="37"/>
      <c r="AS77" s="37"/>
      <c r="AT77" s="37"/>
      <c r="AU77" s="37"/>
      <c r="AV77" s="37"/>
      <c r="AW77" s="37"/>
    </row>
    <row r="78" spans="1:49" ht="15.75" customHeight="1">
      <c r="A78" s="39">
        <v>2017</v>
      </c>
      <c r="B78" s="39" t="s">
        <v>92</v>
      </c>
      <c r="C78" s="80" t="s">
        <v>412</v>
      </c>
      <c r="D78" s="14" t="s">
        <v>307</v>
      </c>
      <c r="E78" s="14" t="s">
        <v>412</v>
      </c>
      <c r="F78" s="14" t="s">
        <v>859</v>
      </c>
      <c r="G78" s="14">
        <f>COUNTIF(Stakeholders!$E$2:$E960,F78)</f>
        <v>1</v>
      </c>
      <c r="H78" s="39" t="s">
        <v>1185</v>
      </c>
      <c r="I78" s="113" t="s">
        <v>1187</v>
      </c>
      <c r="J78" s="108" t="s">
        <v>67</v>
      </c>
      <c r="K78" s="108" t="s">
        <v>94</v>
      </c>
      <c r="L78" s="108"/>
      <c r="M78" s="108"/>
      <c r="N78" s="108"/>
      <c r="O78" s="108"/>
      <c r="P78" s="108"/>
      <c r="Q78" s="108"/>
      <c r="R78" s="108"/>
      <c r="S78" s="108"/>
      <c r="T78" s="108"/>
      <c r="U78" s="108"/>
      <c r="V78" s="39"/>
      <c r="W78" s="108" t="s">
        <v>94</v>
      </c>
      <c r="X78" s="39"/>
      <c r="Y78" s="39"/>
      <c r="Z78" s="39"/>
      <c r="AA78" s="111" t="s">
        <v>1200</v>
      </c>
      <c r="AB78" s="39" t="s">
        <v>1026</v>
      </c>
      <c r="AC78" s="109">
        <v>44318</v>
      </c>
      <c r="AD78" s="24">
        <v>77</v>
      </c>
      <c r="AE78" s="24">
        <f>VLOOKUP(F78,Stakeholders!E:K,7,0)</f>
        <v>101</v>
      </c>
      <c r="AF78" s="24" t="e">
        <f>VLOOKUP(B78&amp;D78,Areas!$D:$E,2,FALSE)</f>
        <v>#N/A</v>
      </c>
      <c r="AG78" s="39"/>
      <c r="AH78" s="24" t="s">
        <v>82</v>
      </c>
      <c r="AI78" s="24">
        <f>COUNTIF(Stakeholders!$E$2:$E$114,F78)</f>
        <v>1</v>
      </c>
      <c r="AJ78" s="39"/>
      <c r="AK78" s="39"/>
      <c r="AL78" s="39"/>
      <c r="AM78" s="39"/>
      <c r="AN78" s="39"/>
      <c r="AO78" s="39"/>
      <c r="AP78" s="39"/>
      <c r="AQ78" s="39"/>
      <c r="AR78" s="39"/>
      <c r="AS78" s="39"/>
      <c r="AT78" s="39"/>
      <c r="AU78" s="39"/>
      <c r="AV78" s="39"/>
      <c r="AW78" s="39"/>
    </row>
    <row r="79" spans="1:49" ht="15.75" customHeight="1">
      <c r="A79" s="37">
        <v>2017</v>
      </c>
      <c r="B79" s="37" t="s">
        <v>92</v>
      </c>
      <c r="C79" s="65" t="s">
        <v>412</v>
      </c>
      <c r="D79" s="29" t="s">
        <v>311</v>
      </c>
      <c r="E79" s="29" t="s">
        <v>412</v>
      </c>
      <c r="F79" s="29" t="s">
        <v>859</v>
      </c>
      <c r="G79" s="29">
        <f>COUNTIF(Stakeholders!$E$2:$E960,F79)</f>
        <v>1</v>
      </c>
      <c r="H79" s="37" t="s">
        <v>1219</v>
      </c>
      <c r="I79" s="114" t="s">
        <v>1221</v>
      </c>
      <c r="J79" s="103" t="s">
        <v>67</v>
      </c>
      <c r="K79" s="103" t="s">
        <v>94</v>
      </c>
      <c r="L79" s="103"/>
      <c r="M79" s="103"/>
      <c r="N79" s="103"/>
      <c r="O79" s="103"/>
      <c r="P79" s="103"/>
      <c r="Q79" s="103"/>
      <c r="R79" s="103"/>
      <c r="S79" s="103"/>
      <c r="T79" s="103"/>
      <c r="U79" s="103"/>
      <c r="V79" s="37"/>
      <c r="W79" s="103" t="s">
        <v>94</v>
      </c>
      <c r="X79" s="37"/>
      <c r="Y79" s="37"/>
      <c r="Z79" s="37"/>
      <c r="AA79" s="34" t="s">
        <v>1228</v>
      </c>
      <c r="AB79" s="37" t="s">
        <v>1026</v>
      </c>
      <c r="AC79" s="104">
        <v>44318</v>
      </c>
      <c r="AD79" s="34">
        <v>78</v>
      </c>
      <c r="AE79" s="34">
        <f>VLOOKUP(F79,Stakeholders!E:K,7,0)</f>
        <v>101</v>
      </c>
      <c r="AF79" s="34" t="e">
        <f>VLOOKUP(B79&amp;D79,Areas!$D:$E,2,FALSE)</f>
        <v>#N/A</v>
      </c>
      <c r="AG79" s="37"/>
      <c r="AH79" s="34" t="s">
        <v>82</v>
      </c>
      <c r="AI79" s="34">
        <f>COUNTIF(Stakeholders!$E$2:$E$114,F79)</f>
        <v>1</v>
      </c>
      <c r="AJ79" s="37"/>
      <c r="AK79" s="37"/>
      <c r="AL79" s="37"/>
      <c r="AM79" s="37"/>
      <c r="AN79" s="37"/>
      <c r="AO79" s="37"/>
      <c r="AP79" s="37"/>
      <c r="AQ79" s="37"/>
      <c r="AR79" s="37"/>
      <c r="AS79" s="37"/>
      <c r="AT79" s="37"/>
      <c r="AU79" s="37"/>
      <c r="AV79" s="37"/>
      <c r="AW79" s="37"/>
    </row>
    <row r="80" spans="1:49" ht="15.75" customHeight="1">
      <c r="A80" s="39">
        <v>2017</v>
      </c>
      <c r="B80" s="39" t="s">
        <v>92</v>
      </c>
      <c r="C80" s="80" t="s">
        <v>412</v>
      </c>
      <c r="D80" s="14" t="s">
        <v>412</v>
      </c>
      <c r="E80" s="14" t="s">
        <v>412</v>
      </c>
      <c r="F80" s="14" t="s">
        <v>859</v>
      </c>
      <c r="G80" s="14">
        <f>COUNTIF(Stakeholders!$E$2:$E960,F80)</f>
        <v>1</v>
      </c>
      <c r="H80" s="39" t="s">
        <v>1251</v>
      </c>
      <c r="I80" s="113" t="s">
        <v>1253</v>
      </c>
      <c r="J80" s="108" t="s">
        <v>67</v>
      </c>
      <c r="K80" s="108" t="s">
        <v>67</v>
      </c>
      <c r="L80" s="108"/>
      <c r="M80" s="108"/>
      <c r="N80" s="108"/>
      <c r="O80" s="108"/>
      <c r="P80" s="108"/>
      <c r="Q80" s="108"/>
      <c r="R80" s="108"/>
      <c r="S80" s="108"/>
      <c r="T80" s="108"/>
      <c r="U80" s="108"/>
      <c r="V80" s="39"/>
      <c r="W80" s="108" t="s">
        <v>94</v>
      </c>
      <c r="X80" s="39"/>
      <c r="Y80" s="39"/>
      <c r="Z80" s="39"/>
      <c r="AA80" s="111" t="s">
        <v>1265</v>
      </c>
      <c r="AB80" s="39" t="s">
        <v>1026</v>
      </c>
      <c r="AC80" s="109">
        <v>44318</v>
      </c>
      <c r="AD80" s="24">
        <v>79</v>
      </c>
      <c r="AE80" s="24">
        <f>VLOOKUP(F80,Stakeholders!E:K,7,0)</f>
        <v>101</v>
      </c>
      <c r="AF80" s="24">
        <f>VLOOKUP(B80&amp;D80,Areas!$D:$E,2,FALSE)</f>
        <v>249</v>
      </c>
      <c r="AG80" s="39"/>
      <c r="AH80" s="24" t="s">
        <v>82</v>
      </c>
      <c r="AI80" s="24">
        <f>COUNTIF(Stakeholders!$E$2:$E$114,F80)</f>
        <v>1</v>
      </c>
      <c r="AJ80" s="39"/>
      <c r="AK80" s="39"/>
      <c r="AL80" s="39"/>
      <c r="AM80" s="39"/>
      <c r="AN80" s="39"/>
      <c r="AO80" s="39"/>
      <c r="AP80" s="39"/>
      <c r="AQ80" s="39"/>
      <c r="AR80" s="39"/>
      <c r="AS80" s="39"/>
      <c r="AT80" s="39"/>
      <c r="AU80" s="39"/>
      <c r="AV80" s="39"/>
      <c r="AW80" s="39"/>
    </row>
    <row r="81" spans="1:49" ht="15.75" customHeight="1">
      <c r="A81" s="37">
        <v>2020</v>
      </c>
      <c r="B81" s="37" t="s">
        <v>92</v>
      </c>
      <c r="C81" s="65" t="s">
        <v>412</v>
      </c>
      <c r="D81" s="29" t="s">
        <v>412</v>
      </c>
      <c r="E81" s="29" t="s">
        <v>412</v>
      </c>
      <c r="F81" s="29" t="s">
        <v>859</v>
      </c>
      <c r="G81" s="29">
        <f>COUNTIF(Stakeholders!$E$2:$E960,F81)</f>
        <v>1</v>
      </c>
      <c r="H81" s="37" t="s">
        <v>1284</v>
      </c>
      <c r="I81" s="114" t="s">
        <v>1285</v>
      </c>
      <c r="J81" s="103" t="s">
        <v>67</v>
      </c>
      <c r="K81" s="103" t="s">
        <v>67</v>
      </c>
      <c r="L81" s="103"/>
      <c r="M81" s="103"/>
      <c r="N81" s="103"/>
      <c r="O81" s="103"/>
      <c r="P81" s="103"/>
      <c r="Q81" s="103"/>
      <c r="R81" s="103"/>
      <c r="S81" s="103"/>
      <c r="T81" s="103"/>
      <c r="U81" s="103"/>
      <c r="V81" s="37"/>
      <c r="W81" s="103" t="s">
        <v>67</v>
      </c>
      <c r="X81" s="37"/>
      <c r="Y81" s="37"/>
      <c r="Z81" s="37"/>
      <c r="AA81" s="34" t="s">
        <v>1295</v>
      </c>
      <c r="AB81" s="37" t="s">
        <v>1026</v>
      </c>
      <c r="AC81" s="104">
        <v>44318</v>
      </c>
      <c r="AD81" s="34">
        <v>80</v>
      </c>
      <c r="AE81" s="34">
        <f>VLOOKUP(F81,Stakeholders!E:K,7,0)</f>
        <v>101</v>
      </c>
      <c r="AF81" s="34">
        <f>VLOOKUP(B81&amp;D81,Areas!$D:$E,2,FALSE)</f>
        <v>249</v>
      </c>
      <c r="AG81" s="37"/>
      <c r="AH81" s="34" t="s">
        <v>82</v>
      </c>
      <c r="AI81" s="34">
        <f>COUNTIF(Stakeholders!$E$2:$E$114,F81)</f>
        <v>1</v>
      </c>
      <c r="AJ81" s="37"/>
      <c r="AK81" s="37"/>
      <c r="AL81" s="37"/>
      <c r="AM81" s="37"/>
      <c r="AN81" s="37"/>
      <c r="AO81" s="37"/>
      <c r="AP81" s="37"/>
      <c r="AQ81" s="37"/>
      <c r="AR81" s="37"/>
      <c r="AS81" s="37"/>
      <c r="AT81" s="37"/>
      <c r="AU81" s="37"/>
      <c r="AV81" s="37"/>
      <c r="AW81" s="37"/>
    </row>
    <row r="82" spans="1:49" ht="15.75" customHeight="1">
      <c r="A82" s="39">
        <v>2020</v>
      </c>
      <c r="B82" s="39" t="s">
        <v>92</v>
      </c>
      <c r="C82" s="80" t="s">
        <v>412</v>
      </c>
      <c r="D82" s="39" t="s">
        <v>412</v>
      </c>
      <c r="E82" s="14" t="s">
        <v>412</v>
      </c>
      <c r="F82" s="14" t="s">
        <v>859</v>
      </c>
      <c r="G82" s="14">
        <f>COUNTIF(Stakeholders!$E$2:$E960,F82)</f>
        <v>1</v>
      </c>
      <c r="H82" s="39" t="s">
        <v>1311</v>
      </c>
      <c r="I82" s="110" t="s">
        <v>1312</v>
      </c>
      <c r="J82" s="108" t="s">
        <v>67</v>
      </c>
      <c r="K82" s="108" t="s">
        <v>67</v>
      </c>
      <c r="L82" s="108"/>
      <c r="M82" s="108"/>
      <c r="N82" s="108"/>
      <c r="O82" s="108"/>
      <c r="P82" s="108"/>
      <c r="Q82" s="108"/>
      <c r="R82" s="108"/>
      <c r="S82" s="108"/>
      <c r="T82" s="108"/>
      <c r="U82" s="108"/>
      <c r="V82" s="39"/>
      <c r="W82" s="108" t="s">
        <v>94</v>
      </c>
      <c r="X82" s="39"/>
      <c r="Y82" s="39"/>
      <c r="Z82" s="39"/>
      <c r="AA82" s="111" t="s">
        <v>1322</v>
      </c>
      <c r="AB82" s="39" t="s">
        <v>1026</v>
      </c>
      <c r="AC82" s="109">
        <v>44318</v>
      </c>
      <c r="AD82" s="24">
        <v>81</v>
      </c>
      <c r="AE82" s="24">
        <f>VLOOKUP(F82,Stakeholders!E:K,7,0)</f>
        <v>101</v>
      </c>
      <c r="AF82" s="24">
        <f>VLOOKUP(B82&amp;D82,Areas!$D:$E,2,FALSE)</f>
        <v>249</v>
      </c>
      <c r="AG82" s="39"/>
      <c r="AH82" s="24" t="s">
        <v>82</v>
      </c>
      <c r="AI82" s="24">
        <f>COUNTIF(Stakeholders!$E$2:$E$114,F82)</f>
        <v>1</v>
      </c>
      <c r="AJ82" s="39"/>
      <c r="AK82" s="39"/>
      <c r="AL82" s="39"/>
      <c r="AM82" s="39"/>
      <c r="AN82" s="39"/>
      <c r="AO82" s="39"/>
      <c r="AP82" s="39"/>
      <c r="AQ82" s="39"/>
      <c r="AR82" s="39"/>
      <c r="AS82" s="39"/>
      <c r="AT82" s="39"/>
      <c r="AU82" s="39"/>
      <c r="AV82" s="39"/>
      <c r="AW82" s="39"/>
    </row>
    <row r="83" spans="1:49" ht="15.75" customHeight="1">
      <c r="A83" s="37">
        <v>2020</v>
      </c>
      <c r="B83" s="37" t="s">
        <v>92</v>
      </c>
      <c r="C83" s="65" t="s">
        <v>412</v>
      </c>
      <c r="D83" s="37" t="s">
        <v>412</v>
      </c>
      <c r="E83" s="29" t="s">
        <v>412</v>
      </c>
      <c r="F83" s="29" t="s">
        <v>859</v>
      </c>
      <c r="G83" s="29">
        <f>COUNTIF(Stakeholders!$E$2:$E960,F83)</f>
        <v>1</v>
      </c>
      <c r="H83" s="37" t="s">
        <v>1338</v>
      </c>
      <c r="I83" s="114" t="s">
        <v>1340</v>
      </c>
      <c r="J83" s="103" t="s">
        <v>67</v>
      </c>
      <c r="K83" s="103" t="s">
        <v>67</v>
      </c>
      <c r="L83" s="103"/>
      <c r="M83" s="103"/>
      <c r="N83" s="103"/>
      <c r="O83" s="103"/>
      <c r="P83" s="103"/>
      <c r="Q83" s="103"/>
      <c r="R83" s="103"/>
      <c r="S83" s="103"/>
      <c r="T83" s="103"/>
      <c r="U83" s="103"/>
      <c r="V83" s="37"/>
      <c r="W83" s="103" t="s">
        <v>67</v>
      </c>
      <c r="X83" s="37"/>
      <c r="Y83" s="37"/>
      <c r="Z83" s="37"/>
      <c r="AA83" s="34" t="s">
        <v>1348</v>
      </c>
      <c r="AB83" s="37" t="s">
        <v>1026</v>
      </c>
      <c r="AC83" s="104">
        <v>44318</v>
      </c>
      <c r="AD83" s="34">
        <v>82</v>
      </c>
      <c r="AE83" s="34">
        <f>VLOOKUP(F83,Stakeholders!E:K,7,0)</f>
        <v>101</v>
      </c>
      <c r="AF83" s="34">
        <f>VLOOKUP(B83&amp;D83,Areas!$D:$E,2,FALSE)</f>
        <v>249</v>
      </c>
      <c r="AG83" s="37"/>
      <c r="AH83" s="34" t="s">
        <v>82</v>
      </c>
      <c r="AI83" s="34">
        <f>COUNTIF(Stakeholders!$E$2:$E$114,F83)</f>
        <v>1</v>
      </c>
      <c r="AJ83" s="37"/>
      <c r="AK83" s="37"/>
      <c r="AL83" s="37"/>
      <c r="AM83" s="37"/>
      <c r="AN83" s="37"/>
      <c r="AO83" s="37"/>
      <c r="AP83" s="37"/>
      <c r="AQ83" s="37"/>
      <c r="AR83" s="37"/>
      <c r="AS83" s="37"/>
      <c r="AT83" s="37"/>
      <c r="AU83" s="37"/>
      <c r="AV83" s="37"/>
      <c r="AW83" s="37"/>
    </row>
    <row r="84" spans="1:49" ht="15.75" customHeight="1">
      <c r="A84" s="39">
        <v>2020</v>
      </c>
      <c r="B84" s="39" t="s">
        <v>92</v>
      </c>
      <c r="C84" s="80" t="s">
        <v>412</v>
      </c>
      <c r="D84" s="39" t="s">
        <v>412</v>
      </c>
      <c r="E84" s="14" t="s">
        <v>412</v>
      </c>
      <c r="F84" s="14" t="s">
        <v>859</v>
      </c>
      <c r="G84" s="14">
        <f>COUNTIF(Stakeholders!$E$2:$E960,F84)</f>
        <v>1</v>
      </c>
      <c r="H84" s="39" t="s">
        <v>1363</v>
      </c>
      <c r="I84" s="113" t="s">
        <v>1365</v>
      </c>
      <c r="J84" s="108" t="s">
        <v>67</v>
      </c>
      <c r="K84" s="108" t="s">
        <v>67</v>
      </c>
      <c r="L84" s="108"/>
      <c r="M84" s="108"/>
      <c r="N84" s="108"/>
      <c r="O84" s="108"/>
      <c r="P84" s="108"/>
      <c r="Q84" s="108"/>
      <c r="R84" s="108"/>
      <c r="S84" s="108"/>
      <c r="T84" s="108"/>
      <c r="U84" s="108"/>
      <c r="V84" s="39"/>
      <c r="W84" s="108" t="s">
        <v>94</v>
      </c>
      <c r="X84" s="39"/>
      <c r="Y84" s="39"/>
      <c r="Z84" s="39"/>
      <c r="AA84" s="111" t="s">
        <v>1373</v>
      </c>
      <c r="AB84" s="39" t="s">
        <v>1026</v>
      </c>
      <c r="AC84" s="109">
        <v>44318</v>
      </c>
      <c r="AD84" s="24">
        <v>83</v>
      </c>
      <c r="AE84" s="24">
        <f>VLOOKUP(F84,Stakeholders!E:K,7,0)</f>
        <v>101</v>
      </c>
      <c r="AF84" s="24">
        <f>VLOOKUP(B84&amp;D84,Areas!$D:$E,2,FALSE)</f>
        <v>249</v>
      </c>
      <c r="AG84" s="39"/>
      <c r="AH84" s="24" t="s">
        <v>82</v>
      </c>
      <c r="AI84" s="24">
        <f>COUNTIF(Stakeholders!$E$2:$E$114,F84)</f>
        <v>1</v>
      </c>
      <c r="AJ84" s="39"/>
      <c r="AK84" s="39"/>
      <c r="AL84" s="39"/>
      <c r="AM84" s="39"/>
      <c r="AN84" s="39"/>
      <c r="AO84" s="39"/>
      <c r="AP84" s="39"/>
      <c r="AQ84" s="39"/>
      <c r="AR84" s="39"/>
      <c r="AS84" s="39"/>
      <c r="AT84" s="39"/>
      <c r="AU84" s="39"/>
      <c r="AV84" s="39"/>
      <c r="AW84" s="39"/>
    </row>
    <row r="85" spans="1:49" ht="15.75" customHeight="1">
      <c r="A85" s="37">
        <v>2018</v>
      </c>
      <c r="B85" s="37" t="s">
        <v>92</v>
      </c>
      <c r="C85" s="65" t="s">
        <v>412</v>
      </c>
      <c r="D85" s="37" t="s">
        <v>412</v>
      </c>
      <c r="E85" s="29" t="s">
        <v>412</v>
      </c>
      <c r="F85" s="29" t="s">
        <v>859</v>
      </c>
      <c r="G85" s="29">
        <f>COUNTIF(Stakeholders!$E$2:$E960,F85)</f>
        <v>1</v>
      </c>
      <c r="H85" s="37" t="s">
        <v>1389</v>
      </c>
      <c r="I85" s="114" t="s">
        <v>1390</v>
      </c>
      <c r="J85" s="103" t="s">
        <v>67</v>
      </c>
      <c r="K85" s="103" t="s">
        <v>67</v>
      </c>
      <c r="L85" s="103"/>
      <c r="M85" s="103"/>
      <c r="N85" s="103"/>
      <c r="O85" s="103"/>
      <c r="P85" s="103"/>
      <c r="Q85" s="103"/>
      <c r="R85" s="103"/>
      <c r="S85" s="103"/>
      <c r="T85" s="103"/>
      <c r="U85" s="103"/>
      <c r="V85" s="37"/>
      <c r="W85" s="103" t="s">
        <v>94</v>
      </c>
      <c r="X85" s="37"/>
      <c r="Y85" s="37"/>
      <c r="Z85" s="37"/>
      <c r="AA85" s="34" t="s">
        <v>1403</v>
      </c>
      <c r="AB85" s="37" t="s">
        <v>1026</v>
      </c>
      <c r="AC85" s="104">
        <v>44318</v>
      </c>
      <c r="AD85" s="34">
        <v>84</v>
      </c>
      <c r="AE85" s="34">
        <f>VLOOKUP(F85,Stakeholders!E:K,7,0)</f>
        <v>101</v>
      </c>
      <c r="AF85" s="34">
        <f>VLOOKUP(B85&amp;D85,Areas!$D:$E,2,FALSE)</f>
        <v>249</v>
      </c>
      <c r="AG85" s="37"/>
      <c r="AH85" s="34" t="s">
        <v>82</v>
      </c>
      <c r="AI85" s="34">
        <f>COUNTIF(Stakeholders!$E$2:$E$114,F85)</f>
        <v>1</v>
      </c>
      <c r="AJ85" s="37"/>
      <c r="AK85" s="37"/>
      <c r="AL85" s="37"/>
      <c r="AM85" s="37"/>
      <c r="AN85" s="37"/>
      <c r="AO85" s="37"/>
      <c r="AP85" s="37"/>
      <c r="AQ85" s="37"/>
      <c r="AR85" s="37"/>
      <c r="AS85" s="37"/>
      <c r="AT85" s="37"/>
      <c r="AU85" s="37"/>
      <c r="AV85" s="37"/>
      <c r="AW85" s="37"/>
    </row>
    <row r="86" spans="1:49" ht="15.75" customHeight="1">
      <c r="A86" s="39">
        <v>2017</v>
      </c>
      <c r="B86" s="39" t="s">
        <v>92</v>
      </c>
      <c r="C86" s="80" t="s">
        <v>412</v>
      </c>
      <c r="D86" s="39" t="s">
        <v>412</v>
      </c>
      <c r="E86" s="14" t="s">
        <v>412</v>
      </c>
      <c r="F86" s="14" t="s">
        <v>859</v>
      </c>
      <c r="G86" s="14">
        <f>COUNTIF(Stakeholders!$E$2:$E960,F86)</f>
        <v>1</v>
      </c>
      <c r="H86" s="39" t="s">
        <v>1423</v>
      </c>
      <c r="I86" s="113" t="s">
        <v>1424</v>
      </c>
      <c r="J86" s="108" t="s">
        <v>67</v>
      </c>
      <c r="K86" s="108" t="s">
        <v>94</v>
      </c>
      <c r="L86" s="108"/>
      <c r="M86" s="108"/>
      <c r="N86" s="108"/>
      <c r="O86" s="108"/>
      <c r="P86" s="108"/>
      <c r="Q86" s="108"/>
      <c r="R86" s="108"/>
      <c r="S86" s="108"/>
      <c r="T86" s="108"/>
      <c r="U86" s="108"/>
      <c r="V86" s="39"/>
      <c r="W86" s="108" t="s">
        <v>94</v>
      </c>
      <c r="X86" s="39"/>
      <c r="Y86" s="39"/>
      <c r="Z86" s="39"/>
      <c r="AA86" s="111" t="s">
        <v>1430</v>
      </c>
      <c r="AB86" s="39" t="s">
        <v>1026</v>
      </c>
      <c r="AC86" s="109">
        <v>44318</v>
      </c>
      <c r="AD86" s="24">
        <v>85</v>
      </c>
      <c r="AE86" s="24">
        <f>VLOOKUP(F86,Stakeholders!E:K,7,0)</f>
        <v>101</v>
      </c>
      <c r="AF86" s="24">
        <f>VLOOKUP(B86&amp;D86,Areas!$D:$E,2,FALSE)</f>
        <v>249</v>
      </c>
      <c r="AG86" s="39"/>
      <c r="AH86" s="24" t="s">
        <v>82</v>
      </c>
      <c r="AI86" s="24">
        <f>COUNTIF(Stakeholders!$E$2:$E$114,F86)</f>
        <v>1</v>
      </c>
      <c r="AJ86" s="39"/>
      <c r="AK86" s="39"/>
      <c r="AL86" s="39"/>
      <c r="AM86" s="39"/>
      <c r="AN86" s="39"/>
      <c r="AO86" s="39"/>
      <c r="AP86" s="39"/>
      <c r="AQ86" s="39"/>
      <c r="AR86" s="39"/>
      <c r="AS86" s="39"/>
      <c r="AT86" s="39"/>
      <c r="AU86" s="39"/>
      <c r="AV86" s="39"/>
      <c r="AW86" s="39"/>
    </row>
    <row r="87" spans="1:49" ht="15.75" customHeight="1">
      <c r="A87" s="37">
        <v>2020</v>
      </c>
      <c r="B87" s="37" t="s">
        <v>92</v>
      </c>
      <c r="C87" s="65" t="s">
        <v>412</v>
      </c>
      <c r="D87" s="37" t="s">
        <v>412</v>
      </c>
      <c r="E87" s="29" t="s">
        <v>412</v>
      </c>
      <c r="F87" s="29" t="s">
        <v>859</v>
      </c>
      <c r="G87" s="29">
        <f>COUNTIF(Stakeholders!$E$2:$E960,F87)</f>
        <v>1</v>
      </c>
      <c r="H87" s="37" t="s">
        <v>1441</v>
      </c>
      <c r="I87" s="114" t="s">
        <v>1443</v>
      </c>
      <c r="J87" s="103" t="s">
        <v>67</v>
      </c>
      <c r="K87" s="103" t="s">
        <v>94</v>
      </c>
      <c r="L87" s="103"/>
      <c r="M87" s="103"/>
      <c r="N87" s="103"/>
      <c r="O87" s="103"/>
      <c r="P87" s="103"/>
      <c r="Q87" s="103"/>
      <c r="R87" s="103"/>
      <c r="S87" s="103"/>
      <c r="T87" s="103"/>
      <c r="U87" s="103"/>
      <c r="V87" s="37"/>
      <c r="W87" s="103" t="s">
        <v>67</v>
      </c>
      <c r="X87" s="37"/>
      <c r="Y87" s="37"/>
      <c r="Z87" s="37"/>
      <c r="AA87" s="34" t="s">
        <v>1450</v>
      </c>
      <c r="AB87" s="37" t="s">
        <v>1026</v>
      </c>
      <c r="AC87" s="104">
        <v>44318</v>
      </c>
      <c r="AD87" s="34">
        <v>86</v>
      </c>
      <c r="AE87" s="34">
        <f>VLOOKUP(F87,Stakeholders!E:K,7,0)</f>
        <v>101</v>
      </c>
      <c r="AF87" s="34">
        <f>VLOOKUP(B87&amp;D87,Areas!$D:$E,2,FALSE)</f>
        <v>249</v>
      </c>
      <c r="AG87" s="37"/>
      <c r="AH87" s="34" t="s">
        <v>82</v>
      </c>
      <c r="AI87" s="34">
        <f>COUNTIF(Stakeholders!$E$2:$E$114,F87)</f>
        <v>1</v>
      </c>
      <c r="AJ87" s="37"/>
      <c r="AK87" s="37"/>
      <c r="AL87" s="37"/>
      <c r="AM87" s="37"/>
      <c r="AN87" s="37"/>
      <c r="AO87" s="37"/>
      <c r="AP87" s="37"/>
      <c r="AQ87" s="37"/>
      <c r="AR87" s="37"/>
      <c r="AS87" s="37"/>
      <c r="AT87" s="37"/>
      <c r="AU87" s="37"/>
      <c r="AV87" s="37"/>
      <c r="AW87" s="37"/>
    </row>
    <row r="88" spans="1:49" ht="15.75" customHeight="1">
      <c r="A88" s="39">
        <v>2018</v>
      </c>
      <c r="B88" s="39" t="s">
        <v>92</v>
      </c>
      <c r="C88" s="80" t="s">
        <v>412</v>
      </c>
      <c r="D88" s="39" t="s">
        <v>412</v>
      </c>
      <c r="E88" s="14" t="s">
        <v>412</v>
      </c>
      <c r="F88" s="14" t="s">
        <v>859</v>
      </c>
      <c r="G88" s="14">
        <f>COUNTIF(Stakeholders!$E$2:$E960,F88)</f>
        <v>1</v>
      </c>
      <c r="H88" s="39" t="s">
        <v>1465</v>
      </c>
      <c r="I88" s="113" t="s">
        <v>1466</v>
      </c>
      <c r="J88" s="108" t="s">
        <v>67</v>
      </c>
      <c r="K88" s="108" t="s">
        <v>94</v>
      </c>
      <c r="L88" s="108"/>
      <c r="M88" s="108"/>
      <c r="N88" s="108"/>
      <c r="O88" s="108"/>
      <c r="P88" s="108"/>
      <c r="Q88" s="108"/>
      <c r="R88" s="108"/>
      <c r="S88" s="108"/>
      <c r="T88" s="108"/>
      <c r="U88" s="108"/>
      <c r="V88" s="39"/>
      <c r="W88" s="108" t="s">
        <v>67</v>
      </c>
      <c r="X88" s="39"/>
      <c r="Y88" s="39"/>
      <c r="Z88" s="39"/>
      <c r="AA88" s="111" t="s">
        <v>1475</v>
      </c>
      <c r="AB88" s="39" t="s">
        <v>1026</v>
      </c>
      <c r="AC88" s="109">
        <v>44318</v>
      </c>
      <c r="AD88" s="24">
        <v>87</v>
      </c>
      <c r="AE88" s="24">
        <f>VLOOKUP(F88,Stakeholders!E:K,7,0)</f>
        <v>101</v>
      </c>
      <c r="AF88" s="24">
        <f>VLOOKUP(B88&amp;D88,Areas!$D:$E,2,FALSE)</f>
        <v>249</v>
      </c>
      <c r="AG88" s="39"/>
      <c r="AH88" s="24" t="s">
        <v>82</v>
      </c>
      <c r="AI88" s="24">
        <f>COUNTIF(Stakeholders!$E$2:$E$114,F88)</f>
        <v>1</v>
      </c>
      <c r="AJ88" s="39"/>
      <c r="AK88" s="39"/>
      <c r="AL88" s="39"/>
      <c r="AM88" s="39"/>
      <c r="AN88" s="39"/>
      <c r="AO88" s="39"/>
      <c r="AP88" s="39"/>
      <c r="AQ88" s="39"/>
      <c r="AR88" s="39"/>
      <c r="AS88" s="39"/>
      <c r="AT88" s="39"/>
      <c r="AU88" s="39"/>
      <c r="AV88" s="39"/>
      <c r="AW88" s="39"/>
    </row>
    <row r="89" spans="1:49" ht="15.75" customHeight="1">
      <c r="A89" s="37">
        <v>2018</v>
      </c>
      <c r="B89" s="37" t="s">
        <v>92</v>
      </c>
      <c r="C89" s="65" t="s">
        <v>412</v>
      </c>
      <c r="D89" s="37" t="s">
        <v>412</v>
      </c>
      <c r="E89" s="29" t="s">
        <v>412</v>
      </c>
      <c r="F89" s="29" t="s">
        <v>847</v>
      </c>
      <c r="G89" s="29">
        <f>COUNTIF(Stakeholders!$E$2:$E960,F89)</f>
        <v>1</v>
      </c>
      <c r="H89" s="37" t="s">
        <v>1487</v>
      </c>
      <c r="I89" s="114" t="s">
        <v>1488</v>
      </c>
      <c r="J89" s="103" t="s">
        <v>67</v>
      </c>
      <c r="K89" s="103" t="s">
        <v>94</v>
      </c>
      <c r="L89" s="103"/>
      <c r="M89" s="103"/>
      <c r="N89" s="103"/>
      <c r="O89" s="103"/>
      <c r="P89" s="103"/>
      <c r="Q89" s="103"/>
      <c r="R89" s="103"/>
      <c r="S89" s="103"/>
      <c r="T89" s="103"/>
      <c r="U89" s="103"/>
      <c r="V89" s="37"/>
      <c r="W89" s="103" t="s">
        <v>94</v>
      </c>
      <c r="X89" s="37"/>
      <c r="Y89" s="37"/>
      <c r="Z89" s="37"/>
      <c r="AA89" s="34" t="s">
        <v>1500</v>
      </c>
      <c r="AB89" s="37" t="s">
        <v>1026</v>
      </c>
      <c r="AC89" s="104">
        <v>44318</v>
      </c>
      <c r="AD89" s="34">
        <v>88</v>
      </c>
      <c r="AE89" s="34">
        <f>VLOOKUP(F89,Stakeholders!E:K,7,0)</f>
        <v>98</v>
      </c>
      <c r="AF89" s="34">
        <f>VLOOKUP(B89&amp;D89,Areas!$D:$E,2,FALSE)</f>
        <v>249</v>
      </c>
      <c r="AG89" s="37"/>
      <c r="AH89" s="34" t="s">
        <v>82</v>
      </c>
      <c r="AI89" s="34">
        <f>COUNTIF(Stakeholders!$E$2:$E$114,F89)</f>
        <v>1</v>
      </c>
      <c r="AJ89" s="37"/>
      <c r="AK89" s="37"/>
      <c r="AL89" s="37"/>
      <c r="AM89" s="37"/>
      <c r="AN89" s="37"/>
      <c r="AO89" s="37"/>
      <c r="AP89" s="37"/>
      <c r="AQ89" s="37"/>
      <c r="AR89" s="37"/>
      <c r="AS89" s="37"/>
      <c r="AT89" s="37"/>
      <c r="AU89" s="37"/>
      <c r="AV89" s="37"/>
      <c r="AW89" s="37"/>
    </row>
    <row r="90" spans="1:49" ht="15.75" customHeight="1">
      <c r="A90" s="39">
        <v>2020</v>
      </c>
      <c r="B90" s="39" t="s">
        <v>92</v>
      </c>
      <c r="C90" s="80" t="s">
        <v>412</v>
      </c>
      <c r="D90" s="39" t="s">
        <v>412</v>
      </c>
      <c r="E90" s="14" t="s">
        <v>412</v>
      </c>
      <c r="F90" s="14" t="s">
        <v>847</v>
      </c>
      <c r="G90" s="14">
        <f>COUNTIF(Stakeholders!$E$2:$E960,F90)</f>
        <v>1</v>
      </c>
      <c r="H90" s="39" t="s">
        <v>1513</v>
      </c>
      <c r="I90" s="113" t="s">
        <v>1514</v>
      </c>
      <c r="J90" s="108" t="s">
        <v>67</v>
      </c>
      <c r="K90" s="108" t="s">
        <v>94</v>
      </c>
      <c r="L90" s="108"/>
      <c r="M90" s="108"/>
      <c r="N90" s="108"/>
      <c r="O90" s="108"/>
      <c r="P90" s="108"/>
      <c r="Q90" s="108"/>
      <c r="R90" s="108"/>
      <c r="S90" s="108"/>
      <c r="T90" s="108"/>
      <c r="U90" s="108"/>
      <c r="V90" s="39"/>
      <c r="W90" s="108" t="s">
        <v>94</v>
      </c>
      <c r="X90" s="39"/>
      <c r="Y90" s="39"/>
      <c r="Z90" s="39"/>
      <c r="AA90" s="111" t="s">
        <v>1515</v>
      </c>
      <c r="AB90" s="39" t="s">
        <v>1026</v>
      </c>
      <c r="AC90" s="109">
        <v>44318</v>
      </c>
      <c r="AD90" s="24">
        <v>89</v>
      </c>
      <c r="AE90" s="24">
        <f>VLOOKUP(F90,Stakeholders!E:K,7,0)</f>
        <v>98</v>
      </c>
      <c r="AF90" s="24">
        <f>VLOOKUP(B90&amp;D90,Areas!$D:$E,2,FALSE)</f>
        <v>249</v>
      </c>
      <c r="AG90" s="39"/>
      <c r="AH90" s="24" t="s">
        <v>82</v>
      </c>
      <c r="AI90" s="24">
        <f>COUNTIF(Stakeholders!$E$2:$E$114,F90)</f>
        <v>1</v>
      </c>
      <c r="AJ90" s="39"/>
      <c r="AK90" s="39"/>
      <c r="AL90" s="39"/>
      <c r="AM90" s="39"/>
      <c r="AN90" s="39"/>
      <c r="AO90" s="39"/>
      <c r="AP90" s="39"/>
      <c r="AQ90" s="39"/>
      <c r="AR90" s="39"/>
      <c r="AS90" s="39"/>
      <c r="AT90" s="39"/>
      <c r="AU90" s="39"/>
      <c r="AV90" s="39"/>
      <c r="AW90" s="39"/>
    </row>
    <row r="91" spans="1:49" ht="15.75" customHeight="1">
      <c r="A91" s="37">
        <v>2018</v>
      </c>
      <c r="B91" s="37" t="s">
        <v>92</v>
      </c>
      <c r="C91" s="65" t="s">
        <v>412</v>
      </c>
      <c r="D91" s="37" t="s">
        <v>311</v>
      </c>
      <c r="E91" s="29" t="s">
        <v>412</v>
      </c>
      <c r="F91" s="29" t="s">
        <v>842</v>
      </c>
      <c r="G91" s="29">
        <f>COUNTIF(Stakeholders!$E$2:$E960,F91)</f>
        <v>1</v>
      </c>
      <c r="H91" s="37" t="s">
        <v>1516</v>
      </c>
      <c r="I91" s="114" t="s">
        <v>1517</v>
      </c>
      <c r="J91" s="103" t="s">
        <v>67</v>
      </c>
      <c r="K91" s="103" t="s">
        <v>94</v>
      </c>
      <c r="L91" s="103"/>
      <c r="M91" s="103"/>
      <c r="N91" s="103"/>
      <c r="O91" s="103"/>
      <c r="P91" s="103"/>
      <c r="Q91" s="103"/>
      <c r="R91" s="103"/>
      <c r="S91" s="103"/>
      <c r="T91" s="103"/>
      <c r="U91" s="103"/>
      <c r="V91" s="37"/>
      <c r="W91" s="103" t="s">
        <v>94</v>
      </c>
      <c r="X91" s="37"/>
      <c r="Y91" s="37"/>
      <c r="Z91" s="37"/>
      <c r="AA91" s="34" t="s">
        <v>1518</v>
      </c>
      <c r="AB91" s="37" t="s">
        <v>1026</v>
      </c>
      <c r="AC91" s="104">
        <v>44318</v>
      </c>
      <c r="AD91" s="34">
        <v>90</v>
      </c>
      <c r="AE91" s="34">
        <f>VLOOKUP(F91,Stakeholders!E:K,7,0)</f>
        <v>97</v>
      </c>
      <c r="AF91" s="34" t="e">
        <f>VLOOKUP(B91&amp;D91,Areas!$D:$E,2,FALSE)</f>
        <v>#N/A</v>
      </c>
      <c r="AG91" s="37"/>
      <c r="AH91" s="34" t="s">
        <v>82</v>
      </c>
      <c r="AI91" s="34">
        <f>COUNTIF(Stakeholders!$E$2:$E$114,F91)</f>
        <v>1</v>
      </c>
      <c r="AJ91" s="37"/>
      <c r="AK91" s="37"/>
      <c r="AL91" s="37"/>
      <c r="AM91" s="37"/>
      <c r="AN91" s="37"/>
      <c r="AO91" s="37"/>
      <c r="AP91" s="37"/>
      <c r="AQ91" s="37"/>
      <c r="AR91" s="37"/>
      <c r="AS91" s="37"/>
      <c r="AT91" s="37"/>
      <c r="AU91" s="37"/>
      <c r="AV91" s="37"/>
      <c r="AW91" s="37"/>
    </row>
    <row r="92" spans="1:49" ht="15.75" customHeight="1">
      <c r="A92" s="39">
        <v>2020</v>
      </c>
      <c r="B92" s="39" t="s">
        <v>92</v>
      </c>
      <c r="C92" s="80" t="s">
        <v>412</v>
      </c>
      <c r="D92" s="39" t="s">
        <v>412</v>
      </c>
      <c r="E92" s="14" t="s">
        <v>307</v>
      </c>
      <c r="F92" s="14" t="s">
        <v>564</v>
      </c>
      <c r="G92" s="14">
        <f>COUNTIF(Stakeholders!$E$2:$E960,F92)</f>
        <v>1</v>
      </c>
      <c r="H92" s="39" t="s">
        <v>1519</v>
      </c>
      <c r="I92" s="113" t="s">
        <v>1520</v>
      </c>
      <c r="J92" s="108" t="s">
        <v>67</v>
      </c>
      <c r="K92" s="108" t="s">
        <v>94</v>
      </c>
      <c r="L92" s="108"/>
      <c r="M92" s="108"/>
      <c r="N92" s="108"/>
      <c r="O92" s="108"/>
      <c r="P92" s="108"/>
      <c r="Q92" s="108"/>
      <c r="R92" s="108"/>
      <c r="S92" s="108"/>
      <c r="T92" s="108"/>
      <c r="U92" s="108"/>
      <c r="V92" s="39"/>
      <c r="W92" s="108" t="s">
        <v>94</v>
      </c>
      <c r="X92" s="39"/>
      <c r="Y92" s="39"/>
      <c r="Z92" s="39"/>
      <c r="AA92" s="111" t="s">
        <v>1521</v>
      </c>
      <c r="AB92" s="39" t="s">
        <v>1026</v>
      </c>
      <c r="AC92" s="109">
        <v>44318</v>
      </c>
      <c r="AD92" s="24">
        <v>91</v>
      </c>
      <c r="AE92" s="24">
        <f>VLOOKUP(F92,Stakeholders!E:K,7,0)</f>
        <v>57</v>
      </c>
      <c r="AF92" s="24">
        <f>VLOOKUP(B92&amp;D92,Areas!$D:$E,2,FALSE)</f>
        <v>249</v>
      </c>
      <c r="AG92" s="39"/>
      <c r="AH92" s="24" t="s">
        <v>82</v>
      </c>
      <c r="AI92" s="24">
        <f>COUNTIF(Stakeholders!$E$2:$E$114,F92)</f>
        <v>1</v>
      </c>
      <c r="AJ92" s="39"/>
      <c r="AK92" s="39"/>
      <c r="AL92" s="39"/>
      <c r="AM92" s="39"/>
      <c r="AN92" s="39"/>
      <c r="AO92" s="39"/>
      <c r="AP92" s="39"/>
      <c r="AQ92" s="39"/>
      <c r="AR92" s="39"/>
      <c r="AS92" s="39"/>
      <c r="AT92" s="39"/>
      <c r="AU92" s="39"/>
      <c r="AV92" s="39"/>
      <c r="AW92" s="39"/>
    </row>
    <row r="93" spans="1:49" ht="15.75" customHeight="1">
      <c r="A93" s="37">
        <v>2019</v>
      </c>
      <c r="B93" s="37" t="s">
        <v>92</v>
      </c>
      <c r="C93" s="65" t="s">
        <v>412</v>
      </c>
      <c r="D93" s="37" t="s">
        <v>412</v>
      </c>
      <c r="E93" s="29" t="s">
        <v>412</v>
      </c>
      <c r="F93" s="29" t="s">
        <v>847</v>
      </c>
      <c r="G93" s="29">
        <f>COUNTIF(Stakeholders!$E$2:$E960,F93)</f>
        <v>1</v>
      </c>
      <c r="H93" s="37" t="s">
        <v>1522</v>
      </c>
      <c r="I93" s="114" t="s">
        <v>1523</v>
      </c>
      <c r="J93" s="103" t="s">
        <v>67</v>
      </c>
      <c r="K93" s="103" t="s">
        <v>94</v>
      </c>
      <c r="L93" s="103"/>
      <c r="M93" s="103"/>
      <c r="N93" s="103"/>
      <c r="O93" s="103"/>
      <c r="P93" s="103"/>
      <c r="Q93" s="103"/>
      <c r="R93" s="103"/>
      <c r="S93" s="103"/>
      <c r="T93" s="103"/>
      <c r="U93" s="103"/>
      <c r="V93" s="37"/>
      <c r="W93" s="103" t="s">
        <v>94</v>
      </c>
      <c r="X93" s="37"/>
      <c r="Y93" s="37"/>
      <c r="Z93" s="37"/>
      <c r="AA93" s="34" t="s">
        <v>1524</v>
      </c>
      <c r="AB93" s="37" t="s">
        <v>1026</v>
      </c>
      <c r="AC93" s="104">
        <v>44318</v>
      </c>
      <c r="AD93" s="34">
        <v>92</v>
      </c>
      <c r="AE93" s="34">
        <f>VLOOKUP(F93,Stakeholders!E:K,7,0)</f>
        <v>98</v>
      </c>
      <c r="AF93" s="34">
        <f>VLOOKUP(B93&amp;D93,Areas!$D:$E,2,FALSE)</f>
        <v>249</v>
      </c>
      <c r="AG93" s="37"/>
      <c r="AH93" s="34" t="s">
        <v>82</v>
      </c>
      <c r="AI93" s="34">
        <f>COUNTIF(Stakeholders!$E$2:$E$114,F93)</f>
        <v>1</v>
      </c>
      <c r="AJ93" s="37"/>
      <c r="AK93" s="37"/>
      <c r="AL93" s="37"/>
      <c r="AM93" s="37"/>
      <c r="AN93" s="37"/>
      <c r="AO93" s="37"/>
      <c r="AP93" s="37"/>
      <c r="AQ93" s="37"/>
      <c r="AR93" s="37"/>
      <c r="AS93" s="37"/>
      <c r="AT93" s="37"/>
      <c r="AU93" s="37"/>
      <c r="AV93" s="37"/>
      <c r="AW93" s="37"/>
    </row>
    <row r="94" spans="1:49" ht="15.75" customHeight="1">
      <c r="A94" s="39">
        <v>2020</v>
      </c>
      <c r="B94" s="39" t="s">
        <v>92</v>
      </c>
      <c r="C94" s="80" t="s">
        <v>412</v>
      </c>
      <c r="D94" s="39" t="s">
        <v>412</v>
      </c>
      <c r="E94" s="14" t="s">
        <v>412</v>
      </c>
      <c r="F94" s="14" t="s">
        <v>847</v>
      </c>
      <c r="G94" s="14">
        <f>COUNTIF(Stakeholders!$E$2:$E960,F94)</f>
        <v>1</v>
      </c>
      <c r="H94" s="39" t="s">
        <v>1525</v>
      </c>
      <c r="I94" s="113" t="s">
        <v>1526</v>
      </c>
      <c r="J94" s="108" t="s">
        <v>67</v>
      </c>
      <c r="K94" s="108" t="s">
        <v>94</v>
      </c>
      <c r="L94" s="108"/>
      <c r="M94" s="108"/>
      <c r="N94" s="108"/>
      <c r="O94" s="108"/>
      <c r="P94" s="108"/>
      <c r="Q94" s="108"/>
      <c r="R94" s="108"/>
      <c r="S94" s="108"/>
      <c r="T94" s="108"/>
      <c r="U94" s="108"/>
      <c r="V94" s="39"/>
      <c r="W94" s="108" t="s">
        <v>94</v>
      </c>
      <c r="X94" s="39"/>
      <c r="Y94" s="39"/>
      <c r="Z94" s="39"/>
      <c r="AA94" s="111" t="s">
        <v>1524</v>
      </c>
      <c r="AB94" s="39" t="s">
        <v>1026</v>
      </c>
      <c r="AC94" s="109">
        <v>44318</v>
      </c>
      <c r="AD94" s="24">
        <v>93</v>
      </c>
      <c r="AE94" s="24">
        <f>VLOOKUP(F94,Stakeholders!E:K,7,0)</f>
        <v>98</v>
      </c>
      <c r="AF94" s="24">
        <f>VLOOKUP(B94&amp;D94,Areas!$D:$E,2,FALSE)</f>
        <v>249</v>
      </c>
      <c r="AG94" s="39"/>
      <c r="AH94" s="24" t="s">
        <v>82</v>
      </c>
      <c r="AI94" s="24">
        <f>COUNTIF(Stakeholders!$E$2:$E$114,F94)</f>
        <v>1</v>
      </c>
      <c r="AJ94" s="39"/>
      <c r="AK94" s="39"/>
      <c r="AL94" s="39"/>
      <c r="AM94" s="39"/>
      <c r="AN94" s="39"/>
      <c r="AO94" s="39"/>
      <c r="AP94" s="39"/>
      <c r="AQ94" s="39"/>
      <c r="AR94" s="39"/>
      <c r="AS94" s="39"/>
      <c r="AT94" s="39"/>
      <c r="AU94" s="39"/>
      <c r="AV94" s="39"/>
      <c r="AW94" s="39"/>
    </row>
    <row r="95" spans="1:49" ht="15.75" customHeight="1">
      <c r="A95" s="37">
        <v>2020</v>
      </c>
      <c r="B95" s="37" t="s">
        <v>92</v>
      </c>
      <c r="C95" s="65" t="s">
        <v>412</v>
      </c>
      <c r="D95" s="37" t="s">
        <v>412</v>
      </c>
      <c r="E95" s="29" t="s">
        <v>412</v>
      </c>
      <c r="F95" s="29" t="s">
        <v>847</v>
      </c>
      <c r="G95" s="29">
        <f>COUNTIF(Stakeholders!$E$2:$E960,F95)</f>
        <v>1</v>
      </c>
      <c r="H95" s="37" t="s">
        <v>1527</v>
      </c>
      <c r="I95" s="114" t="s">
        <v>1528</v>
      </c>
      <c r="J95" s="103" t="s">
        <v>67</v>
      </c>
      <c r="K95" s="103" t="s">
        <v>94</v>
      </c>
      <c r="L95" s="103"/>
      <c r="M95" s="103"/>
      <c r="N95" s="103"/>
      <c r="O95" s="103"/>
      <c r="P95" s="103"/>
      <c r="Q95" s="103"/>
      <c r="R95" s="103"/>
      <c r="S95" s="103"/>
      <c r="T95" s="103"/>
      <c r="U95" s="103"/>
      <c r="V95" s="37"/>
      <c r="W95" s="103" t="s">
        <v>94</v>
      </c>
      <c r="X95" s="37"/>
      <c r="Y95" s="37"/>
      <c r="Z95" s="37"/>
      <c r="AA95" s="34" t="s">
        <v>1529</v>
      </c>
      <c r="AB95" s="37" t="s">
        <v>1026</v>
      </c>
      <c r="AC95" s="104">
        <v>44318</v>
      </c>
      <c r="AD95" s="34">
        <v>94</v>
      </c>
      <c r="AE95" s="34">
        <f>VLOOKUP(F95,Stakeholders!E:K,7,0)</f>
        <v>98</v>
      </c>
      <c r="AF95" s="34">
        <f>VLOOKUP(B95&amp;D95,Areas!$D:$E,2,FALSE)</f>
        <v>249</v>
      </c>
      <c r="AG95" s="37"/>
      <c r="AH95" s="34" t="s">
        <v>82</v>
      </c>
      <c r="AI95" s="34">
        <f>COUNTIF(Stakeholders!$E$2:$E$114,F95)</f>
        <v>1</v>
      </c>
      <c r="AJ95" s="37"/>
      <c r="AK95" s="37"/>
      <c r="AL95" s="37"/>
      <c r="AM95" s="37"/>
      <c r="AN95" s="37"/>
      <c r="AO95" s="37"/>
      <c r="AP95" s="37"/>
      <c r="AQ95" s="37"/>
      <c r="AR95" s="37"/>
      <c r="AS95" s="37"/>
      <c r="AT95" s="37"/>
      <c r="AU95" s="37"/>
      <c r="AV95" s="37"/>
      <c r="AW95" s="37"/>
    </row>
    <row r="96" spans="1:49" ht="15.75" customHeight="1">
      <c r="A96" s="39">
        <v>2020</v>
      </c>
      <c r="B96" s="39" t="s">
        <v>92</v>
      </c>
      <c r="C96" s="80" t="s">
        <v>438</v>
      </c>
      <c r="D96" s="39" t="s">
        <v>438</v>
      </c>
      <c r="E96" s="14" t="s">
        <v>438</v>
      </c>
      <c r="F96" s="14" t="s">
        <v>868</v>
      </c>
      <c r="G96" s="14">
        <f>COUNTIF(Stakeholders!$E$2:$E960,F96)</f>
        <v>1</v>
      </c>
      <c r="H96" s="39" t="s">
        <v>1530</v>
      </c>
      <c r="I96" s="113" t="s">
        <v>1531</v>
      </c>
      <c r="J96" s="108" t="s">
        <v>67</v>
      </c>
      <c r="K96" s="108" t="s">
        <v>94</v>
      </c>
      <c r="L96" s="108"/>
      <c r="M96" s="108"/>
      <c r="N96" s="108"/>
      <c r="O96" s="108"/>
      <c r="P96" s="108"/>
      <c r="Q96" s="108"/>
      <c r="R96" s="108"/>
      <c r="S96" s="108"/>
      <c r="T96" s="108"/>
      <c r="U96" s="108"/>
      <c r="V96" s="39"/>
      <c r="W96" s="108" t="s">
        <v>94</v>
      </c>
      <c r="X96" s="39"/>
      <c r="Y96" s="39"/>
      <c r="Z96" s="39"/>
      <c r="AA96" s="111" t="s">
        <v>1532</v>
      </c>
      <c r="AB96" s="39" t="s">
        <v>1026</v>
      </c>
      <c r="AC96" s="109">
        <v>44318</v>
      </c>
      <c r="AD96" s="24">
        <v>95</v>
      </c>
      <c r="AE96" s="24">
        <f>VLOOKUP(F96,Stakeholders!E:K,7,0)</f>
        <v>102</v>
      </c>
      <c r="AF96" s="24">
        <f>VLOOKUP(B96&amp;D96,Areas!$D:$E,2,FALSE)</f>
        <v>267</v>
      </c>
      <c r="AG96" s="39"/>
      <c r="AH96" s="24" t="s">
        <v>82</v>
      </c>
      <c r="AI96" s="24">
        <f>COUNTIF(Stakeholders!$E$2:$E$114,F96)</f>
        <v>1</v>
      </c>
      <c r="AJ96" s="39"/>
      <c r="AK96" s="39"/>
      <c r="AL96" s="39"/>
      <c r="AM96" s="39"/>
      <c r="AN96" s="39"/>
      <c r="AO96" s="39"/>
      <c r="AP96" s="39"/>
      <c r="AQ96" s="39"/>
      <c r="AR96" s="39"/>
      <c r="AS96" s="39"/>
      <c r="AT96" s="39"/>
      <c r="AU96" s="39"/>
      <c r="AV96" s="39"/>
      <c r="AW96" s="39"/>
    </row>
    <row r="97" spans="1:49" ht="15.75" customHeight="1">
      <c r="A97" s="37">
        <v>2019</v>
      </c>
      <c r="B97" s="37" t="s">
        <v>92</v>
      </c>
      <c r="C97" s="65" t="s">
        <v>438</v>
      </c>
      <c r="D97" s="37" t="s">
        <v>438</v>
      </c>
      <c r="E97" s="29" t="s">
        <v>438</v>
      </c>
      <c r="F97" s="29" t="s">
        <v>868</v>
      </c>
      <c r="G97" s="29">
        <f>COUNTIF(Stakeholders!$E$2:$E960,F97)</f>
        <v>1</v>
      </c>
      <c r="H97" s="37" t="s">
        <v>1533</v>
      </c>
      <c r="I97" s="114" t="s">
        <v>1534</v>
      </c>
      <c r="J97" s="103" t="s">
        <v>67</v>
      </c>
      <c r="K97" s="103" t="s">
        <v>94</v>
      </c>
      <c r="L97" s="103"/>
      <c r="M97" s="103"/>
      <c r="N97" s="103"/>
      <c r="O97" s="103"/>
      <c r="P97" s="103"/>
      <c r="Q97" s="103"/>
      <c r="R97" s="103"/>
      <c r="S97" s="103"/>
      <c r="T97" s="103"/>
      <c r="U97" s="103"/>
      <c r="V97" s="37"/>
      <c r="W97" s="103" t="s">
        <v>94</v>
      </c>
      <c r="X97" s="37"/>
      <c r="Y97" s="37"/>
      <c r="Z97" s="37"/>
      <c r="AA97" s="34" t="s">
        <v>1535</v>
      </c>
      <c r="AB97" s="37" t="s">
        <v>1026</v>
      </c>
      <c r="AC97" s="104">
        <v>44318</v>
      </c>
      <c r="AD97" s="34">
        <v>96</v>
      </c>
      <c r="AE97" s="34">
        <f>VLOOKUP(F97,Stakeholders!E:K,7,0)</f>
        <v>102</v>
      </c>
      <c r="AF97" s="34">
        <f>VLOOKUP(B97&amp;D97,Areas!$D:$E,2,FALSE)</f>
        <v>267</v>
      </c>
      <c r="AG97" s="37"/>
      <c r="AH97" s="34" t="s">
        <v>82</v>
      </c>
      <c r="AI97" s="34">
        <f>COUNTIF(Stakeholders!$E$2:$E$114,F97)</f>
        <v>1</v>
      </c>
      <c r="AJ97" s="37"/>
      <c r="AK97" s="37"/>
      <c r="AL97" s="37"/>
      <c r="AM97" s="37"/>
      <c r="AN97" s="37"/>
      <c r="AO97" s="37"/>
      <c r="AP97" s="37"/>
      <c r="AQ97" s="37"/>
      <c r="AR97" s="37"/>
      <c r="AS97" s="37"/>
      <c r="AT97" s="37"/>
      <c r="AU97" s="37"/>
      <c r="AV97" s="37"/>
      <c r="AW97" s="37"/>
    </row>
    <row r="98" spans="1:49" ht="15.75" customHeight="1">
      <c r="A98" s="39">
        <v>2019</v>
      </c>
      <c r="B98" s="39" t="s">
        <v>92</v>
      </c>
      <c r="C98" s="80" t="s">
        <v>438</v>
      </c>
      <c r="D98" s="39" t="s">
        <v>438</v>
      </c>
      <c r="E98" s="14" t="s">
        <v>438</v>
      </c>
      <c r="F98" s="14" t="s">
        <v>868</v>
      </c>
      <c r="G98" s="14">
        <f>COUNTIF(Stakeholders!$E$2:$E960,F98)</f>
        <v>1</v>
      </c>
      <c r="H98" s="39" t="s">
        <v>1536</v>
      </c>
      <c r="I98" s="113" t="s">
        <v>1537</v>
      </c>
      <c r="J98" s="108" t="s">
        <v>67</v>
      </c>
      <c r="K98" s="108" t="s">
        <v>94</v>
      </c>
      <c r="L98" s="108"/>
      <c r="M98" s="108"/>
      <c r="N98" s="108"/>
      <c r="O98" s="108"/>
      <c r="P98" s="108"/>
      <c r="Q98" s="108"/>
      <c r="R98" s="108"/>
      <c r="S98" s="108"/>
      <c r="T98" s="108"/>
      <c r="U98" s="108"/>
      <c r="V98" s="39"/>
      <c r="W98" s="108" t="s">
        <v>94</v>
      </c>
      <c r="X98" s="39"/>
      <c r="Y98" s="39"/>
      <c r="Z98" s="39"/>
      <c r="AA98" s="111" t="s">
        <v>1538</v>
      </c>
      <c r="AB98" s="39" t="s">
        <v>1026</v>
      </c>
      <c r="AC98" s="109">
        <v>44318</v>
      </c>
      <c r="AD98" s="24">
        <v>97</v>
      </c>
      <c r="AE98" s="24">
        <f>VLOOKUP(F98,Stakeholders!E:K,7,0)</f>
        <v>102</v>
      </c>
      <c r="AF98" s="24">
        <f>VLOOKUP(B98&amp;D98,Areas!$D:$E,2,FALSE)</f>
        <v>267</v>
      </c>
      <c r="AG98" s="39"/>
      <c r="AH98" s="24" t="s">
        <v>82</v>
      </c>
      <c r="AI98" s="24">
        <f>COUNTIF(Stakeholders!$E$2:$E$114,F98)</f>
        <v>1</v>
      </c>
      <c r="AJ98" s="39"/>
      <c r="AK98" s="39"/>
      <c r="AL98" s="39"/>
      <c r="AM98" s="39"/>
      <c r="AN98" s="39"/>
      <c r="AO98" s="39"/>
      <c r="AP98" s="39"/>
      <c r="AQ98" s="39"/>
      <c r="AR98" s="39"/>
      <c r="AS98" s="39"/>
      <c r="AT98" s="39"/>
      <c r="AU98" s="39"/>
      <c r="AV98" s="39"/>
      <c r="AW98" s="39"/>
    </row>
    <row r="99" spans="1:49" ht="15.75" customHeight="1">
      <c r="A99" s="37">
        <v>2014</v>
      </c>
      <c r="B99" s="37" t="s">
        <v>92</v>
      </c>
      <c r="C99" s="37" t="s">
        <v>440</v>
      </c>
      <c r="D99" s="37" t="s">
        <v>440</v>
      </c>
      <c r="E99" s="29" t="s">
        <v>412</v>
      </c>
      <c r="F99" s="29" t="s">
        <v>839</v>
      </c>
      <c r="G99" s="29">
        <f>COUNTIF(Stakeholders!$E$2:$E960,F99)</f>
        <v>1</v>
      </c>
      <c r="H99" s="37" t="s">
        <v>1539</v>
      </c>
      <c r="I99" s="114" t="s">
        <v>1540</v>
      </c>
      <c r="J99" s="103" t="s">
        <v>67</v>
      </c>
      <c r="K99" s="103" t="s">
        <v>94</v>
      </c>
      <c r="L99" s="103"/>
      <c r="M99" s="103"/>
      <c r="N99" s="103"/>
      <c r="O99" s="103"/>
      <c r="P99" s="103"/>
      <c r="Q99" s="103"/>
      <c r="R99" s="103"/>
      <c r="S99" s="103"/>
      <c r="T99" s="103"/>
      <c r="U99" s="103"/>
      <c r="V99" s="84"/>
      <c r="W99" s="103" t="s">
        <v>94</v>
      </c>
      <c r="X99" s="84"/>
      <c r="Y99" s="84"/>
      <c r="Z99" s="84"/>
      <c r="AA99" s="34" t="s">
        <v>1541</v>
      </c>
      <c r="AB99" s="37" t="s">
        <v>1026</v>
      </c>
      <c r="AC99" s="104">
        <v>44318</v>
      </c>
      <c r="AD99" s="34">
        <v>98</v>
      </c>
      <c r="AE99" s="34">
        <f>VLOOKUP(F99,Stakeholders!E:K,7,0)</f>
        <v>96</v>
      </c>
      <c r="AF99" s="34">
        <f>VLOOKUP(B99&amp;D99,Areas!$D:$E,2,FALSE)</f>
        <v>270</v>
      </c>
      <c r="AG99" s="84"/>
      <c r="AH99" s="34" t="s">
        <v>82</v>
      </c>
      <c r="AI99" s="34">
        <f>COUNTIF(Stakeholders!$E$2:$E$114,F99)</f>
        <v>1</v>
      </c>
      <c r="AJ99" s="84"/>
      <c r="AK99" s="84"/>
      <c r="AL99" s="84"/>
      <c r="AM99" s="84"/>
      <c r="AN99" s="84"/>
      <c r="AO99" s="84"/>
      <c r="AP99" s="84"/>
      <c r="AQ99" s="84"/>
      <c r="AR99" s="84"/>
      <c r="AS99" s="84"/>
      <c r="AT99" s="84"/>
      <c r="AU99" s="84"/>
      <c r="AV99" s="84"/>
      <c r="AW99" s="84"/>
    </row>
    <row r="100" spans="1:49" ht="15.75" customHeight="1">
      <c r="A100" s="39">
        <v>2018</v>
      </c>
      <c r="B100" s="39" t="s">
        <v>58</v>
      </c>
      <c r="C100" s="80" t="s">
        <v>372</v>
      </c>
      <c r="D100" s="39" t="s">
        <v>372</v>
      </c>
      <c r="E100" s="14" t="s">
        <v>372</v>
      </c>
      <c r="F100" s="14" t="s">
        <v>655</v>
      </c>
      <c r="G100" s="14">
        <f>COUNTIF(Stakeholders!$E$2:$E960,F100)</f>
        <v>1</v>
      </c>
      <c r="H100" s="39" t="s">
        <v>1542</v>
      </c>
      <c r="I100" s="113" t="s">
        <v>1543</v>
      </c>
      <c r="J100" s="14"/>
      <c r="K100" s="14"/>
      <c r="L100" s="14"/>
      <c r="M100" s="14"/>
      <c r="N100" s="14"/>
      <c r="O100" s="14"/>
      <c r="P100" s="14"/>
      <c r="Q100" s="14"/>
      <c r="R100" s="14"/>
      <c r="S100" s="14"/>
      <c r="T100" s="14"/>
      <c r="U100" s="14"/>
      <c r="V100" s="111"/>
      <c r="W100" s="14"/>
      <c r="X100" s="111"/>
      <c r="Y100" s="111"/>
      <c r="Z100" s="111"/>
      <c r="AA100" s="24"/>
      <c r="AB100" s="39" t="s">
        <v>77</v>
      </c>
      <c r="AC100" s="55">
        <v>44310</v>
      </c>
      <c r="AD100" s="24">
        <v>99</v>
      </c>
      <c r="AE100" s="24">
        <f>VLOOKUP(F100,Stakeholders!E:K,7,0)</f>
        <v>70</v>
      </c>
      <c r="AF100" s="24">
        <f>VLOOKUP(B100&amp;D100,Areas!$D:$E,2,FALSE)</f>
        <v>204</v>
      </c>
      <c r="AG100" s="111"/>
      <c r="AH100" s="24" t="s">
        <v>82</v>
      </c>
      <c r="AI100" s="24">
        <f>COUNTIF(Stakeholders!$E$2:$E$114,F100)</f>
        <v>1</v>
      </c>
      <c r="AJ100" s="111"/>
      <c r="AK100" s="111"/>
      <c r="AL100" s="111"/>
      <c r="AM100" s="111"/>
      <c r="AN100" s="111"/>
      <c r="AO100" s="111"/>
      <c r="AP100" s="111"/>
      <c r="AQ100" s="111"/>
      <c r="AR100" s="111"/>
      <c r="AS100" s="111"/>
      <c r="AT100" s="111"/>
      <c r="AU100" s="111"/>
      <c r="AV100" s="111"/>
      <c r="AW100" s="111"/>
    </row>
    <row r="101" spans="1:49" ht="15.75" customHeight="1">
      <c r="A101" s="37">
        <v>2020</v>
      </c>
      <c r="B101" s="37" t="s">
        <v>58</v>
      </c>
      <c r="C101" s="29" t="s">
        <v>224</v>
      </c>
      <c r="D101" s="37" t="s">
        <v>246</v>
      </c>
      <c r="E101" s="29" t="s">
        <v>397</v>
      </c>
      <c r="F101" s="29" t="s">
        <v>832</v>
      </c>
      <c r="G101" s="29">
        <f>COUNTIF(Stakeholders!$E$2:$E960,F101)</f>
        <v>1</v>
      </c>
      <c r="H101" s="37" t="s">
        <v>1544</v>
      </c>
      <c r="I101" s="114" t="s">
        <v>1545</v>
      </c>
      <c r="J101" s="29"/>
      <c r="K101" s="29"/>
      <c r="L101" s="29"/>
      <c r="M101" s="29"/>
      <c r="N101" s="29"/>
      <c r="O101" s="29"/>
      <c r="P101" s="29"/>
      <c r="Q101" s="29"/>
      <c r="R101" s="29"/>
      <c r="S101" s="29"/>
      <c r="T101" s="29"/>
      <c r="U101" s="29"/>
      <c r="V101" s="84"/>
      <c r="W101" s="29"/>
      <c r="X101" s="84"/>
      <c r="Y101" s="84"/>
      <c r="Z101" s="84"/>
      <c r="AA101" s="84" t="s">
        <v>1546</v>
      </c>
      <c r="AB101" s="37" t="s">
        <v>77</v>
      </c>
      <c r="AC101" s="29"/>
      <c r="AD101" s="34">
        <v>100</v>
      </c>
      <c r="AE101" s="34">
        <f>VLOOKUP(F101,Stakeholders!E:K,7,0)</f>
        <v>94</v>
      </c>
      <c r="AF101" s="34" t="e">
        <f>VLOOKUP(B101&amp;D101,Areas!$D:$E,2,FALSE)</f>
        <v>#N/A</v>
      </c>
      <c r="AG101" s="84"/>
      <c r="AH101" s="34" t="s">
        <v>82</v>
      </c>
      <c r="AI101" s="34">
        <f>COUNTIF(Stakeholders!$E$2:$E$114,F101)</f>
        <v>1</v>
      </c>
      <c r="AJ101" s="84"/>
      <c r="AK101" s="84"/>
      <c r="AL101" s="84"/>
      <c r="AM101" s="84"/>
      <c r="AN101" s="84"/>
      <c r="AO101" s="84"/>
      <c r="AP101" s="84"/>
      <c r="AQ101" s="84"/>
      <c r="AR101" s="84"/>
      <c r="AS101" s="84"/>
      <c r="AT101" s="84"/>
      <c r="AU101" s="84"/>
      <c r="AV101" s="84"/>
      <c r="AW101" s="84"/>
    </row>
    <row r="102" spans="1:49" ht="15.75" customHeight="1">
      <c r="A102" s="39">
        <v>2020</v>
      </c>
      <c r="B102" s="39" t="s">
        <v>58</v>
      </c>
      <c r="C102" s="14" t="s">
        <v>224</v>
      </c>
      <c r="D102" s="39" t="s">
        <v>80</v>
      </c>
      <c r="E102" s="14" t="s">
        <v>397</v>
      </c>
      <c r="F102" s="14" t="s">
        <v>832</v>
      </c>
      <c r="G102" s="14">
        <f>COUNTIF(Stakeholders!$E$2:$E960,F102)</f>
        <v>1</v>
      </c>
      <c r="H102" s="39" t="s">
        <v>1547</v>
      </c>
      <c r="I102" s="113" t="s">
        <v>1548</v>
      </c>
      <c r="J102" s="14"/>
      <c r="K102" s="14"/>
      <c r="L102" s="14"/>
      <c r="M102" s="14"/>
      <c r="N102" s="14"/>
      <c r="O102" s="14"/>
      <c r="P102" s="14"/>
      <c r="Q102" s="14"/>
      <c r="R102" s="14"/>
      <c r="S102" s="14"/>
      <c r="T102" s="14"/>
      <c r="U102" s="14"/>
      <c r="V102" s="111"/>
      <c r="W102" s="14"/>
      <c r="X102" s="111"/>
      <c r="Y102" s="111"/>
      <c r="Z102" s="111"/>
      <c r="AA102" s="24"/>
      <c r="AB102" s="39" t="s">
        <v>77</v>
      </c>
      <c r="AC102" s="14"/>
      <c r="AD102" s="24">
        <v>101</v>
      </c>
      <c r="AE102" s="24">
        <f>VLOOKUP(F102,Stakeholders!E:K,7,0)</f>
        <v>94</v>
      </c>
      <c r="AF102" s="24" t="e">
        <f>VLOOKUP(B102&amp;D102,Areas!$D:$E,2,FALSE)</f>
        <v>#N/A</v>
      </c>
      <c r="AG102" s="111"/>
      <c r="AH102" s="24" t="s">
        <v>82</v>
      </c>
      <c r="AI102" s="24">
        <f>COUNTIF(Stakeholders!$E$2:$E$114,F102)</f>
        <v>1</v>
      </c>
      <c r="AJ102" s="111"/>
      <c r="AK102" s="111"/>
      <c r="AL102" s="111"/>
      <c r="AM102" s="111"/>
      <c r="AN102" s="111"/>
      <c r="AO102" s="111"/>
      <c r="AP102" s="111"/>
      <c r="AQ102" s="111"/>
      <c r="AR102" s="111"/>
      <c r="AS102" s="111"/>
      <c r="AT102" s="111"/>
      <c r="AU102" s="111"/>
      <c r="AV102" s="111"/>
      <c r="AW102" s="111"/>
    </row>
    <row r="103" spans="1:49" ht="15.75" customHeight="1">
      <c r="A103" s="37"/>
      <c r="B103" s="12" t="s">
        <v>64</v>
      </c>
      <c r="C103" s="65" t="s">
        <v>73</v>
      </c>
      <c r="D103" s="37" t="s">
        <v>640</v>
      </c>
      <c r="E103" s="29" t="s">
        <v>73</v>
      </c>
      <c r="F103" s="29" t="s">
        <v>306</v>
      </c>
      <c r="G103" s="29">
        <f>COUNTIF(Stakeholders!$E$2:$E960,F103)</f>
        <v>1</v>
      </c>
      <c r="H103" s="37" t="s">
        <v>1549</v>
      </c>
      <c r="I103" s="114" t="s">
        <v>1550</v>
      </c>
      <c r="J103" s="29"/>
      <c r="K103" s="29"/>
      <c r="L103" s="29"/>
      <c r="M103" s="29"/>
      <c r="N103" s="29"/>
      <c r="O103" s="29"/>
      <c r="P103" s="29"/>
      <c r="Q103" s="29"/>
      <c r="R103" s="29"/>
      <c r="S103" s="29"/>
      <c r="T103" s="29"/>
      <c r="U103" s="29"/>
      <c r="V103" s="84"/>
      <c r="W103" s="29"/>
      <c r="X103" s="84"/>
      <c r="Y103" s="84"/>
      <c r="Z103" s="84"/>
      <c r="AA103" s="84"/>
      <c r="AB103" s="29" t="s">
        <v>1551</v>
      </c>
      <c r="AC103" s="29"/>
      <c r="AD103" s="34">
        <v>102</v>
      </c>
      <c r="AE103" s="34">
        <f>VLOOKUP(F103,Stakeholders!E:K,7,0)</f>
        <v>27</v>
      </c>
      <c r="AF103" s="34" t="e">
        <f>VLOOKUP(B103&amp;D103,Areas!$D:$E,2,FALSE)</f>
        <v>#N/A</v>
      </c>
      <c r="AG103" s="84"/>
      <c r="AH103" s="34" t="s">
        <v>82</v>
      </c>
      <c r="AI103" s="34">
        <f>COUNTIF(Stakeholders!$E$2:$E$114,F103)</f>
        <v>1</v>
      </c>
      <c r="AJ103" s="84"/>
      <c r="AK103" s="84"/>
      <c r="AL103" s="84"/>
      <c r="AM103" s="84"/>
      <c r="AN103" s="84"/>
      <c r="AO103" s="84"/>
      <c r="AP103" s="84"/>
      <c r="AQ103" s="84"/>
      <c r="AR103" s="84"/>
      <c r="AS103" s="84"/>
      <c r="AT103" s="84"/>
      <c r="AU103" s="84"/>
      <c r="AV103" s="84"/>
      <c r="AW103" s="84"/>
    </row>
    <row r="104" spans="1:49" ht="15.75" customHeight="1">
      <c r="A104" s="39">
        <v>2020</v>
      </c>
      <c r="B104" s="12" t="s">
        <v>64</v>
      </c>
      <c r="C104" s="14" t="s">
        <v>224</v>
      </c>
      <c r="D104" s="39" t="s">
        <v>85</v>
      </c>
      <c r="E104" s="14" t="s">
        <v>73</v>
      </c>
      <c r="F104" s="118" t="s">
        <v>419</v>
      </c>
      <c r="G104" s="14">
        <f>COUNTIF(Stakeholders!$E$2:$E960,F104)</f>
        <v>1</v>
      </c>
      <c r="H104" s="39" t="s">
        <v>1552</v>
      </c>
      <c r="I104" s="113" t="s">
        <v>421</v>
      </c>
      <c r="J104" s="14"/>
      <c r="K104" s="14"/>
      <c r="L104" s="14"/>
      <c r="M104" s="14"/>
      <c r="N104" s="14"/>
      <c r="O104" s="14"/>
      <c r="P104" s="14"/>
      <c r="Q104" s="14"/>
      <c r="R104" s="14"/>
      <c r="S104" s="14"/>
      <c r="T104" s="14"/>
      <c r="U104" s="14"/>
      <c r="V104" s="111"/>
      <c r="W104" s="14"/>
      <c r="X104" s="111"/>
      <c r="Y104" s="111"/>
      <c r="Z104" s="111"/>
      <c r="AA104" s="24"/>
      <c r="AB104" s="14" t="s">
        <v>1551</v>
      </c>
      <c r="AC104" s="14"/>
      <c r="AD104" s="24">
        <v>103</v>
      </c>
      <c r="AE104" s="24">
        <f>VLOOKUP(F104,Stakeholders!E:K,7,0)</f>
        <v>37</v>
      </c>
      <c r="AF104" s="24">
        <f>VLOOKUP(B104&amp;D104,Areas!$D:$E,2,FALSE)</f>
        <v>283</v>
      </c>
      <c r="AG104" s="111"/>
      <c r="AH104" s="24" t="s">
        <v>82</v>
      </c>
      <c r="AI104" s="24">
        <f>COUNTIF(Stakeholders!$E$2:$E$114,F104)</f>
        <v>1</v>
      </c>
      <c r="AJ104" s="111"/>
      <c r="AK104" s="111"/>
      <c r="AL104" s="111"/>
      <c r="AM104" s="111"/>
      <c r="AN104" s="111"/>
      <c r="AO104" s="111"/>
      <c r="AP104" s="111"/>
      <c r="AQ104" s="111"/>
      <c r="AR104" s="111"/>
      <c r="AS104" s="111"/>
      <c r="AT104" s="111"/>
      <c r="AU104" s="111"/>
      <c r="AV104" s="111"/>
      <c r="AW104" s="111"/>
    </row>
    <row r="105" spans="1:49" ht="15.75" customHeight="1">
      <c r="A105" s="37"/>
      <c r="B105" s="12" t="s">
        <v>64</v>
      </c>
      <c r="C105" s="65" t="s">
        <v>73</v>
      </c>
      <c r="D105" s="37" t="s">
        <v>73</v>
      </c>
      <c r="E105" s="29" t="s">
        <v>73</v>
      </c>
      <c r="F105" s="29" t="s">
        <v>431</v>
      </c>
      <c r="G105" s="29">
        <f>COUNTIF(Stakeholders!$E$2:$E960,F105)</f>
        <v>1</v>
      </c>
      <c r="H105" s="37" t="s">
        <v>1553</v>
      </c>
      <c r="I105" s="114" t="s">
        <v>1554</v>
      </c>
      <c r="J105" s="29"/>
      <c r="K105" s="29"/>
      <c r="L105" s="29"/>
      <c r="M105" s="29"/>
      <c r="N105" s="29"/>
      <c r="O105" s="29"/>
      <c r="P105" s="29"/>
      <c r="Q105" s="29"/>
      <c r="R105" s="29"/>
      <c r="S105" s="29"/>
      <c r="T105" s="29"/>
      <c r="U105" s="29"/>
      <c r="V105" s="84"/>
      <c r="W105" s="29"/>
      <c r="X105" s="84"/>
      <c r="Y105" s="84"/>
      <c r="Z105" s="84"/>
      <c r="AA105" s="84"/>
      <c r="AB105" s="29" t="s">
        <v>1551</v>
      </c>
      <c r="AC105" s="29"/>
      <c r="AD105" s="34">
        <v>104</v>
      </c>
      <c r="AE105" s="34">
        <f>VLOOKUP(F105,Stakeholders!E:K,7,0)</f>
        <v>38</v>
      </c>
      <c r="AF105" s="34">
        <f>VLOOKUP(B105&amp;D105,Areas!$D:$E,2,FALSE)</f>
        <v>56</v>
      </c>
      <c r="AG105" s="84"/>
      <c r="AH105" s="34" t="s">
        <v>82</v>
      </c>
      <c r="AI105" s="34">
        <f>COUNTIF(Stakeholders!$E$2:$E$114,F105)</f>
        <v>1</v>
      </c>
      <c r="AJ105" s="84"/>
      <c r="AK105" s="84"/>
      <c r="AL105" s="84"/>
      <c r="AM105" s="84"/>
      <c r="AN105" s="84"/>
      <c r="AO105" s="84"/>
      <c r="AP105" s="84"/>
      <c r="AQ105" s="84"/>
      <c r="AR105" s="84"/>
      <c r="AS105" s="84"/>
      <c r="AT105" s="84"/>
      <c r="AU105" s="84"/>
      <c r="AV105" s="84"/>
      <c r="AW105" s="84"/>
    </row>
    <row r="106" spans="1:49" ht="15.75" customHeight="1">
      <c r="A106" s="39"/>
      <c r="B106" s="12" t="s">
        <v>64</v>
      </c>
      <c r="C106" s="80" t="s">
        <v>73</v>
      </c>
      <c r="D106" s="14" t="s">
        <v>226</v>
      </c>
      <c r="E106" s="14" t="s">
        <v>73</v>
      </c>
      <c r="F106" s="14" t="s">
        <v>466</v>
      </c>
      <c r="G106" s="14">
        <f>COUNTIF(Stakeholders!$E$2:$E960,F106)</f>
        <v>1</v>
      </c>
      <c r="H106" s="39"/>
      <c r="I106" s="113" t="s">
        <v>470</v>
      </c>
      <c r="J106" s="14"/>
      <c r="K106" s="14"/>
      <c r="L106" s="14"/>
      <c r="M106" s="14"/>
      <c r="N106" s="14"/>
      <c r="O106" s="14"/>
      <c r="P106" s="14"/>
      <c r="Q106" s="14"/>
      <c r="R106" s="14"/>
      <c r="S106" s="14"/>
      <c r="T106" s="14"/>
      <c r="U106" s="14"/>
      <c r="V106" s="111"/>
      <c r="W106" s="14"/>
      <c r="X106" s="111"/>
      <c r="Y106" s="111"/>
      <c r="Z106" s="111"/>
      <c r="AA106" s="24"/>
      <c r="AB106" s="14" t="s">
        <v>1551</v>
      </c>
      <c r="AC106" s="14"/>
      <c r="AD106" s="24">
        <v>105</v>
      </c>
      <c r="AE106" s="24">
        <f>VLOOKUP(F106,Stakeholders!E:K,7,0)</f>
        <v>40</v>
      </c>
      <c r="AF106" s="24" t="e">
        <f>VLOOKUP(B106&amp;D106,Areas!$D:$E,2,FALSE)</f>
        <v>#N/A</v>
      </c>
      <c r="AG106" s="111"/>
      <c r="AH106" s="24" t="s">
        <v>82</v>
      </c>
      <c r="AI106" s="24">
        <f>COUNTIF(Stakeholders!$E$2:$E$114,F106)</f>
        <v>1</v>
      </c>
      <c r="AJ106" s="111"/>
      <c r="AK106" s="111"/>
      <c r="AL106" s="111"/>
      <c r="AM106" s="111"/>
      <c r="AN106" s="111"/>
      <c r="AO106" s="111"/>
      <c r="AP106" s="111"/>
      <c r="AQ106" s="111"/>
      <c r="AR106" s="111"/>
      <c r="AS106" s="111"/>
      <c r="AT106" s="111"/>
      <c r="AU106" s="111"/>
      <c r="AV106" s="111"/>
      <c r="AW106" s="111"/>
    </row>
    <row r="107" spans="1:49" ht="15.75" customHeight="1">
      <c r="A107" s="37"/>
      <c r="B107" s="12" t="s">
        <v>64</v>
      </c>
      <c r="C107" s="65" t="s">
        <v>73</v>
      </c>
      <c r="D107" s="29" t="s">
        <v>226</v>
      </c>
      <c r="E107" s="29" t="s">
        <v>73</v>
      </c>
      <c r="F107" s="29" t="s">
        <v>480</v>
      </c>
      <c r="G107" s="29">
        <f>COUNTIF(Stakeholders!$E$2:$E960,F107)</f>
        <v>1</v>
      </c>
      <c r="H107" s="37" t="s">
        <v>1555</v>
      </c>
      <c r="I107" s="114" t="s">
        <v>1556</v>
      </c>
      <c r="J107" s="33" t="s">
        <v>67</v>
      </c>
      <c r="K107" s="33" t="s">
        <v>67</v>
      </c>
      <c r="L107" s="33" t="s">
        <v>94</v>
      </c>
      <c r="M107" s="33" t="s">
        <v>67</v>
      </c>
      <c r="N107" s="33" t="s">
        <v>94</v>
      </c>
      <c r="O107" s="33" t="s">
        <v>94</v>
      </c>
      <c r="P107" s="33" t="s">
        <v>94</v>
      </c>
      <c r="Q107" s="33" t="s">
        <v>94</v>
      </c>
      <c r="R107" s="33" t="s">
        <v>67</v>
      </c>
      <c r="S107" s="33" t="s">
        <v>94</v>
      </c>
      <c r="T107" s="33" t="s">
        <v>94</v>
      </c>
      <c r="U107" s="33" t="s">
        <v>94</v>
      </c>
      <c r="V107" s="29"/>
      <c r="W107" s="33" t="s">
        <v>94</v>
      </c>
      <c r="X107" s="29" t="s">
        <v>1557</v>
      </c>
      <c r="Y107" s="29" t="s">
        <v>1558</v>
      </c>
      <c r="Z107" s="29"/>
      <c r="AA107" s="29"/>
      <c r="AB107" s="29" t="s">
        <v>1551</v>
      </c>
      <c r="AC107" s="29"/>
      <c r="AD107" s="34">
        <v>106</v>
      </c>
      <c r="AE107" s="34">
        <f>VLOOKUP(F107,Stakeholders!E:K,7,0)</f>
        <v>41</v>
      </c>
      <c r="AF107" s="34" t="e">
        <f>VLOOKUP(B107&amp;D107,Areas!$D:$E,2,FALSE)</f>
        <v>#N/A</v>
      </c>
      <c r="AG107" s="84"/>
      <c r="AH107" s="34" t="s">
        <v>82</v>
      </c>
      <c r="AI107" s="34">
        <f>COUNTIF(Stakeholders!$E$2:$E$114,F107)</f>
        <v>1</v>
      </c>
      <c r="AJ107" s="84"/>
      <c r="AK107" s="84"/>
      <c r="AL107" s="84"/>
      <c r="AM107" s="84"/>
      <c r="AN107" s="84"/>
      <c r="AO107" s="84"/>
      <c r="AP107" s="84"/>
      <c r="AQ107" s="84"/>
      <c r="AR107" s="84"/>
      <c r="AS107" s="84"/>
      <c r="AT107" s="84"/>
      <c r="AU107" s="84"/>
      <c r="AV107" s="84"/>
      <c r="AW107" s="84"/>
    </row>
    <row r="108" spans="1:49" ht="15.75" customHeight="1">
      <c r="A108" s="106"/>
      <c r="B108" s="12" t="s">
        <v>64</v>
      </c>
      <c r="C108" s="119" t="s">
        <v>73</v>
      </c>
      <c r="D108" s="106" t="s">
        <v>226</v>
      </c>
      <c r="E108" s="14" t="s">
        <v>451</v>
      </c>
      <c r="F108" s="106" t="s">
        <v>451</v>
      </c>
      <c r="G108" s="106">
        <f>COUNTIF(Stakeholders!$E$2:$E960,F108)</f>
        <v>1</v>
      </c>
      <c r="H108" s="106" t="s">
        <v>1559</v>
      </c>
      <c r="I108" s="120" t="s">
        <v>1560</v>
      </c>
      <c r="J108" s="106"/>
      <c r="K108" s="106"/>
      <c r="L108" s="106"/>
      <c r="M108" s="106"/>
      <c r="N108" s="106"/>
      <c r="O108" s="106"/>
      <c r="P108" s="106"/>
      <c r="Q108" s="106"/>
      <c r="R108" s="106"/>
      <c r="S108" s="106"/>
      <c r="T108" s="106"/>
      <c r="U108" s="106"/>
      <c r="V108" s="121"/>
      <c r="W108" s="106"/>
      <c r="X108" s="121"/>
      <c r="Y108" s="121"/>
      <c r="Z108" s="121"/>
      <c r="AA108" s="121"/>
      <c r="AB108" s="106" t="s">
        <v>1551</v>
      </c>
      <c r="AC108" s="106"/>
      <c r="AD108" s="121">
        <v>107</v>
      </c>
      <c r="AE108" s="121">
        <f>VLOOKUP(F108,Stakeholders!E:K,7,0)</f>
        <v>104</v>
      </c>
      <c r="AF108" s="121" t="e">
        <f>VLOOKUP(B108&amp;D108,Areas!$D:$E,2,FALSE)</f>
        <v>#N/A</v>
      </c>
      <c r="AG108" s="111"/>
      <c r="AH108" s="24" t="s">
        <v>82</v>
      </c>
      <c r="AI108" s="24">
        <f>COUNTIF(Stakeholders!$E$2:$E$114,F108)</f>
        <v>1</v>
      </c>
      <c r="AJ108" s="111"/>
      <c r="AK108" s="111"/>
      <c r="AL108" s="111"/>
      <c r="AM108" s="111"/>
      <c r="AN108" s="111"/>
      <c r="AO108" s="111"/>
      <c r="AP108" s="111"/>
      <c r="AQ108" s="111"/>
      <c r="AR108" s="111"/>
      <c r="AS108" s="111"/>
      <c r="AT108" s="111"/>
      <c r="AU108" s="111"/>
      <c r="AV108" s="111"/>
      <c r="AW108" s="111"/>
    </row>
    <row r="109" spans="1:49" ht="15.75" customHeight="1">
      <c r="A109" s="105"/>
      <c r="B109" s="12" t="s">
        <v>64</v>
      </c>
      <c r="C109" s="122" t="s">
        <v>73</v>
      </c>
      <c r="D109" s="105" t="s">
        <v>226</v>
      </c>
      <c r="E109" s="29" t="s">
        <v>73</v>
      </c>
      <c r="F109" s="105" t="s">
        <v>485</v>
      </c>
      <c r="G109" s="105">
        <f>COUNTIF(Stakeholders!$E$2:$E960,F109)</f>
        <v>2</v>
      </c>
      <c r="H109" s="105" t="s">
        <v>1561</v>
      </c>
      <c r="I109" s="123" t="s">
        <v>487</v>
      </c>
      <c r="J109" s="105"/>
      <c r="K109" s="105"/>
      <c r="L109" s="105"/>
      <c r="M109" s="105"/>
      <c r="N109" s="105"/>
      <c r="O109" s="105"/>
      <c r="P109" s="105"/>
      <c r="Q109" s="105"/>
      <c r="R109" s="105"/>
      <c r="S109" s="105"/>
      <c r="T109" s="105"/>
      <c r="U109" s="105"/>
      <c r="V109" s="124"/>
      <c r="W109" s="105"/>
      <c r="X109" s="124"/>
      <c r="Y109" s="124"/>
      <c r="Z109" s="124"/>
      <c r="AA109" s="124"/>
      <c r="AB109" s="105" t="s">
        <v>1551</v>
      </c>
      <c r="AC109" s="105"/>
      <c r="AD109" s="124">
        <v>108</v>
      </c>
      <c r="AE109" s="124">
        <f>VLOOKUP(F109,Stakeholders!E:K,7,0)</f>
        <v>42</v>
      </c>
      <c r="AF109" s="124" t="e">
        <f>VLOOKUP(B109&amp;D109,Areas!$D:$E,2,FALSE)</f>
        <v>#N/A</v>
      </c>
      <c r="AG109" s="84"/>
      <c r="AH109" s="34" t="s">
        <v>82</v>
      </c>
      <c r="AI109" s="34">
        <f>COUNTIF(Stakeholders!$E$2:$E$114,F109)</f>
        <v>2</v>
      </c>
      <c r="AJ109" s="84"/>
      <c r="AK109" s="84"/>
      <c r="AL109" s="84"/>
      <c r="AM109" s="84"/>
      <c r="AN109" s="84"/>
      <c r="AO109" s="84"/>
      <c r="AP109" s="84"/>
      <c r="AQ109" s="84"/>
      <c r="AR109" s="84"/>
      <c r="AS109" s="84"/>
      <c r="AT109" s="84"/>
      <c r="AU109" s="84"/>
      <c r="AV109" s="84"/>
      <c r="AW109" s="84"/>
    </row>
    <row r="110" spans="1:49" ht="15.75" customHeight="1">
      <c r="A110" s="106"/>
      <c r="B110" s="12" t="s">
        <v>64</v>
      </c>
      <c r="C110" s="119" t="s">
        <v>73</v>
      </c>
      <c r="D110" s="106" t="s">
        <v>226</v>
      </c>
      <c r="E110" s="14" t="s">
        <v>73</v>
      </c>
      <c r="F110" s="106" t="s">
        <v>485</v>
      </c>
      <c r="G110" s="106">
        <f>COUNTIF(Stakeholders!$E$2:$E960,F110)</f>
        <v>2</v>
      </c>
      <c r="H110" s="106" t="s">
        <v>1562</v>
      </c>
      <c r="I110" s="120" t="s">
        <v>493</v>
      </c>
      <c r="J110" s="106"/>
      <c r="K110" s="106"/>
      <c r="L110" s="106"/>
      <c r="M110" s="106"/>
      <c r="N110" s="106"/>
      <c r="O110" s="106"/>
      <c r="P110" s="106"/>
      <c r="Q110" s="106"/>
      <c r="R110" s="106"/>
      <c r="S110" s="106"/>
      <c r="T110" s="106"/>
      <c r="U110" s="106"/>
      <c r="V110" s="121"/>
      <c r="W110" s="106"/>
      <c r="X110" s="121"/>
      <c r="Y110" s="121"/>
      <c r="Z110" s="121"/>
      <c r="AA110" s="121"/>
      <c r="AB110" s="106" t="s">
        <v>1551</v>
      </c>
      <c r="AC110" s="106"/>
      <c r="AD110" s="121">
        <v>109</v>
      </c>
      <c r="AE110" s="121">
        <f>VLOOKUP(F110,Stakeholders!E:K,7,0)</f>
        <v>42</v>
      </c>
      <c r="AF110" s="121" t="e">
        <f>VLOOKUP(B110&amp;D110,Areas!$D:$E,2,FALSE)</f>
        <v>#N/A</v>
      </c>
      <c r="AG110" s="111"/>
      <c r="AH110" s="24" t="s">
        <v>82</v>
      </c>
      <c r="AI110" s="24">
        <f>COUNTIF(Stakeholders!$E$2:$E$114,F110)</f>
        <v>2</v>
      </c>
      <c r="AJ110" s="111"/>
      <c r="AK110" s="111"/>
      <c r="AL110" s="111"/>
      <c r="AM110" s="111"/>
      <c r="AN110" s="111"/>
      <c r="AO110" s="111"/>
      <c r="AP110" s="111"/>
      <c r="AQ110" s="111"/>
      <c r="AR110" s="111"/>
      <c r="AS110" s="111"/>
      <c r="AT110" s="111"/>
      <c r="AU110" s="111"/>
      <c r="AV110" s="111"/>
      <c r="AW110" s="111"/>
    </row>
    <row r="111" spans="1:49" ht="15.75" customHeight="1">
      <c r="A111" s="37">
        <v>2020</v>
      </c>
      <c r="B111" s="12" t="s">
        <v>64</v>
      </c>
      <c r="C111" s="65" t="s">
        <v>73</v>
      </c>
      <c r="D111" s="37" t="s">
        <v>73</v>
      </c>
      <c r="E111" s="29" t="s">
        <v>73</v>
      </c>
      <c r="F111" s="29" t="s">
        <v>497</v>
      </c>
      <c r="G111" s="29">
        <f>COUNTIF(Stakeholders!$E$2:$E960,F111)</f>
        <v>1</v>
      </c>
      <c r="H111" s="37" t="s">
        <v>1563</v>
      </c>
      <c r="I111" s="102" t="s">
        <v>1564</v>
      </c>
      <c r="J111" s="29"/>
      <c r="K111" s="29"/>
      <c r="L111" s="29"/>
      <c r="M111" s="29"/>
      <c r="N111" s="29"/>
      <c r="O111" s="29"/>
      <c r="P111" s="29"/>
      <c r="Q111" s="29"/>
      <c r="R111" s="29"/>
      <c r="S111" s="29"/>
      <c r="T111" s="29"/>
      <c r="U111" s="29"/>
      <c r="V111" s="84"/>
      <c r="W111" s="29"/>
      <c r="X111" s="84"/>
      <c r="Y111" s="84"/>
      <c r="Z111" s="84"/>
      <c r="AA111" s="84"/>
      <c r="AB111" s="29" t="s">
        <v>1551</v>
      </c>
      <c r="AC111" s="29"/>
      <c r="AD111" s="34">
        <v>110</v>
      </c>
      <c r="AE111" s="34">
        <f>VLOOKUP(F111,Stakeholders!E:K,7,0)</f>
        <v>44</v>
      </c>
      <c r="AF111" s="34">
        <f>VLOOKUP(B111&amp;D111,Areas!$D:$E,2,FALSE)</f>
        <v>56</v>
      </c>
      <c r="AG111" s="84"/>
      <c r="AH111" s="34" t="s">
        <v>82</v>
      </c>
      <c r="AI111" s="34">
        <f>COUNTIF(Stakeholders!$E$2:$E$114,F111)</f>
        <v>1</v>
      </c>
      <c r="AJ111" s="84"/>
      <c r="AK111" s="84"/>
      <c r="AL111" s="84"/>
      <c r="AM111" s="84"/>
      <c r="AN111" s="84"/>
      <c r="AO111" s="84"/>
      <c r="AP111" s="84"/>
      <c r="AQ111" s="84"/>
      <c r="AR111" s="84"/>
      <c r="AS111" s="84"/>
      <c r="AT111" s="84"/>
      <c r="AU111" s="84"/>
      <c r="AV111" s="84"/>
      <c r="AW111" s="84"/>
    </row>
    <row r="112" spans="1:49" ht="15.75" customHeight="1">
      <c r="A112" s="39">
        <v>2019</v>
      </c>
      <c r="B112" s="12" t="s">
        <v>64</v>
      </c>
      <c r="C112" s="80" t="s">
        <v>73</v>
      </c>
      <c r="D112" s="39" t="s">
        <v>73</v>
      </c>
      <c r="E112" s="14" t="s">
        <v>73</v>
      </c>
      <c r="F112" s="14" t="s">
        <v>502</v>
      </c>
      <c r="G112" s="14">
        <f>COUNTIF(Stakeholders!$E$2:$E960,F112)</f>
        <v>1</v>
      </c>
      <c r="H112" s="39" t="s">
        <v>1565</v>
      </c>
      <c r="I112" s="110" t="s">
        <v>1566</v>
      </c>
      <c r="J112" s="14"/>
      <c r="K112" s="14"/>
      <c r="L112" s="14"/>
      <c r="M112" s="14"/>
      <c r="N112" s="14"/>
      <c r="O112" s="14"/>
      <c r="P112" s="14"/>
      <c r="Q112" s="14"/>
      <c r="R112" s="14"/>
      <c r="S112" s="14"/>
      <c r="T112" s="14"/>
      <c r="U112" s="14"/>
      <c r="V112" s="111"/>
      <c r="W112" s="14"/>
      <c r="X112" s="111"/>
      <c r="Y112" s="111"/>
      <c r="Z112" s="111"/>
      <c r="AA112" s="24"/>
      <c r="AB112" s="14" t="s">
        <v>1551</v>
      </c>
      <c r="AC112" s="14"/>
      <c r="AD112" s="24">
        <v>111</v>
      </c>
      <c r="AE112" s="24">
        <f>VLOOKUP(F112,Stakeholders!E:K,7,0)</f>
        <v>45</v>
      </c>
      <c r="AF112" s="24">
        <f>VLOOKUP(B112&amp;D112,Areas!$D:$E,2,FALSE)</f>
        <v>56</v>
      </c>
      <c r="AG112" s="111"/>
      <c r="AH112" s="24" t="s">
        <v>82</v>
      </c>
      <c r="AI112" s="24">
        <f>COUNTIF(Stakeholders!$E$2:$E$114,F112)</f>
        <v>1</v>
      </c>
      <c r="AJ112" s="111"/>
      <c r="AK112" s="111"/>
      <c r="AL112" s="111"/>
      <c r="AM112" s="111"/>
      <c r="AN112" s="111"/>
      <c r="AO112" s="111"/>
      <c r="AP112" s="111"/>
      <c r="AQ112" s="111"/>
      <c r="AR112" s="111"/>
      <c r="AS112" s="111"/>
      <c r="AT112" s="111"/>
      <c r="AU112" s="111"/>
      <c r="AV112" s="111"/>
      <c r="AW112" s="111"/>
    </row>
    <row r="113" spans="1:49" ht="15.75" customHeight="1">
      <c r="A113" s="37">
        <v>2020</v>
      </c>
      <c r="B113" s="12" t="s">
        <v>64</v>
      </c>
      <c r="C113" s="65" t="s">
        <v>73</v>
      </c>
      <c r="D113" s="37" t="s">
        <v>85</v>
      </c>
      <c r="E113" s="29" t="s">
        <v>73</v>
      </c>
      <c r="F113" s="29" t="s">
        <v>514</v>
      </c>
      <c r="G113" s="29">
        <f>COUNTIF(Stakeholders!$E$2:$E960,F113)</f>
        <v>1</v>
      </c>
      <c r="H113" s="37" t="s">
        <v>1567</v>
      </c>
      <c r="I113" s="102" t="s">
        <v>1568</v>
      </c>
      <c r="J113" s="29"/>
      <c r="K113" s="29"/>
      <c r="L113" s="29"/>
      <c r="M113" s="29"/>
      <c r="N113" s="29"/>
      <c r="O113" s="29"/>
      <c r="P113" s="29"/>
      <c r="Q113" s="29"/>
      <c r="R113" s="29"/>
      <c r="S113" s="29"/>
      <c r="T113" s="29"/>
      <c r="U113" s="29"/>
      <c r="V113" s="84"/>
      <c r="W113" s="29"/>
      <c r="X113" s="84"/>
      <c r="Y113" s="84"/>
      <c r="Z113" s="84"/>
      <c r="AA113" s="84"/>
      <c r="AB113" s="29" t="s">
        <v>1551</v>
      </c>
      <c r="AC113" s="29"/>
      <c r="AD113" s="34">
        <v>112</v>
      </c>
      <c r="AE113" s="34">
        <f>VLOOKUP(F113,Stakeholders!E:K,7,0)</f>
        <v>47</v>
      </c>
      <c r="AF113" s="34">
        <f>VLOOKUP(B113&amp;D113,Areas!$D:$E,2,FALSE)</f>
        <v>283</v>
      </c>
      <c r="AG113" s="84"/>
      <c r="AH113" s="34" t="s">
        <v>82</v>
      </c>
      <c r="AI113" s="34">
        <f>COUNTIF(Stakeholders!$E$2:$E$114,F113)</f>
        <v>1</v>
      </c>
      <c r="AJ113" s="84"/>
      <c r="AK113" s="84"/>
      <c r="AL113" s="84"/>
      <c r="AM113" s="84"/>
      <c r="AN113" s="84"/>
      <c r="AO113" s="84"/>
      <c r="AP113" s="84"/>
      <c r="AQ113" s="84"/>
      <c r="AR113" s="84"/>
      <c r="AS113" s="84"/>
      <c r="AT113" s="84"/>
      <c r="AU113" s="84"/>
      <c r="AV113" s="84"/>
      <c r="AW113" s="84"/>
    </row>
    <row r="114" spans="1:49" ht="15.75" customHeight="1">
      <c r="A114" s="39">
        <v>2020</v>
      </c>
      <c r="B114" s="12" t="s">
        <v>64</v>
      </c>
      <c r="C114" s="80" t="s">
        <v>73</v>
      </c>
      <c r="D114" s="39" t="s">
        <v>73</v>
      </c>
      <c r="E114" s="14" t="s">
        <v>73</v>
      </c>
      <c r="F114" s="14" t="s">
        <v>517</v>
      </c>
      <c r="G114" s="14">
        <f>COUNTIF(Stakeholders!$E$2:$E960,F114)</f>
        <v>1</v>
      </c>
      <c r="H114" s="39" t="s">
        <v>1569</v>
      </c>
      <c r="I114" s="110" t="s">
        <v>1570</v>
      </c>
      <c r="J114" s="14"/>
      <c r="K114" s="14"/>
      <c r="L114" s="14"/>
      <c r="M114" s="14"/>
      <c r="N114" s="14"/>
      <c r="O114" s="14"/>
      <c r="P114" s="14"/>
      <c r="Q114" s="14"/>
      <c r="R114" s="14"/>
      <c r="S114" s="14"/>
      <c r="T114" s="14"/>
      <c r="U114" s="14"/>
      <c r="V114" s="111"/>
      <c r="W114" s="14"/>
      <c r="X114" s="111"/>
      <c r="Y114" s="111"/>
      <c r="Z114" s="111"/>
      <c r="AA114" s="24"/>
      <c r="AB114" s="14" t="s">
        <v>1551</v>
      </c>
      <c r="AC114" s="14"/>
      <c r="AD114" s="24">
        <v>113</v>
      </c>
      <c r="AE114" s="24">
        <f>VLOOKUP(F114,Stakeholders!E:K,7,0)</f>
        <v>48</v>
      </c>
      <c r="AF114" s="24">
        <f>VLOOKUP(B114&amp;D114,Areas!$D:$E,2,FALSE)</f>
        <v>56</v>
      </c>
      <c r="AG114" s="111"/>
      <c r="AH114" s="24" t="s">
        <v>82</v>
      </c>
      <c r="AI114" s="24">
        <f>COUNTIF(Stakeholders!$E$2:$E$114,F114)</f>
        <v>1</v>
      </c>
      <c r="AJ114" s="111"/>
      <c r="AK114" s="111"/>
      <c r="AL114" s="111"/>
      <c r="AM114" s="111"/>
      <c r="AN114" s="111"/>
      <c r="AO114" s="111"/>
      <c r="AP114" s="111"/>
      <c r="AQ114" s="111"/>
      <c r="AR114" s="111"/>
      <c r="AS114" s="111"/>
      <c r="AT114" s="111"/>
      <c r="AU114" s="111"/>
      <c r="AV114" s="111"/>
      <c r="AW114" s="111"/>
    </row>
    <row r="115" spans="1:49" ht="15.75" customHeight="1">
      <c r="A115" s="37">
        <v>2021</v>
      </c>
      <c r="B115" s="12" t="s">
        <v>64</v>
      </c>
      <c r="C115" s="65" t="s">
        <v>73</v>
      </c>
      <c r="D115" s="37" t="s">
        <v>73</v>
      </c>
      <c r="E115" s="29" t="s">
        <v>73</v>
      </c>
      <c r="F115" s="29" t="s">
        <v>521</v>
      </c>
      <c r="G115" s="29">
        <f>COUNTIF(Stakeholders!$E$2:$E960,F115)</f>
        <v>1</v>
      </c>
      <c r="H115" s="37" t="s">
        <v>1571</v>
      </c>
      <c r="I115" s="102" t="s">
        <v>1572</v>
      </c>
      <c r="J115" s="29"/>
      <c r="K115" s="29"/>
      <c r="L115" s="29"/>
      <c r="M115" s="29"/>
      <c r="N115" s="29"/>
      <c r="O115" s="29"/>
      <c r="P115" s="29"/>
      <c r="Q115" s="29"/>
      <c r="R115" s="29"/>
      <c r="S115" s="29"/>
      <c r="T115" s="29"/>
      <c r="U115" s="29"/>
      <c r="V115" s="84"/>
      <c r="W115" s="29"/>
      <c r="X115" s="84"/>
      <c r="Y115" s="84"/>
      <c r="Z115" s="84"/>
      <c r="AA115" s="84"/>
      <c r="AB115" s="29" t="s">
        <v>1551</v>
      </c>
      <c r="AC115" s="29"/>
      <c r="AD115" s="34">
        <v>114</v>
      </c>
      <c r="AE115" s="34">
        <f>VLOOKUP(F115,Stakeholders!E:K,7,0)</f>
        <v>49</v>
      </c>
      <c r="AF115" s="34">
        <f>VLOOKUP(B115&amp;D115,Areas!$D:$E,2,FALSE)</f>
        <v>56</v>
      </c>
      <c r="AG115" s="84"/>
      <c r="AH115" s="34" t="s">
        <v>82</v>
      </c>
      <c r="AI115" s="34">
        <f>COUNTIF(Stakeholders!$E$2:$E$114,F115)</f>
        <v>1</v>
      </c>
      <c r="AJ115" s="84"/>
      <c r="AK115" s="84"/>
      <c r="AL115" s="84"/>
      <c r="AM115" s="84"/>
      <c r="AN115" s="84"/>
      <c r="AO115" s="84"/>
      <c r="AP115" s="84"/>
      <c r="AQ115" s="84"/>
      <c r="AR115" s="84"/>
      <c r="AS115" s="84"/>
      <c r="AT115" s="84"/>
      <c r="AU115" s="84"/>
      <c r="AV115" s="84"/>
      <c r="AW115" s="84"/>
    </row>
    <row r="116" spans="1:49" ht="15.75" customHeight="1">
      <c r="A116" s="39">
        <v>2019</v>
      </c>
      <c r="B116" s="12" t="s">
        <v>64</v>
      </c>
      <c r="C116" s="80" t="s">
        <v>103</v>
      </c>
      <c r="D116" s="39" t="s">
        <v>103</v>
      </c>
      <c r="E116" s="14" t="s">
        <v>103</v>
      </c>
      <c r="F116" s="14" t="s">
        <v>532</v>
      </c>
      <c r="G116" s="14">
        <f>COUNTIF(Stakeholders!$E$2:$E960,F116)</f>
        <v>1</v>
      </c>
      <c r="H116" s="39" t="s">
        <v>1573</v>
      </c>
      <c r="I116" s="110" t="s">
        <v>1574</v>
      </c>
      <c r="J116" s="14"/>
      <c r="K116" s="14"/>
      <c r="L116" s="14"/>
      <c r="M116" s="14"/>
      <c r="N116" s="14"/>
      <c r="O116" s="14"/>
      <c r="P116" s="14"/>
      <c r="Q116" s="14"/>
      <c r="R116" s="14"/>
      <c r="S116" s="14"/>
      <c r="T116" s="14"/>
      <c r="U116" s="14"/>
      <c r="V116" s="111"/>
      <c r="W116" s="14"/>
      <c r="X116" s="111"/>
      <c r="Y116" s="111"/>
      <c r="Z116" s="111"/>
      <c r="AA116" s="24"/>
      <c r="AB116" s="14" t="s">
        <v>1551</v>
      </c>
      <c r="AC116" s="14"/>
      <c r="AD116" s="24">
        <v>115</v>
      </c>
      <c r="AE116" s="24">
        <f>VLOOKUP(F116,Stakeholders!E:K,7,0)</f>
        <v>51</v>
      </c>
      <c r="AF116" s="24">
        <f>VLOOKUP(B116&amp;D116,Areas!$D:$E,2,FALSE)</f>
        <v>80</v>
      </c>
      <c r="AG116" s="111"/>
      <c r="AH116" s="24" t="s">
        <v>82</v>
      </c>
      <c r="AI116" s="24">
        <f>COUNTIF(Stakeholders!$E$2:$E$114,F116)</f>
        <v>1</v>
      </c>
      <c r="AJ116" s="111"/>
      <c r="AK116" s="111"/>
      <c r="AL116" s="111"/>
      <c r="AM116" s="111"/>
      <c r="AN116" s="111"/>
      <c r="AO116" s="111"/>
      <c r="AP116" s="111"/>
      <c r="AQ116" s="111"/>
      <c r="AR116" s="111"/>
      <c r="AS116" s="111"/>
      <c r="AT116" s="111"/>
      <c r="AU116" s="111"/>
      <c r="AV116" s="111"/>
      <c r="AW116" s="111"/>
    </row>
    <row r="117" spans="1:49" ht="15.75" customHeight="1">
      <c r="A117" s="37">
        <v>2021</v>
      </c>
      <c r="B117" s="12" t="s">
        <v>64</v>
      </c>
      <c r="C117" s="65" t="s">
        <v>73</v>
      </c>
      <c r="D117" s="37" t="s">
        <v>73</v>
      </c>
      <c r="E117" s="29" t="s">
        <v>73</v>
      </c>
      <c r="F117" s="29" t="s">
        <v>542</v>
      </c>
      <c r="G117" s="29">
        <f>COUNTIF(Stakeholders!$E$2:$E960,F117)</f>
        <v>1</v>
      </c>
      <c r="H117" s="37" t="s">
        <v>1575</v>
      </c>
      <c r="I117" s="102" t="s">
        <v>1576</v>
      </c>
      <c r="J117" s="29"/>
      <c r="K117" s="29"/>
      <c r="L117" s="29"/>
      <c r="M117" s="29"/>
      <c r="N117" s="29"/>
      <c r="O117" s="29"/>
      <c r="P117" s="29"/>
      <c r="Q117" s="29"/>
      <c r="R117" s="29"/>
      <c r="S117" s="29"/>
      <c r="T117" s="29"/>
      <c r="U117" s="29"/>
      <c r="V117" s="84"/>
      <c r="W117" s="29"/>
      <c r="X117" s="84"/>
      <c r="Y117" s="84"/>
      <c r="Z117" s="84"/>
      <c r="AA117" s="84"/>
      <c r="AB117" s="29" t="s">
        <v>1551</v>
      </c>
      <c r="AC117" s="29"/>
      <c r="AD117" s="34">
        <v>116</v>
      </c>
      <c r="AE117" s="34">
        <f>VLOOKUP(F117,Stakeholders!E:K,7,0)</f>
        <v>53</v>
      </c>
      <c r="AF117" s="34">
        <f>VLOOKUP(B117&amp;D117,Areas!$D:$E,2,FALSE)</f>
        <v>56</v>
      </c>
      <c r="AG117" s="84"/>
      <c r="AH117" s="34" t="s">
        <v>82</v>
      </c>
      <c r="AI117" s="34">
        <f>COUNTIF(Stakeholders!$E$2:$E$114,F117)</f>
        <v>1</v>
      </c>
      <c r="AJ117" s="84"/>
      <c r="AK117" s="84"/>
      <c r="AL117" s="84"/>
      <c r="AM117" s="84"/>
      <c r="AN117" s="84"/>
      <c r="AO117" s="84"/>
      <c r="AP117" s="84"/>
      <c r="AQ117" s="84"/>
      <c r="AR117" s="84"/>
      <c r="AS117" s="84"/>
      <c r="AT117" s="84"/>
      <c r="AU117" s="84"/>
      <c r="AV117" s="84"/>
      <c r="AW117" s="84"/>
    </row>
    <row r="118" spans="1:49" ht="15.75" customHeight="1">
      <c r="A118" s="39"/>
      <c r="B118" s="12" t="s">
        <v>64</v>
      </c>
      <c r="C118" s="80" t="s">
        <v>73</v>
      </c>
      <c r="D118" s="14" t="s">
        <v>226</v>
      </c>
      <c r="E118" s="14" t="s">
        <v>73</v>
      </c>
      <c r="F118" s="14" t="s">
        <v>546</v>
      </c>
      <c r="G118" s="14">
        <f>COUNTIF(Stakeholders!$E$2:$E960,F118)</f>
        <v>1</v>
      </c>
      <c r="H118" s="39" t="s">
        <v>1577</v>
      </c>
      <c r="I118" s="110" t="s">
        <v>1578</v>
      </c>
      <c r="J118" s="14"/>
      <c r="K118" s="14"/>
      <c r="L118" s="14"/>
      <c r="M118" s="14"/>
      <c r="N118" s="14"/>
      <c r="O118" s="14"/>
      <c r="P118" s="14"/>
      <c r="Q118" s="14"/>
      <c r="R118" s="14"/>
      <c r="S118" s="14"/>
      <c r="T118" s="14"/>
      <c r="U118" s="14"/>
      <c r="V118" s="111"/>
      <c r="W118" s="14"/>
      <c r="X118" s="111"/>
      <c r="Y118" s="111"/>
      <c r="Z118" s="111"/>
      <c r="AA118" s="24"/>
      <c r="AB118" s="14" t="s">
        <v>1551</v>
      </c>
      <c r="AC118" s="14"/>
      <c r="AD118" s="24">
        <v>117</v>
      </c>
      <c r="AE118" s="24">
        <f>VLOOKUP(F118,Stakeholders!E:K,7,0)</f>
        <v>54</v>
      </c>
      <c r="AF118" s="24" t="e">
        <f>VLOOKUP(B118&amp;D118,Areas!$D:$E,2,FALSE)</f>
        <v>#N/A</v>
      </c>
      <c r="AG118" s="111"/>
      <c r="AH118" s="24" t="s">
        <v>82</v>
      </c>
      <c r="AI118" s="24">
        <f>COUNTIF(Stakeholders!$E$2:$E$114,F118)</f>
        <v>1</v>
      </c>
      <c r="AJ118" s="111"/>
      <c r="AK118" s="111"/>
      <c r="AL118" s="111"/>
      <c r="AM118" s="111"/>
      <c r="AN118" s="111"/>
      <c r="AO118" s="111"/>
      <c r="AP118" s="111"/>
      <c r="AQ118" s="111"/>
      <c r="AR118" s="111"/>
      <c r="AS118" s="111"/>
      <c r="AT118" s="111"/>
      <c r="AU118" s="111"/>
      <c r="AV118" s="111"/>
      <c r="AW118" s="111"/>
    </row>
    <row r="119" spans="1:49" ht="15.75" customHeight="1">
      <c r="A119" s="37"/>
      <c r="B119" s="12" t="s">
        <v>64</v>
      </c>
      <c r="C119" s="65" t="s">
        <v>73</v>
      </c>
      <c r="D119" s="37" t="s">
        <v>8</v>
      </c>
      <c r="E119" s="29" t="s">
        <v>73</v>
      </c>
      <c r="F119" s="29" t="s">
        <v>554</v>
      </c>
      <c r="G119" s="29">
        <f>COUNTIF(Stakeholders!$E$2:$E960,F119)</f>
        <v>1</v>
      </c>
      <c r="H119" s="37" t="s">
        <v>1579</v>
      </c>
      <c r="I119" s="102" t="s">
        <v>1580</v>
      </c>
      <c r="J119" s="29"/>
      <c r="K119" s="29"/>
      <c r="L119" s="29"/>
      <c r="M119" s="29"/>
      <c r="N119" s="29"/>
      <c r="O119" s="29"/>
      <c r="P119" s="29"/>
      <c r="Q119" s="29"/>
      <c r="R119" s="29"/>
      <c r="S119" s="29"/>
      <c r="T119" s="29"/>
      <c r="U119" s="29"/>
      <c r="V119" s="37"/>
      <c r="W119" s="29"/>
      <c r="X119" s="37"/>
      <c r="Y119" s="37"/>
      <c r="Z119" s="37"/>
      <c r="AA119" s="84"/>
      <c r="AB119" s="29" t="s">
        <v>1551</v>
      </c>
      <c r="AC119" s="59"/>
      <c r="AD119" s="34">
        <v>118</v>
      </c>
      <c r="AE119" s="34">
        <f>VLOOKUP(F119,Stakeholders!E:K,7,0)</f>
        <v>55</v>
      </c>
      <c r="AF119" s="34" t="e">
        <f>VLOOKUP(B119&amp;D119,Areas!$D:$E,2,FALSE)</f>
        <v>#N/A</v>
      </c>
      <c r="AG119" s="37"/>
      <c r="AH119" s="34" t="s">
        <v>82</v>
      </c>
      <c r="AI119" s="34">
        <f>COUNTIF(Stakeholders!$E$2:$E$114,F119)</f>
        <v>1</v>
      </c>
      <c r="AJ119" s="37"/>
      <c r="AK119" s="37"/>
      <c r="AL119" s="37"/>
      <c r="AM119" s="37"/>
      <c r="AN119" s="37"/>
      <c r="AO119" s="37"/>
      <c r="AP119" s="37"/>
      <c r="AQ119" s="37"/>
      <c r="AR119" s="37"/>
      <c r="AS119" s="37"/>
      <c r="AT119" s="37"/>
      <c r="AU119" s="37"/>
      <c r="AV119" s="37"/>
      <c r="AW119" s="37"/>
    </row>
    <row r="120" spans="1:49" ht="15.75" customHeight="1">
      <c r="A120" s="39">
        <v>2015</v>
      </c>
      <c r="B120" s="39" t="s">
        <v>69</v>
      </c>
      <c r="C120" s="80" t="s">
        <v>270</v>
      </c>
      <c r="D120" s="39" t="s">
        <v>85</v>
      </c>
      <c r="E120" s="14" t="s">
        <v>270</v>
      </c>
      <c r="F120" s="14" t="s">
        <v>560</v>
      </c>
      <c r="G120" s="14">
        <f>COUNTIF(Stakeholders!$E$2:$E960,F120)</f>
        <v>1</v>
      </c>
      <c r="H120" s="39" t="s">
        <v>1581</v>
      </c>
      <c r="I120" s="110" t="s">
        <v>1582</v>
      </c>
      <c r="J120" s="14" t="s">
        <v>94</v>
      </c>
      <c r="K120" s="14" t="s">
        <v>67</v>
      </c>
      <c r="L120" s="14"/>
      <c r="M120" s="14"/>
      <c r="N120" s="14"/>
      <c r="O120" s="14"/>
      <c r="P120" s="14"/>
      <c r="Q120" s="14"/>
      <c r="R120" s="14"/>
      <c r="S120" s="14"/>
      <c r="T120" s="14"/>
      <c r="U120" s="14"/>
      <c r="V120" s="39"/>
      <c r="W120" s="14" t="s">
        <v>94</v>
      </c>
      <c r="X120" s="39"/>
      <c r="Y120" s="39"/>
      <c r="Z120" s="39"/>
      <c r="AA120" s="24"/>
      <c r="AB120" s="39" t="s">
        <v>77</v>
      </c>
      <c r="AC120" s="125">
        <v>44317</v>
      </c>
      <c r="AD120" s="24">
        <v>119</v>
      </c>
      <c r="AE120" s="24">
        <f>VLOOKUP(F120,Stakeholders!E:K,7,0)</f>
        <v>56</v>
      </c>
      <c r="AF120" s="24" t="e">
        <f>VLOOKUP(B120&amp;D120,Areas!$D:$E,2,FALSE)</f>
        <v>#N/A</v>
      </c>
      <c r="AG120" s="39"/>
      <c r="AH120" s="24" t="s">
        <v>82</v>
      </c>
      <c r="AI120" s="24">
        <f>COUNTIF(Stakeholders!$E$2:$E$114,F120)</f>
        <v>1</v>
      </c>
      <c r="AJ120" s="39"/>
      <c r="AK120" s="39"/>
      <c r="AL120" s="39"/>
      <c r="AM120" s="39"/>
      <c r="AN120" s="39"/>
      <c r="AO120" s="39"/>
      <c r="AP120" s="39"/>
      <c r="AQ120" s="39"/>
      <c r="AR120" s="39"/>
      <c r="AS120" s="39"/>
      <c r="AT120" s="39"/>
      <c r="AU120" s="39"/>
      <c r="AV120" s="39"/>
      <c r="AW120" s="39"/>
    </row>
    <row r="121" spans="1:49" ht="15.75" customHeight="1">
      <c r="A121" s="37">
        <v>2021</v>
      </c>
      <c r="B121" s="29" t="s">
        <v>56</v>
      </c>
      <c r="C121" s="29" t="s">
        <v>224</v>
      </c>
      <c r="D121" s="37" t="s">
        <v>226</v>
      </c>
      <c r="E121" s="29" t="s">
        <v>451</v>
      </c>
      <c r="F121" s="29" t="s">
        <v>451</v>
      </c>
      <c r="G121" s="29">
        <f>COUNTIF(Stakeholders!$E$2:$E960,F121)</f>
        <v>1</v>
      </c>
      <c r="H121" s="37" t="s">
        <v>1583</v>
      </c>
      <c r="I121" s="114" t="s">
        <v>1584</v>
      </c>
      <c r="J121" s="29" t="s">
        <v>94</v>
      </c>
      <c r="K121" s="29" t="s">
        <v>67</v>
      </c>
      <c r="L121" s="29" t="s">
        <v>94</v>
      </c>
      <c r="M121" s="29" t="s">
        <v>67</v>
      </c>
      <c r="N121" s="29" t="s">
        <v>67</v>
      </c>
      <c r="O121" s="29" t="s">
        <v>67</v>
      </c>
      <c r="P121" s="29" t="s">
        <v>67</v>
      </c>
      <c r="Q121" s="29" t="s">
        <v>94</v>
      </c>
      <c r="R121" s="29" t="s">
        <v>94</v>
      </c>
      <c r="S121" s="29" t="s">
        <v>94</v>
      </c>
      <c r="T121" s="29" t="s">
        <v>94</v>
      </c>
      <c r="U121" s="29" t="s">
        <v>94</v>
      </c>
      <c r="V121" s="37"/>
      <c r="W121" s="29" t="s">
        <v>94</v>
      </c>
      <c r="X121" s="37" t="s">
        <v>1585</v>
      </c>
      <c r="Y121" s="37" t="s">
        <v>1586</v>
      </c>
      <c r="Z121" s="37"/>
      <c r="AA121" s="34" t="s">
        <v>1587</v>
      </c>
      <c r="AB121" s="37" t="s">
        <v>77</v>
      </c>
      <c r="AC121" s="126">
        <v>44315</v>
      </c>
      <c r="AD121" s="34">
        <v>120</v>
      </c>
      <c r="AE121" s="34">
        <f>VLOOKUP(F121,Stakeholders!E:K,7,0)</f>
        <v>104</v>
      </c>
      <c r="AF121" s="34" t="e">
        <f>VLOOKUP(B121&amp;D121,Areas!$D:$E,2,FALSE)</f>
        <v>#N/A</v>
      </c>
      <c r="AG121" s="37"/>
      <c r="AH121" s="34" t="s">
        <v>82</v>
      </c>
      <c r="AI121" s="34">
        <f>COUNTIF(Stakeholders!$E$2:$E$114,F121)</f>
        <v>1</v>
      </c>
      <c r="AJ121" s="37"/>
      <c r="AK121" s="37"/>
      <c r="AL121" s="37"/>
      <c r="AM121" s="37"/>
      <c r="AN121" s="37"/>
      <c r="AO121" s="37"/>
      <c r="AP121" s="37"/>
      <c r="AQ121" s="37"/>
      <c r="AR121" s="37"/>
      <c r="AS121" s="37"/>
      <c r="AT121" s="37"/>
      <c r="AU121" s="37"/>
      <c r="AV121" s="37"/>
      <c r="AW121" s="37"/>
    </row>
    <row r="122" spans="1:49" ht="15.75" customHeight="1">
      <c r="A122" s="39">
        <v>2021</v>
      </c>
      <c r="B122" s="12" t="s">
        <v>64</v>
      </c>
      <c r="C122" s="14" t="s">
        <v>224</v>
      </c>
      <c r="D122" s="39" t="s">
        <v>85</v>
      </c>
      <c r="E122" s="14" t="s">
        <v>73</v>
      </c>
      <c r="F122" s="14" t="s">
        <v>523</v>
      </c>
      <c r="G122" s="14">
        <f>COUNTIF(Stakeholders!$E$2:$E960,F122)</f>
        <v>1</v>
      </c>
      <c r="H122" s="14" t="s">
        <v>1588</v>
      </c>
      <c r="I122" s="107" t="s">
        <v>1589</v>
      </c>
      <c r="J122" s="14" t="s">
        <v>94</v>
      </c>
      <c r="K122" s="14" t="s">
        <v>67</v>
      </c>
      <c r="L122" s="14"/>
      <c r="M122" s="14"/>
      <c r="N122" s="14"/>
      <c r="O122" s="14"/>
      <c r="P122" s="14"/>
      <c r="Q122" s="14"/>
      <c r="R122" s="14"/>
      <c r="S122" s="14"/>
      <c r="T122" s="14"/>
      <c r="U122" s="14"/>
      <c r="V122" s="39"/>
      <c r="W122" s="14" t="s">
        <v>94</v>
      </c>
      <c r="X122" s="39"/>
      <c r="Y122" s="39"/>
      <c r="Z122" s="39"/>
      <c r="AA122" s="24"/>
      <c r="AB122" s="39" t="s">
        <v>77</v>
      </c>
      <c r="AC122" s="127">
        <v>44413</v>
      </c>
      <c r="AD122" s="24">
        <v>121</v>
      </c>
      <c r="AE122" s="24">
        <f>VLOOKUP(F122,Stakeholders!E:K,7,0)</f>
        <v>20</v>
      </c>
      <c r="AF122" s="24">
        <f>VLOOKUP(B122&amp;D122,Areas!$D:$E,2,FALSE)</f>
        <v>283</v>
      </c>
      <c r="AG122" s="39"/>
      <c r="AH122" s="24" t="s">
        <v>82</v>
      </c>
      <c r="AI122" s="24">
        <f>COUNTIF(Stakeholders!$E$2:$E$114,F122)</f>
        <v>1</v>
      </c>
      <c r="AJ122" s="39"/>
      <c r="AK122" s="39"/>
      <c r="AL122" s="39"/>
      <c r="AM122" s="39"/>
      <c r="AN122" s="39"/>
      <c r="AO122" s="39"/>
      <c r="AP122" s="39"/>
      <c r="AQ122" s="39"/>
      <c r="AR122" s="39"/>
      <c r="AS122" s="39"/>
      <c r="AT122" s="39"/>
      <c r="AU122" s="39"/>
      <c r="AV122" s="39"/>
      <c r="AW122" s="39"/>
    </row>
    <row r="123" spans="1:49" ht="15.75" customHeight="1">
      <c r="A123" s="37">
        <v>2021</v>
      </c>
      <c r="B123" s="29" t="s">
        <v>56</v>
      </c>
      <c r="C123" s="29" t="s">
        <v>224</v>
      </c>
      <c r="D123" s="37" t="s">
        <v>85</v>
      </c>
      <c r="E123" s="29" t="s">
        <v>653</v>
      </c>
      <c r="F123" s="29" t="s">
        <v>653</v>
      </c>
      <c r="G123" s="29">
        <f>COUNTIF(Stakeholders!$E$2:$E960,F123)</f>
        <v>1</v>
      </c>
      <c r="H123" s="29" t="s">
        <v>1590</v>
      </c>
      <c r="I123" s="128" t="s">
        <v>1591</v>
      </c>
      <c r="J123" s="29" t="s">
        <v>94</v>
      </c>
      <c r="K123" s="29" t="s">
        <v>67</v>
      </c>
      <c r="L123" s="29"/>
      <c r="M123" s="29"/>
      <c r="N123" s="29"/>
      <c r="O123" s="29"/>
      <c r="P123" s="29"/>
      <c r="Q123" s="29"/>
      <c r="R123" s="29"/>
      <c r="S123" s="29"/>
      <c r="T123" s="29"/>
      <c r="U123" s="29"/>
      <c r="V123" s="37"/>
      <c r="W123" s="29" t="s">
        <v>94</v>
      </c>
      <c r="X123" s="37"/>
      <c r="Y123" s="37"/>
      <c r="Z123" s="37"/>
      <c r="AA123" s="34"/>
      <c r="AB123" s="37" t="s">
        <v>77</v>
      </c>
      <c r="AC123" s="129">
        <v>44413</v>
      </c>
      <c r="AD123" s="34">
        <v>122</v>
      </c>
      <c r="AE123" s="34">
        <f>VLOOKUP(F123,Stakeholders!E:K,7,0)</f>
        <v>106</v>
      </c>
      <c r="AF123" s="34" t="e">
        <f>VLOOKUP(B123&amp;D123,Areas!$D:$E,2,FALSE)</f>
        <v>#N/A</v>
      </c>
      <c r="AG123" s="37"/>
      <c r="AH123" s="34" t="s">
        <v>82</v>
      </c>
      <c r="AI123" s="34">
        <f>COUNTIF(Stakeholders!$E$2:$E$114,F123)</f>
        <v>1</v>
      </c>
      <c r="AJ123" s="37"/>
      <c r="AK123" s="37"/>
      <c r="AL123" s="37"/>
      <c r="AM123" s="37"/>
      <c r="AN123" s="37"/>
      <c r="AO123" s="37"/>
      <c r="AP123" s="37"/>
      <c r="AQ123" s="37"/>
      <c r="AR123" s="37"/>
      <c r="AS123" s="37"/>
      <c r="AT123" s="37"/>
      <c r="AU123" s="37"/>
      <c r="AV123" s="37"/>
      <c r="AW123" s="37"/>
    </row>
    <row r="124" spans="1:49" ht="15.75" customHeight="1">
      <c r="A124" s="39">
        <v>2020</v>
      </c>
      <c r="B124" s="14" t="s">
        <v>58</v>
      </c>
      <c r="C124" s="80" t="s">
        <v>1592</v>
      </c>
      <c r="D124" s="39" t="s">
        <v>85</v>
      </c>
      <c r="E124" s="14" t="s">
        <v>404</v>
      </c>
      <c r="F124" s="14" t="s">
        <v>793</v>
      </c>
      <c r="G124" s="14">
        <f>COUNTIF(Stakeholders!$E$2:$E960,F124)</f>
        <v>1</v>
      </c>
      <c r="H124" s="14" t="s">
        <v>1593</v>
      </c>
      <c r="I124" s="107" t="s">
        <v>1594</v>
      </c>
      <c r="J124" s="14" t="s">
        <v>67</v>
      </c>
      <c r="K124" s="14" t="s">
        <v>67</v>
      </c>
      <c r="L124" s="14"/>
      <c r="M124" s="14"/>
      <c r="N124" s="14"/>
      <c r="O124" s="14"/>
      <c r="P124" s="14"/>
      <c r="Q124" s="14"/>
      <c r="R124" s="14"/>
      <c r="S124" s="14"/>
      <c r="T124" s="14"/>
      <c r="U124" s="14"/>
      <c r="V124" s="39"/>
      <c r="W124" s="14" t="s">
        <v>67</v>
      </c>
      <c r="X124" s="39"/>
      <c r="Y124" s="39"/>
      <c r="Z124" s="39"/>
      <c r="AA124" s="24"/>
      <c r="AB124" s="39" t="s">
        <v>77</v>
      </c>
      <c r="AC124" s="127">
        <v>44413</v>
      </c>
      <c r="AD124" s="24">
        <v>123</v>
      </c>
      <c r="AE124" s="24">
        <f>VLOOKUP(F124,Stakeholders!E:K,7,0)</f>
        <v>86</v>
      </c>
      <c r="AF124" s="24" t="e">
        <f>VLOOKUP(B124&amp;D124,Areas!$D:$E,2,FALSE)</f>
        <v>#N/A</v>
      </c>
      <c r="AG124" s="39"/>
      <c r="AH124" s="24" t="s">
        <v>82</v>
      </c>
      <c r="AI124" s="24">
        <f>COUNTIF(Stakeholders!$E$2:$E$114,F124)</f>
        <v>1</v>
      </c>
      <c r="AJ124" s="39"/>
      <c r="AK124" s="39"/>
      <c r="AL124" s="39"/>
      <c r="AM124" s="39"/>
      <c r="AN124" s="39"/>
      <c r="AO124" s="39"/>
      <c r="AP124" s="39"/>
      <c r="AQ124" s="39"/>
      <c r="AR124" s="39"/>
      <c r="AS124" s="39"/>
      <c r="AT124" s="39"/>
      <c r="AU124" s="39"/>
      <c r="AV124" s="39"/>
      <c r="AW124" s="39"/>
    </row>
    <row r="125" spans="1:49" ht="15.75" customHeight="1">
      <c r="A125" s="37">
        <v>2020</v>
      </c>
      <c r="B125" s="29" t="s">
        <v>56</v>
      </c>
      <c r="C125" s="29" t="s">
        <v>224</v>
      </c>
      <c r="D125" s="37" t="s">
        <v>85</v>
      </c>
      <c r="E125" s="29" t="e">
        <v>#N/A</v>
      </c>
      <c r="F125" s="29" t="s">
        <v>1595</v>
      </c>
      <c r="G125" s="29">
        <f>COUNTIF(Stakeholders!$E$2:$E960,F125)</f>
        <v>0</v>
      </c>
      <c r="H125" s="29" t="s">
        <v>1596</v>
      </c>
      <c r="I125" s="128" t="s">
        <v>1597</v>
      </c>
      <c r="J125" s="29" t="s">
        <v>94</v>
      </c>
      <c r="K125" s="29" t="s">
        <v>67</v>
      </c>
      <c r="L125" s="29"/>
      <c r="M125" s="29"/>
      <c r="N125" s="29"/>
      <c r="O125" s="29"/>
      <c r="P125" s="29"/>
      <c r="Q125" s="29"/>
      <c r="R125" s="29"/>
      <c r="S125" s="29"/>
      <c r="T125" s="29"/>
      <c r="U125" s="29"/>
      <c r="V125" s="37"/>
      <c r="W125" s="29" t="s">
        <v>94</v>
      </c>
      <c r="X125" s="37"/>
      <c r="Y125" s="37"/>
      <c r="Z125" s="37"/>
      <c r="AA125" s="84" t="s">
        <v>1598</v>
      </c>
      <c r="AB125" s="37" t="s">
        <v>77</v>
      </c>
      <c r="AC125" s="129">
        <v>44413</v>
      </c>
      <c r="AD125" s="34">
        <v>124</v>
      </c>
      <c r="AE125" s="34" t="e">
        <f>VLOOKUP(F125,Stakeholders!E:K,7,0)</f>
        <v>#N/A</v>
      </c>
      <c r="AF125" s="34" t="e">
        <f>VLOOKUP(B125&amp;D125,Areas!$D:$E,2,FALSE)</f>
        <v>#N/A</v>
      </c>
      <c r="AG125" s="37"/>
      <c r="AH125" s="34" t="s">
        <v>82</v>
      </c>
      <c r="AI125" s="34">
        <f>COUNTIF(Stakeholders!$E$2:$E$114,F125)</f>
        <v>0</v>
      </c>
      <c r="AJ125" s="37"/>
      <c r="AK125" s="37"/>
      <c r="AL125" s="37"/>
      <c r="AM125" s="37"/>
      <c r="AN125" s="37"/>
      <c r="AO125" s="37"/>
      <c r="AP125" s="37"/>
      <c r="AQ125" s="37"/>
      <c r="AR125" s="37"/>
      <c r="AS125" s="37"/>
      <c r="AT125" s="37"/>
      <c r="AU125" s="37"/>
      <c r="AV125" s="37"/>
      <c r="AW125" s="37"/>
    </row>
    <row r="126" spans="1:49" ht="15.75" customHeight="1">
      <c r="A126" s="39">
        <v>2018</v>
      </c>
      <c r="B126" s="12" t="s">
        <v>64</v>
      </c>
      <c r="C126" s="14" t="s">
        <v>224</v>
      </c>
      <c r="D126" s="39" t="s">
        <v>73</v>
      </c>
      <c r="E126" s="14" t="s">
        <v>73</v>
      </c>
      <c r="F126" s="14" t="s">
        <v>1599</v>
      </c>
      <c r="G126" s="14">
        <f>COUNTIF(Stakeholders!$E$2:$E960,F126)</f>
        <v>1</v>
      </c>
      <c r="H126" s="14" t="s">
        <v>1600</v>
      </c>
      <c r="I126" s="107" t="s">
        <v>574</v>
      </c>
      <c r="J126" s="14" t="s">
        <v>67</v>
      </c>
      <c r="K126" s="14" t="s">
        <v>67</v>
      </c>
      <c r="L126" s="14"/>
      <c r="M126" s="14"/>
      <c r="N126" s="14"/>
      <c r="O126" s="14"/>
      <c r="P126" s="14"/>
      <c r="Q126" s="14"/>
      <c r="R126" s="14"/>
      <c r="S126" s="14"/>
      <c r="T126" s="14"/>
      <c r="U126" s="14"/>
      <c r="V126" s="39"/>
      <c r="W126" s="14" t="s">
        <v>94</v>
      </c>
      <c r="X126" s="39"/>
      <c r="Y126" s="39"/>
      <c r="Z126" s="39"/>
      <c r="AA126" s="111"/>
      <c r="AB126" s="39" t="s">
        <v>77</v>
      </c>
      <c r="AC126" s="127">
        <v>44413</v>
      </c>
      <c r="AD126" s="24">
        <v>125</v>
      </c>
      <c r="AE126" s="24">
        <f>VLOOKUP(F126,Stakeholders!E:K,7,0)</f>
        <v>31</v>
      </c>
      <c r="AF126" s="24">
        <f>VLOOKUP(B126&amp;D126,Areas!$D:$E,2,FALSE)</f>
        <v>56</v>
      </c>
      <c r="AG126" s="39"/>
      <c r="AH126" s="24" t="s">
        <v>82</v>
      </c>
      <c r="AI126" s="24">
        <f>COUNTIF(Stakeholders!$E$2:$E$114,F126)</f>
        <v>1</v>
      </c>
      <c r="AJ126" s="39"/>
      <c r="AK126" s="39"/>
      <c r="AL126" s="39"/>
      <c r="AM126" s="39"/>
      <c r="AN126" s="39"/>
      <c r="AO126" s="39"/>
      <c r="AP126" s="39"/>
      <c r="AQ126" s="39"/>
      <c r="AR126" s="39"/>
      <c r="AS126" s="39"/>
      <c r="AT126" s="39"/>
      <c r="AU126" s="39"/>
      <c r="AV126" s="39"/>
      <c r="AW126" s="39"/>
    </row>
    <row r="127" spans="1:49" ht="15.75" customHeight="1">
      <c r="A127" s="37">
        <v>2016</v>
      </c>
      <c r="B127" s="29" t="s">
        <v>92</v>
      </c>
      <c r="C127" s="65" t="s">
        <v>412</v>
      </c>
      <c r="D127" s="29" t="s">
        <v>1601</v>
      </c>
      <c r="E127" s="29" t="s">
        <v>412</v>
      </c>
      <c r="F127" s="29" t="s">
        <v>835</v>
      </c>
      <c r="G127" s="29">
        <f>COUNTIF(Stakeholders!$E$2:$E960,F127)</f>
        <v>1</v>
      </c>
      <c r="H127" s="130" t="s">
        <v>1602</v>
      </c>
      <c r="I127" s="128" t="s">
        <v>1603</v>
      </c>
      <c r="J127" s="29" t="s">
        <v>67</v>
      </c>
      <c r="K127" s="29" t="s">
        <v>67</v>
      </c>
      <c r="L127" s="29"/>
      <c r="M127" s="29"/>
      <c r="N127" s="29"/>
      <c r="O127" s="29"/>
      <c r="P127" s="29"/>
      <c r="Q127" s="29"/>
      <c r="R127" s="29"/>
      <c r="S127" s="29"/>
      <c r="T127" s="29"/>
      <c r="U127" s="29"/>
      <c r="V127" s="37"/>
      <c r="W127" s="29" t="s">
        <v>67</v>
      </c>
      <c r="X127" s="37"/>
      <c r="Y127" s="37"/>
      <c r="Z127" s="37"/>
      <c r="AA127" s="84"/>
      <c r="AB127" s="37" t="s">
        <v>1604</v>
      </c>
      <c r="AC127" s="129">
        <v>44413</v>
      </c>
      <c r="AD127" s="34">
        <v>126</v>
      </c>
      <c r="AE127" s="34">
        <f>VLOOKUP(F127,Stakeholders!E:K,7,0)</f>
        <v>95</v>
      </c>
      <c r="AF127" s="34" t="e">
        <f>VLOOKUP(B127&amp;D127,Areas!$D:$E,2,FALSE)</f>
        <v>#N/A</v>
      </c>
      <c r="AG127" s="37"/>
      <c r="AH127" s="34" t="s">
        <v>82</v>
      </c>
      <c r="AI127" s="34">
        <f>COUNTIF(Stakeholders!$E$2:$E$114,F127)</f>
        <v>1</v>
      </c>
      <c r="AJ127" s="37"/>
      <c r="AK127" s="37"/>
      <c r="AL127" s="37"/>
      <c r="AM127" s="37"/>
      <c r="AN127" s="37"/>
      <c r="AO127" s="37"/>
      <c r="AP127" s="37"/>
      <c r="AQ127" s="37"/>
      <c r="AR127" s="37"/>
      <c r="AS127" s="37"/>
      <c r="AT127" s="37"/>
      <c r="AU127" s="37"/>
      <c r="AV127" s="37"/>
      <c r="AW127" s="37"/>
    </row>
    <row r="128" spans="1:49" ht="15.75" customHeight="1">
      <c r="A128" s="39">
        <v>2014</v>
      </c>
      <c r="B128" s="14" t="s">
        <v>92</v>
      </c>
      <c r="C128" s="15" t="s">
        <v>412</v>
      </c>
      <c r="D128" s="14" t="s">
        <v>1601</v>
      </c>
      <c r="E128" s="14" t="s">
        <v>412</v>
      </c>
      <c r="F128" s="14" t="s">
        <v>858</v>
      </c>
      <c r="G128" s="14">
        <f>COUNTIF(Stakeholders!$E$2:$E960,F128)</f>
        <v>1</v>
      </c>
      <c r="H128" s="14" t="s">
        <v>1605</v>
      </c>
      <c r="I128" s="107" t="s">
        <v>1606</v>
      </c>
      <c r="J128" s="14" t="s">
        <v>94</v>
      </c>
      <c r="K128" s="14" t="s">
        <v>67</v>
      </c>
      <c r="L128" s="14"/>
      <c r="M128" s="14"/>
      <c r="N128" s="14"/>
      <c r="O128" s="14"/>
      <c r="P128" s="14"/>
      <c r="Q128" s="14"/>
      <c r="R128" s="14"/>
      <c r="S128" s="14"/>
      <c r="T128" s="14"/>
      <c r="U128" s="14"/>
      <c r="V128" s="39"/>
      <c r="W128" s="14" t="s">
        <v>94</v>
      </c>
      <c r="X128" s="39"/>
      <c r="Y128" s="39"/>
      <c r="Z128" s="39"/>
      <c r="AA128" s="111"/>
      <c r="AB128" s="39" t="s">
        <v>1604</v>
      </c>
      <c r="AC128" s="127">
        <v>44413</v>
      </c>
      <c r="AD128" s="24">
        <v>127</v>
      </c>
      <c r="AE128" s="24">
        <f>VLOOKUP(F128,Stakeholders!E:K,7,0)</f>
        <v>100</v>
      </c>
      <c r="AF128" s="24" t="e">
        <f>VLOOKUP(B128&amp;D128,Areas!$D:$E,2,FALSE)</f>
        <v>#N/A</v>
      </c>
      <c r="AG128" s="39"/>
      <c r="AH128" s="24" t="s">
        <v>82</v>
      </c>
      <c r="AI128" s="24">
        <f>COUNTIF(Stakeholders!$E$2:$E$114,F128)</f>
        <v>1</v>
      </c>
      <c r="AJ128" s="39"/>
      <c r="AK128" s="39"/>
      <c r="AL128" s="39"/>
      <c r="AM128" s="39"/>
      <c r="AN128" s="39"/>
      <c r="AO128" s="39"/>
      <c r="AP128" s="39"/>
      <c r="AQ128" s="39"/>
      <c r="AR128" s="39"/>
      <c r="AS128" s="39"/>
      <c r="AT128" s="39"/>
      <c r="AU128" s="39"/>
      <c r="AV128" s="39"/>
      <c r="AW128" s="39"/>
    </row>
    <row r="129" spans="1:49" ht="15.75" customHeight="1">
      <c r="A129" s="37">
        <v>2014</v>
      </c>
      <c r="B129" s="29" t="s">
        <v>92</v>
      </c>
      <c r="C129" s="30" t="s">
        <v>412</v>
      </c>
      <c r="D129" s="29" t="s">
        <v>1601</v>
      </c>
      <c r="E129" s="29" t="s">
        <v>412</v>
      </c>
      <c r="F129" s="29" t="s">
        <v>858</v>
      </c>
      <c r="G129" s="29">
        <f>COUNTIF(Stakeholders!$E$2:$E960,F129)</f>
        <v>1</v>
      </c>
      <c r="H129" s="29" t="s">
        <v>1607</v>
      </c>
      <c r="I129" s="128" t="s">
        <v>1608</v>
      </c>
      <c r="J129" s="29" t="s">
        <v>67</v>
      </c>
      <c r="K129" s="29" t="s">
        <v>67</v>
      </c>
      <c r="L129" s="29"/>
      <c r="M129" s="29"/>
      <c r="N129" s="29"/>
      <c r="O129" s="29"/>
      <c r="P129" s="29"/>
      <c r="Q129" s="29"/>
      <c r="R129" s="29"/>
      <c r="S129" s="29"/>
      <c r="T129" s="29"/>
      <c r="U129" s="29"/>
      <c r="V129" s="37"/>
      <c r="W129" s="29" t="s">
        <v>67</v>
      </c>
      <c r="X129" s="37"/>
      <c r="Y129" s="37"/>
      <c r="Z129" s="37"/>
      <c r="AA129" s="84"/>
      <c r="AB129" s="37" t="s">
        <v>1604</v>
      </c>
      <c r="AC129" s="129">
        <v>44413</v>
      </c>
      <c r="AD129" s="34">
        <v>128</v>
      </c>
      <c r="AE129" s="34">
        <f>VLOOKUP(F129,Stakeholders!E:K,7,0)</f>
        <v>100</v>
      </c>
      <c r="AF129" s="34" t="e">
        <f>VLOOKUP(B129&amp;D129,Areas!$D:$E,2,FALSE)</f>
        <v>#N/A</v>
      </c>
      <c r="AG129" s="37"/>
      <c r="AH129" s="34" t="s">
        <v>82</v>
      </c>
      <c r="AI129" s="34">
        <f>COUNTIF(Stakeholders!$E$2:$E$114,F129)</f>
        <v>1</v>
      </c>
      <c r="AJ129" s="37"/>
      <c r="AK129" s="37"/>
      <c r="AL129" s="37"/>
      <c r="AM129" s="37"/>
      <c r="AN129" s="37"/>
      <c r="AO129" s="37"/>
      <c r="AP129" s="37"/>
      <c r="AQ129" s="37"/>
      <c r="AR129" s="37"/>
      <c r="AS129" s="37"/>
      <c r="AT129" s="37"/>
      <c r="AU129" s="37"/>
      <c r="AV129" s="37"/>
      <c r="AW129" s="37"/>
    </row>
    <row r="130" spans="1:49" ht="13">
      <c r="A130" s="39">
        <v>2014</v>
      </c>
      <c r="B130" s="14" t="s">
        <v>92</v>
      </c>
      <c r="C130" s="14" t="s">
        <v>224</v>
      </c>
      <c r="D130" s="14" t="s">
        <v>1601</v>
      </c>
      <c r="E130" s="14" t="s">
        <v>412</v>
      </c>
      <c r="F130" s="14" t="s">
        <v>842</v>
      </c>
      <c r="G130" s="14">
        <f>COUNTIF(Stakeholders!$E$2:$E960,F130)</f>
        <v>1</v>
      </c>
      <c r="H130" s="14" t="s">
        <v>1609</v>
      </c>
      <c r="I130" s="107" t="s">
        <v>1610</v>
      </c>
      <c r="J130" s="14" t="s">
        <v>67</v>
      </c>
      <c r="K130" s="14" t="s">
        <v>67</v>
      </c>
      <c r="L130" s="14"/>
      <c r="M130" s="14"/>
      <c r="N130" s="14"/>
      <c r="O130" s="14"/>
      <c r="P130" s="14"/>
      <c r="Q130" s="14"/>
      <c r="R130" s="14"/>
      <c r="S130" s="14"/>
      <c r="T130" s="14"/>
      <c r="U130" s="14"/>
      <c r="V130" s="14"/>
      <c r="W130" s="14" t="s">
        <v>94</v>
      </c>
      <c r="X130" s="14"/>
      <c r="Y130" s="14"/>
      <c r="Z130" s="14"/>
      <c r="AA130" s="14"/>
      <c r="AB130" s="39" t="s">
        <v>1604</v>
      </c>
      <c r="AC130" s="131">
        <v>44403</v>
      </c>
      <c r="AD130" s="132">
        <v>129</v>
      </c>
      <c r="AE130" s="24">
        <f>VLOOKUP(F130,Stakeholders!E:K,7,0)</f>
        <v>97</v>
      </c>
      <c r="AF130" s="24" t="e">
        <f>VLOOKUP(B130&amp;D130,Areas!$D:$E,2,FALSE)</f>
        <v>#N/A</v>
      </c>
      <c r="AG130" s="14"/>
      <c r="AH130" s="24" t="s">
        <v>82</v>
      </c>
      <c r="AI130" s="24">
        <f>COUNTIF(Stakeholders!$E$2:$E$114,F130)</f>
        <v>1</v>
      </c>
      <c r="AJ130" s="14"/>
      <c r="AK130" s="14"/>
      <c r="AL130" s="14"/>
      <c r="AM130" s="14"/>
      <c r="AN130" s="14"/>
      <c r="AO130" s="14"/>
      <c r="AP130" s="14"/>
      <c r="AQ130" s="14"/>
      <c r="AR130" s="14"/>
      <c r="AS130" s="14"/>
      <c r="AT130" s="14"/>
      <c r="AU130" s="14"/>
      <c r="AV130" s="14"/>
      <c r="AW130" s="14"/>
    </row>
    <row r="131" spans="1:49" ht="14">
      <c r="A131" s="133">
        <v>2020</v>
      </c>
      <c r="B131" s="12" t="s">
        <v>64</v>
      </c>
      <c r="C131" s="30" t="s">
        <v>73</v>
      </c>
      <c r="D131" s="29" t="s">
        <v>85</v>
      </c>
      <c r="E131" s="29" t="s">
        <v>73</v>
      </c>
      <c r="F131" s="29" t="s">
        <v>392</v>
      </c>
      <c r="G131" s="29">
        <f>COUNTIF(Stakeholders!$E$2:$E960,F131)</f>
        <v>1</v>
      </c>
      <c r="H131" s="29" t="s">
        <v>1611</v>
      </c>
      <c r="I131" s="128" t="s">
        <v>1612</v>
      </c>
      <c r="J131" s="29" t="s">
        <v>67</v>
      </c>
      <c r="K131" s="33" t="s">
        <v>67</v>
      </c>
      <c r="L131" s="33"/>
      <c r="M131" s="33"/>
      <c r="N131" s="33"/>
      <c r="O131" s="33"/>
      <c r="P131" s="33"/>
      <c r="Q131" s="33"/>
      <c r="R131" s="33"/>
      <c r="S131" s="33"/>
      <c r="T131" s="33"/>
      <c r="U131" s="33"/>
      <c r="V131" s="29"/>
      <c r="W131" s="33" t="s">
        <v>94</v>
      </c>
      <c r="X131" s="29"/>
      <c r="Y131" s="29"/>
      <c r="Z131" s="29"/>
      <c r="AA131" s="29"/>
      <c r="AB131" s="29" t="s">
        <v>96</v>
      </c>
      <c r="AC131" s="134">
        <v>44407</v>
      </c>
      <c r="AD131" s="133">
        <v>130</v>
      </c>
      <c r="AE131" s="34">
        <f>VLOOKUP(F131,Stakeholders!E:K,7,0)</f>
        <v>34</v>
      </c>
      <c r="AF131" s="34">
        <f>VLOOKUP(B131&amp;D131,Areas!$D:$E,2,FALSE)</f>
        <v>283</v>
      </c>
      <c r="AG131" s="29"/>
      <c r="AH131" s="34" t="s">
        <v>82</v>
      </c>
      <c r="AI131" s="34">
        <f>COUNTIF(Stakeholders!$E$2:$E$114,F131)</f>
        <v>1</v>
      </c>
      <c r="AJ131" s="29"/>
      <c r="AK131" s="29"/>
      <c r="AL131" s="29"/>
      <c r="AM131" s="29"/>
      <c r="AN131" s="29"/>
      <c r="AO131" s="29"/>
      <c r="AP131" s="29"/>
      <c r="AQ131" s="29"/>
      <c r="AR131" s="29"/>
      <c r="AS131" s="29"/>
      <c r="AT131" s="29"/>
      <c r="AU131" s="29"/>
      <c r="AV131" s="29"/>
      <c r="AW131" s="29"/>
    </row>
    <row r="132" spans="1:49" ht="13">
      <c r="A132" s="132">
        <v>2021</v>
      </c>
      <c r="B132" s="14" t="s">
        <v>8</v>
      </c>
      <c r="C132" s="14" t="s">
        <v>1374</v>
      </c>
      <c r="D132" s="14" t="s">
        <v>66</v>
      </c>
      <c r="E132" s="14" t="s">
        <v>52</v>
      </c>
      <c r="F132" s="14" t="s">
        <v>59</v>
      </c>
      <c r="G132" s="14">
        <f>COUNTIF(Stakeholders!$E$2:$E960,F132)</f>
        <v>1</v>
      </c>
      <c r="H132" s="14" t="s">
        <v>1613</v>
      </c>
      <c r="I132" s="107" t="s">
        <v>1614</v>
      </c>
      <c r="J132" s="14" t="s">
        <v>67</v>
      </c>
      <c r="K132" s="14" t="s">
        <v>94</v>
      </c>
      <c r="L132" s="14"/>
      <c r="M132" s="14"/>
      <c r="N132" s="14"/>
      <c r="O132" s="14"/>
      <c r="P132" s="14"/>
      <c r="Q132" s="14"/>
      <c r="R132" s="14"/>
      <c r="S132" s="14"/>
      <c r="T132" s="14"/>
      <c r="U132" s="14"/>
      <c r="V132" s="14"/>
      <c r="W132" s="14" t="s">
        <v>94</v>
      </c>
      <c r="X132" s="14"/>
      <c r="Y132" s="14"/>
      <c r="Z132" s="14"/>
      <c r="AA132" s="14"/>
      <c r="AB132" s="14" t="s">
        <v>1615</v>
      </c>
      <c r="AC132" s="135">
        <v>44409</v>
      </c>
      <c r="AD132" s="132">
        <v>131</v>
      </c>
      <c r="AE132" s="24">
        <f>VLOOKUP(F132,Stakeholders!E:K,7,0)</f>
        <v>1</v>
      </c>
      <c r="AF132" s="24" t="e">
        <f>VLOOKUP(B132&amp;D132,Areas!$D:$E,2,FALSE)</f>
        <v>#N/A</v>
      </c>
      <c r="AG132" s="14"/>
      <c r="AH132" s="24" t="s">
        <v>82</v>
      </c>
      <c r="AI132" s="24">
        <f>COUNTIF(Stakeholders!$E$2:$E$114,F132)</f>
        <v>1</v>
      </c>
      <c r="AJ132" s="14"/>
      <c r="AK132" s="14"/>
      <c r="AL132" s="14"/>
      <c r="AM132" s="14"/>
      <c r="AN132" s="14"/>
      <c r="AO132" s="14"/>
      <c r="AP132" s="14"/>
      <c r="AQ132" s="14"/>
      <c r="AR132" s="14"/>
      <c r="AS132" s="14"/>
      <c r="AT132" s="14"/>
      <c r="AU132" s="14"/>
      <c r="AV132" s="14"/>
      <c r="AW132" s="14"/>
    </row>
    <row r="133" spans="1:49" ht="13">
      <c r="A133" s="133">
        <v>2020</v>
      </c>
      <c r="B133" s="29" t="s">
        <v>8</v>
      </c>
      <c r="C133" s="29" t="s">
        <v>404</v>
      </c>
      <c r="D133" s="29" t="s">
        <v>61</v>
      </c>
      <c r="E133" s="29" t="s">
        <v>52</v>
      </c>
      <c r="F133" s="29" t="s">
        <v>59</v>
      </c>
      <c r="G133" s="29">
        <f>COUNTIF(Stakeholders!$E$2:$E960,F133)</f>
        <v>1</v>
      </c>
      <c r="H133" s="29" t="s">
        <v>1616</v>
      </c>
      <c r="I133" s="128" t="s">
        <v>1617</v>
      </c>
      <c r="J133" s="29" t="s">
        <v>94</v>
      </c>
      <c r="K133" s="29" t="s">
        <v>67</v>
      </c>
      <c r="L133" s="33"/>
      <c r="M133" s="33"/>
      <c r="N133" s="33"/>
      <c r="O133" s="33"/>
      <c r="P133" s="33"/>
      <c r="Q133" s="33"/>
      <c r="R133" s="33"/>
      <c r="S133" s="33"/>
      <c r="T133" s="33"/>
      <c r="U133" s="33"/>
      <c r="V133" s="29"/>
      <c r="W133" s="29" t="s">
        <v>94</v>
      </c>
      <c r="X133" s="29"/>
      <c r="Y133" s="29"/>
      <c r="Z133" s="29"/>
      <c r="AA133" s="29"/>
      <c r="AB133" s="29" t="s">
        <v>1615</v>
      </c>
      <c r="AC133" s="136">
        <v>44378</v>
      </c>
      <c r="AD133" s="133">
        <v>132</v>
      </c>
      <c r="AE133" s="34">
        <f>VLOOKUP(F133,Stakeholders!E:K,7,0)</f>
        <v>1</v>
      </c>
      <c r="AF133" s="34" t="e">
        <f>VLOOKUP(B133&amp;D133,Areas!$D:$E,2,FALSE)</f>
        <v>#N/A</v>
      </c>
      <c r="AG133" s="29"/>
      <c r="AH133" s="34" t="s">
        <v>82</v>
      </c>
      <c r="AI133" s="34">
        <f>COUNTIF(Stakeholders!$E$2:$E$114,F133)</f>
        <v>1</v>
      </c>
      <c r="AJ133" s="29"/>
      <c r="AK133" s="29"/>
      <c r="AL133" s="29"/>
      <c r="AM133" s="29"/>
      <c r="AN133" s="29"/>
      <c r="AO133" s="29"/>
      <c r="AP133" s="29"/>
      <c r="AQ133" s="29"/>
      <c r="AR133" s="29"/>
      <c r="AS133" s="29"/>
      <c r="AT133" s="29"/>
      <c r="AU133" s="29"/>
      <c r="AV133" s="29"/>
      <c r="AW133" s="29"/>
    </row>
    <row r="134" spans="1:49" ht="13">
      <c r="A134" s="132">
        <v>2021</v>
      </c>
      <c r="B134" s="12" t="s">
        <v>64</v>
      </c>
      <c r="C134" s="14" t="s">
        <v>73</v>
      </c>
      <c r="D134" s="14" t="s">
        <v>314</v>
      </c>
      <c r="E134" s="14" t="s">
        <v>73</v>
      </c>
      <c r="F134" s="14" t="s">
        <v>125</v>
      </c>
      <c r="G134" s="14">
        <f>COUNTIF(Stakeholders!$E$2:$E960,F134)</f>
        <v>1</v>
      </c>
      <c r="H134" s="14" t="s">
        <v>1618</v>
      </c>
      <c r="I134" s="67" t="s">
        <v>1619</v>
      </c>
      <c r="J134" s="14" t="s">
        <v>67</v>
      </c>
      <c r="K134" s="14" t="s">
        <v>67</v>
      </c>
      <c r="L134" s="14"/>
      <c r="M134" s="14"/>
      <c r="N134" s="14"/>
      <c r="O134" s="14"/>
      <c r="P134" s="14"/>
      <c r="Q134" s="14"/>
      <c r="R134" s="14"/>
      <c r="S134" s="14"/>
      <c r="T134" s="14"/>
      <c r="U134" s="14"/>
      <c r="V134" s="14"/>
      <c r="W134" s="14" t="s">
        <v>94</v>
      </c>
      <c r="X134" s="14"/>
      <c r="Y134" s="14"/>
      <c r="Z134" s="14"/>
      <c r="AA134" s="14"/>
      <c r="AB134" s="14" t="s">
        <v>96</v>
      </c>
      <c r="AC134" s="135">
        <v>44410</v>
      </c>
      <c r="AD134" s="132">
        <v>133</v>
      </c>
      <c r="AE134" s="24">
        <f>VLOOKUP(F134,Stakeholders!E:K,7,0)</f>
        <v>20</v>
      </c>
      <c r="AF134" s="24" t="e">
        <f>VLOOKUP(B134&amp;D134,Areas!$D:$E,2,FALSE)</f>
        <v>#N/A</v>
      </c>
      <c r="AG134" s="14"/>
      <c r="AH134" s="24" t="s">
        <v>82</v>
      </c>
      <c r="AI134" s="24">
        <f>COUNTIF(Stakeholders!$E$2:$E$114,F134)</f>
        <v>1</v>
      </c>
      <c r="AJ134" s="14"/>
      <c r="AK134" s="14"/>
      <c r="AL134" s="14"/>
      <c r="AM134" s="14"/>
      <c r="AN134" s="14"/>
      <c r="AO134" s="14"/>
      <c r="AP134" s="14"/>
      <c r="AQ134" s="14"/>
      <c r="AR134" s="14"/>
      <c r="AS134" s="14"/>
      <c r="AT134" s="14"/>
      <c r="AU134" s="14"/>
      <c r="AV134" s="14"/>
      <c r="AW134" s="14"/>
    </row>
    <row r="135" spans="1:49" ht="13">
      <c r="A135" s="133">
        <v>2021</v>
      </c>
      <c r="B135" s="12" t="s">
        <v>64</v>
      </c>
      <c r="C135" s="29" t="s">
        <v>73</v>
      </c>
      <c r="D135" s="29" t="s">
        <v>1620</v>
      </c>
      <c r="E135" s="29" t="s">
        <v>73</v>
      </c>
      <c r="F135" s="29" t="s">
        <v>125</v>
      </c>
      <c r="G135" s="29">
        <f>COUNTIF(Stakeholders!$E$2:$E960,F135)</f>
        <v>1</v>
      </c>
      <c r="H135" s="29" t="s">
        <v>1621</v>
      </c>
      <c r="I135" s="66" t="s">
        <v>1622</v>
      </c>
      <c r="J135" s="29" t="s">
        <v>67</v>
      </c>
      <c r="K135" s="29" t="s">
        <v>67</v>
      </c>
      <c r="L135" s="33"/>
      <c r="M135" s="33"/>
      <c r="N135" s="33"/>
      <c r="O135" s="33"/>
      <c r="P135" s="33"/>
      <c r="Q135" s="33"/>
      <c r="R135" s="33"/>
      <c r="S135" s="33"/>
      <c r="T135" s="33"/>
      <c r="U135" s="33"/>
      <c r="V135" s="29"/>
      <c r="W135" s="29" t="s">
        <v>94</v>
      </c>
      <c r="X135" s="29"/>
      <c r="Y135" s="29"/>
      <c r="Z135" s="29"/>
      <c r="AA135" s="29"/>
      <c r="AB135" s="29" t="s">
        <v>96</v>
      </c>
      <c r="AC135" s="136">
        <v>44410</v>
      </c>
      <c r="AD135" s="133">
        <v>134</v>
      </c>
      <c r="AE135" s="34">
        <f>VLOOKUP(F135,Stakeholders!E:K,7,0)</f>
        <v>20</v>
      </c>
      <c r="AF135" s="34" t="e">
        <f>VLOOKUP(B135&amp;D135,Areas!$D:$E,2,FALSE)</f>
        <v>#N/A</v>
      </c>
      <c r="AG135" s="29"/>
      <c r="AH135" s="34" t="s">
        <v>82</v>
      </c>
      <c r="AI135" s="34">
        <f>COUNTIF(Stakeholders!$E$2:$E$114,F135)</f>
        <v>1</v>
      </c>
      <c r="AJ135" s="29"/>
      <c r="AK135" s="29"/>
      <c r="AL135" s="29"/>
      <c r="AM135" s="29"/>
      <c r="AN135" s="29"/>
      <c r="AO135" s="29"/>
      <c r="AP135" s="29"/>
      <c r="AQ135" s="29"/>
      <c r="AR135" s="29"/>
      <c r="AS135" s="29"/>
      <c r="AT135" s="29"/>
      <c r="AU135" s="29"/>
      <c r="AV135" s="29"/>
      <c r="AW135" s="29"/>
    </row>
    <row r="136" spans="1:49" ht="13">
      <c r="A136" s="132">
        <v>2021</v>
      </c>
      <c r="B136" s="12" t="s">
        <v>64</v>
      </c>
      <c r="C136" s="14" t="s">
        <v>397</v>
      </c>
      <c r="D136" s="14" t="s">
        <v>397</v>
      </c>
      <c r="E136" s="14" t="s">
        <v>73</v>
      </c>
      <c r="F136" s="14" t="s">
        <v>125</v>
      </c>
      <c r="G136" s="14">
        <f>COUNTIF(Stakeholders!$E$2:$E960,F136)</f>
        <v>1</v>
      </c>
      <c r="H136" s="14" t="s">
        <v>1623</v>
      </c>
      <c r="I136" s="67" t="s">
        <v>1624</v>
      </c>
      <c r="J136" s="14" t="s">
        <v>67</v>
      </c>
      <c r="K136" s="14" t="s">
        <v>94</v>
      </c>
      <c r="L136" s="14"/>
      <c r="M136" s="14"/>
      <c r="N136" s="14"/>
      <c r="O136" s="14"/>
      <c r="P136" s="14"/>
      <c r="Q136" s="14"/>
      <c r="R136" s="14"/>
      <c r="S136" s="14"/>
      <c r="T136" s="14"/>
      <c r="U136" s="14"/>
      <c r="V136" s="14"/>
      <c r="W136" s="14" t="s">
        <v>94</v>
      </c>
      <c r="X136" s="14"/>
      <c r="Y136" s="14"/>
      <c r="Z136" s="14"/>
      <c r="AA136" s="14"/>
      <c r="AB136" s="14" t="s">
        <v>96</v>
      </c>
      <c r="AC136" s="135">
        <v>44410</v>
      </c>
      <c r="AD136" s="132">
        <v>135</v>
      </c>
      <c r="AE136" s="24">
        <f>VLOOKUP(F136,Stakeholders!E:K,7,0)</f>
        <v>20</v>
      </c>
      <c r="AF136" s="24" t="e">
        <f>VLOOKUP(B136&amp;D136,Areas!$D:$E,2,FALSE)</f>
        <v>#N/A</v>
      </c>
      <c r="AG136" s="14"/>
      <c r="AH136" s="24" t="s">
        <v>82</v>
      </c>
      <c r="AI136" s="24">
        <f>COUNTIF(Stakeholders!$E$2:$E$114,F136)</f>
        <v>1</v>
      </c>
      <c r="AJ136" s="14"/>
      <c r="AK136" s="14"/>
      <c r="AL136" s="14"/>
      <c r="AM136" s="14"/>
      <c r="AN136" s="14"/>
      <c r="AO136" s="14"/>
      <c r="AP136" s="14"/>
      <c r="AQ136" s="14"/>
      <c r="AR136" s="14"/>
      <c r="AS136" s="14"/>
      <c r="AT136" s="14"/>
      <c r="AU136" s="14"/>
      <c r="AV136" s="14"/>
      <c r="AW136" s="14"/>
    </row>
    <row r="137" spans="1:49" ht="13">
      <c r="A137" s="133">
        <v>2021</v>
      </c>
      <c r="B137" s="12" t="s">
        <v>64</v>
      </c>
      <c r="C137" s="29" t="s">
        <v>73</v>
      </c>
      <c r="D137" s="29" t="s">
        <v>246</v>
      </c>
      <c r="E137" s="29" t="s">
        <v>73</v>
      </c>
      <c r="F137" s="29" t="s">
        <v>125</v>
      </c>
      <c r="G137" s="29">
        <f>COUNTIF(Stakeholders!$E$2:$E960,F137)</f>
        <v>1</v>
      </c>
      <c r="H137" s="29" t="s">
        <v>1625</v>
      </c>
      <c r="I137" s="66" t="s">
        <v>1626</v>
      </c>
      <c r="J137" s="29" t="s">
        <v>67</v>
      </c>
      <c r="K137" s="29" t="s">
        <v>67</v>
      </c>
      <c r="L137" s="33"/>
      <c r="M137" s="33"/>
      <c r="N137" s="33"/>
      <c r="O137" s="33"/>
      <c r="P137" s="33"/>
      <c r="Q137" s="33"/>
      <c r="R137" s="33"/>
      <c r="S137" s="33"/>
      <c r="T137" s="33"/>
      <c r="U137" s="33"/>
      <c r="V137" s="29"/>
      <c r="W137" s="29" t="s">
        <v>94</v>
      </c>
      <c r="X137" s="29"/>
      <c r="Y137" s="29"/>
      <c r="Z137" s="29"/>
      <c r="AA137" s="29"/>
      <c r="AB137" s="29" t="s">
        <v>96</v>
      </c>
      <c r="AC137" s="136">
        <v>44410</v>
      </c>
      <c r="AD137" s="133">
        <v>136</v>
      </c>
      <c r="AE137" s="34">
        <f>VLOOKUP(F137,Stakeholders!E:K,7,0)</f>
        <v>20</v>
      </c>
      <c r="AF137" s="34" t="e">
        <f>VLOOKUP(B137&amp;D137,Areas!$D:$E,2,FALSE)</f>
        <v>#N/A</v>
      </c>
      <c r="AG137" s="29"/>
      <c r="AH137" s="34" t="s">
        <v>82</v>
      </c>
      <c r="AI137" s="34">
        <f>COUNTIF(Stakeholders!$E$2:$E$114,F137)</f>
        <v>1</v>
      </c>
      <c r="AJ137" s="29"/>
      <c r="AK137" s="29"/>
      <c r="AL137" s="29"/>
      <c r="AM137" s="29"/>
      <c r="AN137" s="29"/>
      <c r="AO137" s="29"/>
      <c r="AP137" s="29"/>
      <c r="AQ137" s="29"/>
      <c r="AR137" s="29"/>
      <c r="AS137" s="29"/>
      <c r="AT137" s="29"/>
      <c r="AU137" s="29"/>
      <c r="AV137" s="29"/>
      <c r="AW137" s="29"/>
    </row>
    <row r="138" spans="1:49" ht="13">
      <c r="A138" s="132">
        <v>2019</v>
      </c>
      <c r="B138" s="39" t="s">
        <v>69</v>
      </c>
      <c r="C138" s="14" t="s">
        <v>224</v>
      </c>
      <c r="D138" s="14" t="s">
        <v>85</v>
      </c>
      <c r="E138" s="14" t="s">
        <v>270</v>
      </c>
      <c r="F138" s="14" t="s">
        <v>905</v>
      </c>
      <c r="G138" s="14">
        <f>COUNTIF(Stakeholders!$E$2:$E960,F138)</f>
        <v>1</v>
      </c>
      <c r="H138" s="14" t="s">
        <v>1627</v>
      </c>
      <c r="I138" s="137" t="s">
        <v>1628</v>
      </c>
      <c r="J138" s="14" t="s">
        <v>1629</v>
      </c>
      <c r="K138" s="14" t="s">
        <v>1629</v>
      </c>
      <c r="L138" s="14"/>
      <c r="M138" s="14"/>
      <c r="N138" s="14"/>
      <c r="O138" s="14"/>
      <c r="P138" s="14"/>
      <c r="Q138" s="14"/>
      <c r="R138" s="14"/>
      <c r="S138" s="14"/>
      <c r="T138" s="14"/>
      <c r="U138" s="14"/>
      <c r="V138" s="14"/>
      <c r="W138" s="14" t="s">
        <v>1629</v>
      </c>
      <c r="X138" s="14"/>
      <c r="Y138" s="14"/>
      <c r="Z138" s="14"/>
      <c r="AA138" s="14"/>
      <c r="AB138" s="14" t="s">
        <v>1630</v>
      </c>
      <c r="AC138" s="14"/>
      <c r="AD138" s="132">
        <v>137</v>
      </c>
      <c r="AE138" s="24">
        <f>VLOOKUP(F138,Stakeholders!E:K,7,0)</f>
        <v>115</v>
      </c>
      <c r="AF138" s="24" t="e">
        <f>VLOOKUP(B138&amp;D138,Areas!$D:$E,2,FALSE)</f>
        <v>#N/A</v>
      </c>
      <c r="AG138" s="14"/>
      <c r="AH138" s="24" t="s">
        <v>82</v>
      </c>
      <c r="AI138" s="24">
        <f>COUNTIF(Stakeholders!$E$2:$E$114,F138)</f>
        <v>0</v>
      </c>
      <c r="AJ138" s="14"/>
      <c r="AK138" s="14"/>
      <c r="AL138" s="14"/>
      <c r="AM138" s="14"/>
      <c r="AN138" s="14"/>
      <c r="AO138" s="14"/>
      <c r="AP138" s="14"/>
      <c r="AQ138" s="14"/>
      <c r="AR138" s="14"/>
      <c r="AS138" s="14"/>
      <c r="AT138" s="14"/>
      <c r="AU138" s="14"/>
      <c r="AV138" s="14"/>
      <c r="AW138" s="14"/>
    </row>
    <row r="139" spans="1:49" ht="13">
      <c r="A139" s="133">
        <v>2021</v>
      </c>
      <c r="B139" s="37" t="s">
        <v>69</v>
      </c>
      <c r="C139" s="29" t="s">
        <v>224</v>
      </c>
      <c r="D139" s="29" t="s">
        <v>85</v>
      </c>
      <c r="E139" s="29" t="s">
        <v>270</v>
      </c>
      <c r="F139" s="29" t="s">
        <v>905</v>
      </c>
      <c r="G139" s="29">
        <f>COUNTIF(Stakeholders!$E$2:$E960,F139)</f>
        <v>1</v>
      </c>
      <c r="H139" s="29" t="s">
        <v>1631</v>
      </c>
      <c r="I139" s="138" t="s">
        <v>1632</v>
      </c>
      <c r="J139" s="29" t="s">
        <v>1629</v>
      </c>
      <c r="K139" s="29" t="s">
        <v>1629</v>
      </c>
      <c r="L139" s="29"/>
      <c r="M139" s="29"/>
      <c r="N139" s="29"/>
      <c r="O139" s="29"/>
      <c r="P139" s="29"/>
      <c r="Q139" s="29"/>
      <c r="R139" s="29"/>
      <c r="S139" s="29"/>
      <c r="T139" s="29"/>
      <c r="U139" s="29"/>
      <c r="V139" s="29"/>
      <c r="W139" s="29" t="s">
        <v>1629</v>
      </c>
      <c r="X139" s="29"/>
      <c r="Y139" s="29"/>
      <c r="Z139" s="29"/>
      <c r="AA139" s="29"/>
      <c r="AB139" s="29" t="s">
        <v>1630</v>
      </c>
      <c r="AC139" s="29"/>
      <c r="AD139" s="133">
        <v>138</v>
      </c>
      <c r="AE139" s="34">
        <f>VLOOKUP(F139,Stakeholders!E:K,7,0)</f>
        <v>115</v>
      </c>
      <c r="AF139" s="133"/>
      <c r="AG139" s="29"/>
      <c r="AH139" s="34" t="s">
        <v>82</v>
      </c>
      <c r="AI139" s="34">
        <f>COUNTIF(Stakeholders!$E$2:$E$114,F139)</f>
        <v>0</v>
      </c>
      <c r="AJ139" s="29"/>
      <c r="AK139" s="29"/>
      <c r="AL139" s="29"/>
      <c r="AM139" s="29"/>
      <c r="AN139" s="29"/>
      <c r="AO139" s="29"/>
      <c r="AP139" s="29"/>
      <c r="AQ139" s="29"/>
      <c r="AR139" s="29"/>
      <c r="AS139" s="29"/>
      <c r="AT139" s="29"/>
      <c r="AU139" s="29"/>
      <c r="AV139" s="29"/>
      <c r="AW139" s="29"/>
    </row>
    <row r="140" spans="1:49" ht="13">
      <c r="A140" s="132">
        <v>2017</v>
      </c>
      <c r="B140" s="14" t="s">
        <v>69</v>
      </c>
      <c r="C140" s="14" t="s">
        <v>270</v>
      </c>
      <c r="D140" s="14" t="s">
        <v>270</v>
      </c>
      <c r="E140" s="14" t="s">
        <v>270</v>
      </c>
      <c r="F140" s="92" t="s">
        <v>560</v>
      </c>
      <c r="G140" s="14">
        <f>COUNTIF(Stakeholders!$E$2:$E960,F140)</f>
        <v>1</v>
      </c>
      <c r="H140" s="14" t="s">
        <v>1633</v>
      </c>
      <c r="I140" s="137" t="s">
        <v>1634</v>
      </c>
      <c r="J140" s="14" t="s">
        <v>1635</v>
      </c>
      <c r="K140" s="14" t="s">
        <v>1635</v>
      </c>
      <c r="L140" s="14"/>
      <c r="M140" s="14"/>
      <c r="N140" s="14"/>
      <c r="O140" s="14"/>
      <c r="P140" s="14"/>
      <c r="Q140" s="14"/>
      <c r="R140" s="14"/>
      <c r="S140" s="14"/>
      <c r="T140" s="14"/>
      <c r="U140" s="14"/>
      <c r="V140" s="14"/>
      <c r="W140" s="14" t="s">
        <v>1629</v>
      </c>
      <c r="X140" s="14"/>
      <c r="Y140" s="14"/>
      <c r="Z140" s="14"/>
      <c r="AA140" s="14"/>
      <c r="AB140" s="14" t="s">
        <v>1630</v>
      </c>
      <c r="AC140" s="14"/>
      <c r="AD140" s="132">
        <v>139</v>
      </c>
      <c r="AE140" s="24">
        <f>VLOOKUP(F140,Stakeholders!E:K,7,0)</f>
        <v>56</v>
      </c>
      <c r="AF140" s="132"/>
      <c r="AG140" s="14"/>
      <c r="AH140" s="24" t="s">
        <v>82</v>
      </c>
      <c r="AI140" s="24">
        <f>COUNTIF(Stakeholders!$E$2:$E$114,F140)</f>
        <v>1</v>
      </c>
      <c r="AJ140" s="14"/>
      <c r="AK140" s="14"/>
      <c r="AL140" s="14"/>
      <c r="AM140" s="14"/>
      <c r="AN140" s="14"/>
      <c r="AO140" s="14"/>
      <c r="AP140" s="14"/>
      <c r="AQ140" s="14"/>
      <c r="AR140" s="14"/>
      <c r="AS140" s="14"/>
      <c r="AT140" s="14"/>
      <c r="AU140" s="14"/>
      <c r="AV140" s="14"/>
      <c r="AW140" s="14"/>
    </row>
    <row r="141" spans="1:49" ht="13">
      <c r="A141" s="133">
        <v>2017</v>
      </c>
      <c r="B141" s="29" t="s">
        <v>69</v>
      </c>
      <c r="C141" s="29" t="s">
        <v>270</v>
      </c>
      <c r="D141" s="29" t="s">
        <v>270</v>
      </c>
      <c r="E141" s="29" t="s">
        <v>270</v>
      </c>
      <c r="F141" s="139" t="s">
        <v>560</v>
      </c>
      <c r="G141" s="29">
        <f>COUNTIF(Stakeholders!$E$2:$E960,F141)</f>
        <v>1</v>
      </c>
      <c r="H141" s="29" t="s">
        <v>1636</v>
      </c>
      <c r="I141" s="138" t="s">
        <v>1637</v>
      </c>
      <c r="J141" s="29" t="s">
        <v>1629</v>
      </c>
      <c r="K141" s="29" t="s">
        <v>1629</v>
      </c>
      <c r="L141" s="29"/>
      <c r="M141" s="29"/>
      <c r="N141" s="29"/>
      <c r="O141" s="29"/>
      <c r="P141" s="29"/>
      <c r="Q141" s="29"/>
      <c r="R141" s="29"/>
      <c r="S141" s="29"/>
      <c r="T141" s="29"/>
      <c r="U141" s="29"/>
      <c r="V141" s="29"/>
      <c r="W141" s="29" t="s">
        <v>1629</v>
      </c>
      <c r="X141" s="29"/>
      <c r="Y141" s="29"/>
      <c r="Z141" s="29"/>
      <c r="AA141" s="29"/>
      <c r="AB141" s="29" t="s">
        <v>1630</v>
      </c>
      <c r="AC141" s="29"/>
      <c r="AD141" s="133">
        <v>140</v>
      </c>
      <c r="AE141" s="34">
        <f>VLOOKUP(F141,Stakeholders!E:K,7,0)</f>
        <v>56</v>
      </c>
      <c r="AF141" s="133"/>
      <c r="AG141" s="29"/>
      <c r="AH141" s="34" t="s">
        <v>82</v>
      </c>
      <c r="AI141" s="34">
        <f>COUNTIF(Stakeholders!$E$2:$E$114,F141)</f>
        <v>1</v>
      </c>
      <c r="AJ141" s="29"/>
      <c r="AK141" s="29"/>
      <c r="AL141" s="29"/>
      <c r="AM141" s="29"/>
      <c r="AN141" s="29"/>
      <c r="AO141" s="29"/>
      <c r="AP141" s="29"/>
      <c r="AQ141" s="29"/>
      <c r="AR141" s="29"/>
      <c r="AS141" s="29"/>
      <c r="AT141" s="29"/>
      <c r="AU141" s="29"/>
      <c r="AV141" s="29"/>
      <c r="AW141" s="29"/>
    </row>
    <row r="142" spans="1:49" ht="13">
      <c r="A142" s="14"/>
      <c r="B142" s="12" t="s">
        <v>64</v>
      </c>
      <c r="C142" s="14" t="s">
        <v>73</v>
      </c>
      <c r="D142" s="14" t="s">
        <v>85</v>
      </c>
      <c r="E142" s="14" t="s">
        <v>73</v>
      </c>
      <c r="F142" s="14" t="s">
        <v>907</v>
      </c>
      <c r="G142" s="14">
        <f>COUNTIF(Stakeholders!$E$2:$E960,F142)</f>
        <v>1</v>
      </c>
      <c r="H142" s="14" t="s">
        <v>1638</v>
      </c>
      <c r="I142" s="137" t="s">
        <v>1639</v>
      </c>
      <c r="J142" s="14" t="s">
        <v>1629</v>
      </c>
      <c r="K142" s="14" t="s">
        <v>1629</v>
      </c>
      <c r="L142" s="14"/>
      <c r="M142" s="14"/>
      <c r="N142" s="14"/>
      <c r="O142" s="14"/>
      <c r="P142" s="14"/>
      <c r="Q142" s="14"/>
      <c r="R142" s="14"/>
      <c r="S142" s="14"/>
      <c r="T142" s="14"/>
      <c r="U142" s="14"/>
      <c r="V142" s="14"/>
      <c r="W142" s="14" t="s">
        <v>1629</v>
      </c>
      <c r="X142" s="14"/>
      <c r="Y142" s="14"/>
      <c r="Z142" s="14"/>
      <c r="AA142" s="14" t="s">
        <v>1640</v>
      </c>
      <c r="AB142" s="14" t="s">
        <v>1615</v>
      </c>
      <c r="AC142" s="14"/>
      <c r="AD142" s="132">
        <v>141</v>
      </c>
      <c r="AE142" s="24">
        <f>VLOOKUP(F142,Stakeholders!E:K,7,0)</f>
        <v>116</v>
      </c>
      <c r="AF142" s="132"/>
      <c r="AG142" s="14"/>
      <c r="AH142" s="24" t="s">
        <v>82</v>
      </c>
      <c r="AI142" s="24">
        <f>COUNTIF(Stakeholders!$E$2:$E$114,F142)</f>
        <v>0</v>
      </c>
      <c r="AJ142" s="14"/>
      <c r="AK142" s="14"/>
      <c r="AL142" s="14"/>
      <c r="AM142" s="14"/>
      <c r="AN142" s="14"/>
      <c r="AO142" s="14"/>
      <c r="AP142" s="14"/>
      <c r="AQ142" s="14"/>
      <c r="AR142" s="14"/>
      <c r="AS142" s="14"/>
      <c r="AT142" s="14"/>
      <c r="AU142" s="14"/>
      <c r="AV142" s="14"/>
      <c r="AW142" s="14"/>
    </row>
    <row r="143" spans="1:49" ht="13">
      <c r="A143" s="133">
        <v>2021</v>
      </c>
      <c r="B143" s="29" t="s">
        <v>56</v>
      </c>
      <c r="C143" s="29" t="s">
        <v>224</v>
      </c>
      <c r="D143" s="29" t="s">
        <v>1641</v>
      </c>
      <c r="E143" s="29" t="e">
        <v>#N/A</v>
      </c>
      <c r="F143" s="29" t="s">
        <v>1642</v>
      </c>
      <c r="G143" s="29">
        <f>COUNTIF(Stakeholders!$E$2:$E960,F143)</f>
        <v>0</v>
      </c>
      <c r="H143" s="29" t="s">
        <v>1643</v>
      </c>
      <c r="I143" s="138" t="s">
        <v>1644</v>
      </c>
      <c r="J143" s="29" t="s">
        <v>1629</v>
      </c>
      <c r="K143" s="29" t="s">
        <v>1635</v>
      </c>
      <c r="L143" s="29"/>
      <c r="M143" s="29"/>
      <c r="N143" s="29"/>
      <c r="O143" s="29"/>
      <c r="P143" s="29"/>
      <c r="Q143" s="29"/>
      <c r="R143" s="29"/>
      <c r="S143" s="29"/>
      <c r="T143" s="29"/>
      <c r="U143" s="29"/>
      <c r="V143" s="29"/>
      <c r="W143" s="29" t="s">
        <v>1635</v>
      </c>
      <c r="X143" s="29"/>
      <c r="Y143" s="29"/>
      <c r="Z143" s="29"/>
      <c r="AA143" s="29" t="s">
        <v>1645</v>
      </c>
      <c r="AB143" s="29" t="s">
        <v>1615</v>
      </c>
      <c r="AC143" s="29"/>
      <c r="AD143" s="133">
        <v>142</v>
      </c>
      <c r="AE143" s="34" t="e">
        <f>VLOOKUP(F143,Stakeholders!E:K,7,0)</f>
        <v>#N/A</v>
      </c>
      <c r="AF143" s="133"/>
      <c r="AG143" s="29"/>
      <c r="AH143" s="34" t="s">
        <v>82</v>
      </c>
      <c r="AI143" s="34">
        <f>COUNTIF(Stakeholders!$E$2:$E$114,F143)</f>
        <v>0</v>
      </c>
      <c r="AJ143" s="29"/>
      <c r="AK143" s="29"/>
      <c r="AL143" s="29"/>
      <c r="AM143" s="29"/>
      <c r="AN143" s="29"/>
      <c r="AO143" s="29"/>
      <c r="AP143" s="29"/>
      <c r="AQ143" s="29"/>
      <c r="AR143" s="29"/>
      <c r="AS143" s="29"/>
      <c r="AT143" s="29"/>
      <c r="AU143" s="29"/>
      <c r="AV143" s="29"/>
      <c r="AW143" s="29"/>
    </row>
    <row r="144" spans="1:49" ht="13">
      <c r="A144" s="132">
        <v>2021</v>
      </c>
      <c r="B144" s="12" t="s">
        <v>64</v>
      </c>
      <c r="C144" s="14" t="s">
        <v>73</v>
      </c>
      <c r="D144" s="14" t="s">
        <v>85</v>
      </c>
      <c r="E144" s="14" t="s">
        <v>73</v>
      </c>
      <c r="F144" s="14" t="s">
        <v>181</v>
      </c>
      <c r="G144" s="14">
        <f>COUNTIF(Stakeholders!$E$2:$E960,F144)</f>
        <v>1</v>
      </c>
      <c r="H144" s="14" t="s">
        <v>1646</v>
      </c>
      <c r="I144" s="137" t="s">
        <v>1647</v>
      </c>
      <c r="J144" s="14" t="s">
        <v>1629</v>
      </c>
      <c r="K144" s="14" t="s">
        <v>1629</v>
      </c>
      <c r="L144" s="14"/>
      <c r="M144" s="14"/>
      <c r="N144" s="14"/>
      <c r="O144" s="14"/>
      <c r="P144" s="14"/>
      <c r="Q144" s="14"/>
      <c r="R144" s="14"/>
      <c r="S144" s="14"/>
      <c r="T144" s="14"/>
      <c r="U144" s="14"/>
      <c r="V144" s="14"/>
      <c r="W144" s="14" t="s">
        <v>1635</v>
      </c>
      <c r="X144" s="14"/>
      <c r="Y144" s="14"/>
      <c r="Z144" s="14"/>
      <c r="AA144" s="14"/>
      <c r="AB144" s="14" t="s">
        <v>1648</v>
      </c>
      <c r="AC144" s="14"/>
      <c r="AD144" s="132">
        <v>143</v>
      </c>
      <c r="AE144" s="24">
        <f>VLOOKUP(F144,Stakeholders!E:K,7,0)</f>
        <v>17</v>
      </c>
      <c r="AF144" s="132"/>
      <c r="AG144" s="14"/>
      <c r="AH144" s="24" t="s">
        <v>82</v>
      </c>
      <c r="AI144" s="24">
        <f>COUNTIF(Stakeholders!$E$2:$E$114,F144)</f>
        <v>1</v>
      </c>
      <c r="AJ144" s="14"/>
      <c r="AK144" s="14"/>
      <c r="AL144" s="14"/>
      <c r="AM144" s="14"/>
      <c r="AN144" s="14"/>
      <c r="AO144" s="14"/>
      <c r="AP144" s="14"/>
      <c r="AQ144" s="14"/>
      <c r="AR144" s="14"/>
      <c r="AS144" s="14"/>
      <c r="AT144" s="14"/>
      <c r="AU144" s="14"/>
      <c r="AV144" s="14"/>
      <c r="AW144" s="14"/>
    </row>
    <row r="145" spans="1:49" ht="13">
      <c r="A145" s="133">
        <v>2021</v>
      </c>
      <c r="B145" s="29" t="s">
        <v>58</v>
      </c>
      <c r="C145" s="29" t="s">
        <v>224</v>
      </c>
      <c r="D145" s="29" t="s">
        <v>349</v>
      </c>
      <c r="E145" s="29" t="s">
        <v>349</v>
      </c>
      <c r="F145" s="29" t="s">
        <v>586</v>
      </c>
      <c r="G145" s="29">
        <f>COUNTIF(Stakeholders!$E$2:$E960,F145)</f>
        <v>1</v>
      </c>
      <c r="H145" s="29" t="s">
        <v>1649</v>
      </c>
      <c r="I145" s="138" t="s">
        <v>1650</v>
      </c>
      <c r="J145" s="29" t="s">
        <v>1629</v>
      </c>
      <c r="K145" s="29" t="s">
        <v>1629</v>
      </c>
      <c r="L145" s="29"/>
      <c r="M145" s="29"/>
      <c r="N145" s="29"/>
      <c r="O145" s="29"/>
      <c r="P145" s="29"/>
      <c r="Q145" s="29"/>
      <c r="R145" s="29"/>
      <c r="S145" s="29"/>
      <c r="T145" s="29"/>
      <c r="U145" s="29"/>
      <c r="V145" s="29"/>
      <c r="W145" s="29" t="s">
        <v>1629</v>
      </c>
      <c r="X145" s="29"/>
      <c r="Y145" s="29"/>
      <c r="Z145" s="29"/>
      <c r="AA145" s="29" t="s">
        <v>1651</v>
      </c>
      <c r="AB145" s="29" t="s">
        <v>585</v>
      </c>
      <c r="AC145" s="29"/>
      <c r="AD145" s="133">
        <v>144</v>
      </c>
      <c r="AE145" s="34">
        <f>VLOOKUP(F145,Stakeholders!E:K,7,0)</f>
        <v>61</v>
      </c>
      <c r="AF145" s="133"/>
      <c r="AG145" s="29"/>
      <c r="AH145" s="34" t="s">
        <v>82</v>
      </c>
      <c r="AI145" s="34">
        <f>COUNTIF(Stakeholders!$E$2:$E$114,F145)</f>
        <v>1</v>
      </c>
      <c r="AJ145" s="29"/>
      <c r="AK145" s="29"/>
      <c r="AL145" s="29"/>
      <c r="AM145" s="29"/>
      <c r="AN145" s="29"/>
      <c r="AO145" s="29"/>
      <c r="AP145" s="29"/>
      <c r="AQ145" s="29"/>
      <c r="AR145" s="29"/>
      <c r="AS145" s="29"/>
      <c r="AT145" s="29"/>
      <c r="AU145" s="29"/>
      <c r="AV145" s="29"/>
      <c r="AW145" s="29"/>
    </row>
    <row r="146" spans="1:49" ht="13">
      <c r="A146" s="132">
        <v>2021</v>
      </c>
      <c r="B146" s="14" t="s">
        <v>56</v>
      </c>
      <c r="C146" s="14" t="s">
        <v>224</v>
      </c>
      <c r="D146" s="14" t="s">
        <v>85</v>
      </c>
      <c r="E146" s="14" t="s">
        <v>661</v>
      </c>
      <c r="F146" s="14" t="s">
        <v>661</v>
      </c>
      <c r="G146" s="14">
        <f>COUNTIF(Stakeholders!$E$2:$E960,F146)</f>
        <v>1</v>
      </c>
      <c r="H146" s="14" t="s">
        <v>1652</v>
      </c>
      <c r="I146" s="137" t="s">
        <v>1653</v>
      </c>
      <c r="J146" s="14" t="s">
        <v>1629</v>
      </c>
      <c r="K146" s="14" t="s">
        <v>1629</v>
      </c>
      <c r="L146" s="14"/>
      <c r="M146" s="14"/>
      <c r="N146" s="14"/>
      <c r="O146" s="14"/>
      <c r="P146" s="14"/>
      <c r="Q146" s="14"/>
      <c r="R146" s="14"/>
      <c r="S146" s="14"/>
      <c r="T146" s="14"/>
      <c r="U146" s="14"/>
      <c r="V146" s="14"/>
      <c r="W146" s="14" t="s">
        <v>1635</v>
      </c>
      <c r="X146" s="14"/>
      <c r="Y146" s="14"/>
      <c r="Z146" s="14"/>
      <c r="AA146" s="14" t="s">
        <v>1654</v>
      </c>
      <c r="AB146" s="14" t="s">
        <v>585</v>
      </c>
      <c r="AC146" s="14"/>
      <c r="AD146" s="132">
        <v>145</v>
      </c>
      <c r="AE146" s="24">
        <f>VLOOKUP(F146,Stakeholders!E:K,7,0)</f>
        <v>117</v>
      </c>
      <c r="AF146" s="132"/>
      <c r="AG146" s="14"/>
      <c r="AH146" s="24" t="s">
        <v>82</v>
      </c>
      <c r="AI146" s="24">
        <f>COUNTIF(Stakeholders!$E$2:$E$114,F146)</f>
        <v>0</v>
      </c>
      <c r="AJ146" s="14"/>
      <c r="AK146" s="14"/>
      <c r="AL146" s="14"/>
      <c r="AM146" s="14"/>
      <c r="AN146" s="14"/>
      <c r="AO146" s="14"/>
      <c r="AP146" s="14"/>
      <c r="AQ146" s="14"/>
      <c r="AR146" s="14"/>
      <c r="AS146" s="14"/>
      <c r="AT146" s="14"/>
      <c r="AU146" s="14"/>
      <c r="AV146" s="14"/>
      <c r="AW146" s="14"/>
    </row>
    <row r="147" spans="1:49" ht="13">
      <c r="A147" s="133">
        <v>2019</v>
      </c>
      <c r="B147" s="29" t="s">
        <v>58</v>
      </c>
      <c r="C147" s="29" t="s">
        <v>95</v>
      </c>
      <c r="D147" s="29" t="s">
        <v>1655</v>
      </c>
      <c r="E147" s="29" t="e">
        <v>#N/A</v>
      </c>
      <c r="F147" s="29" t="s">
        <v>1656</v>
      </c>
      <c r="G147" s="29">
        <f>COUNTIF(Stakeholders!$E$2:$E960,F147)</f>
        <v>0</v>
      </c>
      <c r="H147" s="29" t="s">
        <v>1657</v>
      </c>
      <c r="I147" s="29"/>
      <c r="J147" s="29" t="s">
        <v>1629</v>
      </c>
      <c r="K147" s="29" t="s">
        <v>1629</v>
      </c>
      <c r="L147" s="29"/>
      <c r="M147" s="29"/>
      <c r="N147" s="29"/>
      <c r="O147" s="29"/>
      <c r="P147" s="29"/>
      <c r="Q147" s="29"/>
      <c r="R147" s="29"/>
      <c r="S147" s="29"/>
      <c r="T147" s="29"/>
      <c r="U147" s="29"/>
      <c r="V147" s="29"/>
      <c r="W147" s="29" t="s">
        <v>1635</v>
      </c>
      <c r="X147" s="29"/>
      <c r="Y147" s="29"/>
      <c r="Z147" s="29"/>
      <c r="AA147" s="29"/>
      <c r="AB147" s="29" t="s">
        <v>1604</v>
      </c>
      <c r="AC147" s="29"/>
      <c r="AD147" s="133">
        <v>146</v>
      </c>
      <c r="AE147" s="34" t="e">
        <f>VLOOKUP(F147,Stakeholders!E:K,7,0)</f>
        <v>#N/A</v>
      </c>
      <c r="AF147" s="133"/>
      <c r="AG147" s="29"/>
      <c r="AH147" s="34" t="s">
        <v>82</v>
      </c>
      <c r="AI147" s="34">
        <f>COUNTIF(Stakeholders!$E$2:$E$114,F147)</f>
        <v>0</v>
      </c>
      <c r="AJ147" s="29"/>
      <c r="AK147" s="29"/>
      <c r="AL147" s="29"/>
      <c r="AM147" s="29"/>
      <c r="AN147" s="29"/>
      <c r="AO147" s="29"/>
      <c r="AP147" s="29"/>
      <c r="AQ147" s="29"/>
      <c r="AR147" s="29"/>
      <c r="AS147" s="29"/>
      <c r="AT147" s="29"/>
      <c r="AU147" s="29"/>
      <c r="AV147" s="29"/>
      <c r="AW147" s="29"/>
    </row>
    <row r="148" spans="1:49" ht="13">
      <c r="A148" s="132">
        <v>2020</v>
      </c>
      <c r="B148" s="14" t="s">
        <v>58</v>
      </c>
      <c r="C148" s="14" t="s">
        <v>1592</v>
      </c>
      <c r="D148" s="14" t="s">
        <v>85</v>
      </c>
      <c r="E148" s="14" t="e">
        <v>#N/A</v>
      </c>
      <c r="F148" s="14" t="s">
        <v>1658</v>
      </c>
      <c r="G148" s="14">
        <f>COUNTIF(Stakeholders!$E$2:$E960,F148)</f>
        <v>0</v>
      </c>
      <c r="H148" s="14" t="s">
        <v>1659</v>
      </c>
      <c r="I148" s="14"/>
      <c r="J148" s="14" t="s">
        <v>1629</v>
      </c>
      <c r="K148" s="14" t="s">
        <v>1629</v>
      </c>
      <c r="L148" s="14"/>
      <c r="M148" s="14"/>
      <c r="N148" s="14"/>
      <c r="O148" s="14"/>
      <c r="P148" s="14"/>
      <c r="Q148" s="14"/>
      <c r="R148" s="14"/>
      <c r="S148" s="14"/>
      <c r="T148" s="14"/>
      <c r="U148" s="14"/>
      <c r="V148" s="14"/>
      <c r="W148" s="14" t="s">
        <v>1629</v>
      </c>
      <c r="X148" s="14"/>
      <c r="Y148" s="14"/>
      <c r="Z148" s="14"/>
      <c r="AA148" s="14" t="s">
        <v>1660</v>
      </c>
      <c r="AB148" s="14" t="s">
        <v>1604</v>
      </c>
      <c r="AC148" s="14"/>
      <c r="AD148" s="132">
        <v>147</v>
      </c>
      <c r="AE148" s="24" t="e">
        <f>VLOOKUP(F148,Stakeholders!E:K,7,0)</f>
        <v>#N/A</v>
      </c>
      <c r="AF148" s="132"/>
      <c r="AG148" s="14"/>
      <c r="AH148" s="24" t="s">
        <v>82</v>
      </c>
      <c r="AI148" s="24">
        <f>COUNTIF(Stakeholders!$E$2:$E$114,F148)</f>
        <v>0</v>
      </c>
      <c r="AJ148" s="14"/>
      <c r="AK148" s="14"/>
      <c r="AL148" s="14"/>
      <c r="AM148" s="14"/>
      <c r="AN148" s="14"/>
      <c r="AO148" s="14"/>
      <c r="AP148" s="14"/>
      <c r="AQ148" s="14"/>
      <c r="AR148" s="14"/>
      <c r="AS148" s="14"/>
      <c r="AT148" s="14"/>
      <c r="AU148" s="14"/>
      <c r="AV148" s="14"/>
      <c r="AW148" s="14"/>
    </row>
    <row r="149" spans="1:49" ht="13">
      <c r="A149" s="133">
        <v>2021</v>
      </c>
      <c r="B149" s="29" t="s">
        <v>58</v>
      </c>
      <c r="C149" s="29" t="s">
        <v>224</v>
      </c>
      <c r="D149" s="29" t="s">
        <v>1661</v>
      </c>
      <c r="E149" s="29" t="e">
        <v>#N/A</v>
      </c>
      <c r="F149" s="29" t="s">
        <v>1662</v>
      </c>
      <c r="G149" s="29">
        <f>COUNTIF(Stakeholders!$E$2:$E960,F149)</f>
        <v>0</v>
      </c>
      <c r="H149" s="29" t="s">
        <v>1663</v>
      </c>
      <c r="I149" s="138" t="s">
        <v>1664</v>
      </c>
      <c r="J149" s="29" t="s">
        <v>1629</v>
      </c>
      <c r="K149" s="29" t="s">
        <v>1629</v>
      </c>
      <c r="L149" s="29"/>
      <c r="M149" s="29"/>
      <c r="N149" s="29"/>
      <c r="O149" s="29"/>
      <c r="P149" s="29"/>
      <c r="Q149" s="29"/>
      <c r="R149" s="29"/>
      <c r="S149" s="29"/>
      <c r="T149" s="29"/>
      <c r="U149" s="29"/>
      <c r="V149" s="29"/>
      <c r="W149" s="29" t="s">
        <v>1629</v>
      </c>
      <c r="X149" s="29"/>
      <c r="Y149" s="29"/>
      <c r="Z149" s="29"/>
      <c r="AA149" s="29"/>
      <c r="AB149" s="29" t="s">
        <v>1604</v>
      </c>
      <c r="AC149" s="29"/>
      <c r="AD149" s="133">
        <v>148</v>
      </c>
      <c r="AE149" s="34" t="e">
        <f>VLOOKUP(F149,Stakeholders!E:K,7,0)</f>
        <v>#N/A</v>
      </c>
      <c r="AF149" s="133"/>
      <c r="AG149" s="29"/>
      <c r="AH149" s="34" t="s">
        <v>82</v>
      </c>
      <c r="AI149" s="34">
        <f>COUNTIF(Stakeholders!$E$2:$E$114,F149)</f>
        <v>0</v>
      </c>
      <c r="AJ149" s="29"/>
      <c r="AK149" s="29"/>
      <c r="AL149" s="29"/>
      <c r="AM149" s="29"/>
      <c r="AN149" s="29"/>
      <c r="AO149" s="29"/>
      <c r="AP149" s="29"/>
      <c r="AQ149" s="29"/>
      <c r="AR149" s="29"/>
      <c r="AS149" s="29"/>
      <c r="AT149" s="29"/>
      <c r="AU149" s="29"/>
      <c r="AV149" s="29"/>
      <c r="AW149" s="29"/>
    </row>
    <row r="150" spans="1:49" ht="13">
      <c r="A150" s="132">
        <v>2021</v>
      </c>
      <c r="B150" s="12" t="s">
        <v>64</v>
      </c>
      <c r="C150" s="14" t="s">
        <v>224</v>
      </c>
      <c r="D150" s="14" t="s">
        <v>8</v>
      </c>
      <c r="E150" s="14" t="e">
        <v>#N/A</v>
      </c>
      <c r="F150" s="14" t="s">
        <v>1665</v>
      </c>
      <c r="G150" s="14">
        <f>COUNTIF(Stakeholders!$E$2:$E960,F150)</f>
        <v>0</v>
      </c>
      <c r="H150" s="14" t="s">
        <v>1666</v>
      </c>
      <c r="I150" s="137" t="s">
        <v>1667</v>
      </c>
      <c r="J150" s="14" t="s">
        <v>1629</v>
      </c>
      <c r="K150" s="14" t="s">
        <v>1629</v>
      </c>
      <c r="L150" s="14"/>
      <c r="M150" s="14"/>
      <c r="N150" s="14"/>
      <c r="O150" s="14"/>
      <c r="P150" s="14"/>
      <c r="Q150" s="14"/>
      <c r="R150" s="14"/>
      <c r="S150" s="14"/>
      <c r="T150" s="14"/>
      <c r="U150" s="14"/>
      <c r="V150" s="14"/>
      <c r="W150" s="14" t="s">
        <v>1629</v>
      </c>
      <c r="X150" s="14"/>
      <c r="Y150" s="14"/>
      <c r="Z150" s="14"/>
      <c r="AA150" s="14" t="s">
        <v>1668</v>
      </c>
      <c r="AB150" s="14" t="s">
        <v>1615</v>
      </c>
      <c r="AC150" s="14"/>
      <c r="AD150" s="132">
        <v>149</v>
      </c>
      <c r="AE150" s="24" t="e">
        <f>VLOOKUP(F150,Stakeholders!E:K,7,0)</f>
        <v>#N/A</v>
      </c>
      <c r="AF150" s="132"/>
      <c r="AG150" s="14"/>
      <c r="AH150" s="24" t="s">
        <v>82</v>
      </c>
      <c r="AI150" s="24">
        <f>COUNTIF(Stakeholders!$E$2:$E$114,F150)</f>
        <v>0</v>
      </c>
      <c r="AJ150" s="14"/>
      <c r="AK150" s="14"/>
      <c r="AL150" s="14"/>
      <c r="AM150" s="14"/>
      <c r="AN150" s="14"/>
      <c r="AO150" s="14"/>
      <c r="AP150" s="14"/>
      <c r="AQ150" s="14"/>
      <c r="AR150" s="14"/>
      <c r="AS150" s="14"/>
      <c r="AT150" s="14"/>
      <c r="AU150" s="14"/>
      <c r="AV150" s="14"/>
      <c r="AW150" s="14"/>
    </row>
    <row r="151" spans="1:49" ht="13">
      <c r="A151" s="133">
        <v>2020</v>
      </c>
      <c r="B151" s="29" t="s">
        <v>58</v>
      </c>
      <c r="C151" s="29" t="s">
        <v>368</v>
      </c>
      <c r="D151" s="29" t="s">
        <v>226</v>
      </c>
      <c r="E151" s="29" t="e">
        <v>#N/A</v>
      </c>
      <c r="F151" s="29" t="s">
        <v>1669</v>
      </c>
      <c r="G151" s="29">
        <f>COUNTIF(Stakeholders!$E$2:$E960,F151)</f>
        <v>0</v>
      </c>
      <c r="H151" s="29" t="s">
        <v>1670</v>
      </c>
      <c r="I151" s="138" t="s">
        <v>1671</v>
      </c>
      <c r="J151" s="29" t="s">
        <v>1629</v>
      </c>
      <c r="K151" s="29" t="s">
        <v>1629</v>
      </c>
      <c r="L151" s="29"/>
      <c r="M151" s="29"/>
      <c r="N151" s="29"/>
      <c r="O151" s="29"/>
      <c r="P151" s="29"/>
      <c r="Q151" s="29"/>
      <c r="R151" s="29"/>
      <c r="S151" s="29"/>
      <c r="T151" s="29"/>
      <c r="U151" s="29"/>
      <c r="V151" s="29"/>
      <c r="W151" s="29" t="s">
        <v>1629</v>
      </c>
      <c r="X151" s="29"/>
      <c r="Y151" s="29"/>
      <c r="Z151" s="29"/>
      <c r="AA151" s="29" t="s">
        <v>1672</v>
      </c>
      <c r="AB151" s="29" t="s">
        <v>1630</v>
      </c>
      <c r="AC151" s="29"/>
      <c r="AD151" s="133">
        <v>150</v>
      </c>
      <c r="AE151" s="34" t="e">
        <f>VLOOKUP(F151,Stakeholders!E:K,7,0)</f>
        <v>#N/A</v>
      </c>
      <c r="AF151" s="133"/>
      <c r="AG151" s="29"/>
      <c r="AH151" s="34" t="s">
        <v>82</v>
      </c>
      <c r="AI151" s="34">
        <f>COUNTIF(Stakeholders!$E$2:$E$114,F151)</f>
        <v>0</v>
      </c>
      <c r="AJ151" s="29"/>
      <c r="AK151" s="29"/>
      <c r="AL151" s="29"/>
      <c r="AM151" s="29"/>
      <c r="AN151" s="29"/>
      <c r="AO151" s="29"/>
      <c r="AP151" s="29"/>
      <c r="AQ151" s="29"/>
      <c r="AR151" s="29"/>
      <c r="AS151" s="29"/>
      <c r="AT151" s="29"/>
      <c r="AU151" s="29"/>
      <c r="AV151" s="29"/>
      <c r="AW151" s="29"/>
    </row>
    <row r="152" spans="1:49" ht="13">
      <c r="A152" s="132">
        <v>2021</v>
      </c>
      <c r="B152" s="39" t="s">
        <v>69</v>
      </c>
      <c r="C152" s="14" t="s">
        <v>224</v>
      </c>
      <c r="D152" s="14" t="s">
        <v>270</v>
      </c>
      <c r="E152" s="14" t="e">
        <v>#N/A</v>
      </c>
      <c r="F152" s="14" t="s">
        <v>1673</v>
      </c>
      <c r="G152" s="14">
        <f>COUNTIF(Stakeholders!$E$2:$E960,F152)</f>
        <v>0</v>
      </c>
      <c r="H152" s="14" t="s">
        <v>1674</v>
      </c>
      <c r="I152" s="137" t="s">
        <v>1675</v>
      </c>
      <c r="J152" s="14" t="s">
        <v>1629</v>
      </c>
      <c r="K152" s="14" t="s">
        <v>1629</v>
      </c>
      <c r="L152" s="14"/>
      <c r="M152" s="14"/>
      <c r="N152" s="14"/>
      <c r="O152" s="14"/>
      <c r="P152" s="14"/>
      <c r="Q152" s="14"/>
      <c r="R152" s="14"/>
      <c r="S152" s="14"/>
      <c r="T152" s="14"/>
      <c r="U152" s="14"/>
      <c r="V152" s="14"/>
      <c r="W152" s="14" t="s">
        <v>1629</v>
      </c>
      <c r="X152" s="14"/>
      <c r="Y152" s="14"/>
      <c r="Z152" s="14"/>
      <c r="AA152" s="14"/>
      <c r="AB152" s="14" t="s">
        <v>1630</v>
      </c>
      <c r="AC152" s="14"/>
      <c r="AD152" s="132">
        <v>151</v>
      </c>
      <c r="AE152" s="24" t="e">
        <f>VLOOKUP(F152,Stakeholders!E:K,7,0)</f>
        <v>#N/A</v>
      </c>
      <c r="AF152" s="132"/>
      <c r="AG152" s="14"/>
      <c r="AH152" s="24" t="s">
        <v>82</v>
      </c>
      <c r="AI152" s="24">
        <f>COUNTIF(Stakeholders!$E$2:$E$114,F152)</f>
        <v>0</v>
      </c>
      <c r="AJ152" s="14"/>
      <c r="AK152" s="14"/>
      <c r="AL152" s="14"/>
      <c r="AM152" s="14"/>
      <c r="AN152" s="14"/>
      <c r="AO152" s="14"/>
      <c r="AP152" s="14"/>
      <c r="AQ152" s="14"/>
      <c r="AR152" s="14"/>
      <c r="AS152" s="14"/>
      <c r="AT152" s="14"/>
      <c r="AU152" s="14"/>
      <c r="AV152" s="14"/>
      <c r="AW152" s="14"/>
    </row>
    <row r="153" spans="1:49" ht="13">
      <c r="A153" s="133">
        <v>2021</v>
      </c>
      <c r="B153" s="29" t="s">
        <v>92</v>
      </c>
      <c r="C153" s="29" t="s">
        <v>224</v>
      </c>
      <c r="D153" s="29" t="s">
        <v>1676</v>
      </c>
      <c r="E153" s="29" t="e">
        <v>#N/A</v>
      </c>
      <c r="F153" s="29" t="s">
        <v>1677</v>
      </c>
      <c r="G153" s="29">
        <f>COUNTIF(Stakeholders!$E$2:$E960,F153)</f>
        <v>0</v>
      </c>
      <c r="H153" s="29" t="s">
        <v>1678</v>
      </c>
      <c r="I153" s="138" t="s">
        <v>1679</v>
      </c>
      <c r="J153" s="29" t="s">
        <v>1629</v>
      </c>
      <c r="K153" s="29" t="s">
        <v>1629</v>
      </c>
      <c r="L153" s="29"/>
      <c r="M153" s="29"/>
      <c r="N153" s="29"/>
      <c r="O153" s="29"/>
      <c r="P153" s="29"/>
      <c r="Q153" s="29"/>
      <c r="R153" s="29"/>
      <c r="S153" s="29"/>
      <c r="T153" s="29"/>
      <c r="U153" s="29"/>
      <c r="V153" s="29"/>
      <c r="W153" s="29" t="s">
        <v>1629</v>
      </c>
      <c r="X153" s="29"/>
      <c r="Y153" s="29"/>
      <c r="Z153" s="29"/>
      <c r="AA153" s="29"/>
      <c r="AB153" s="29" t="s">
        <v>1604</v>
      </c>
      <c r="AC153" s="29"/>
      <c r="AD153" s="133">
        <v>152</v>
      </c>
      <c r="AE153" s="34" t="e">
        <f>VLOOKUP(F153,Stakeholders!E:K,7,0)</f>
        <v>#N/A</v>
      </c>
      <c r="AF153" s="133"/>
      <c r="AG153" s="29"/>
      <c r="AH153" s="34" t="s">
        <v>82</v>
      </c>
      <c r="AI153" s="34">
        <f>COUNTIF(Stakeholders!$E$2:$E$114,F153)</f>
        <v>0</v>
      </c>
      <c r="AJ153" s="29"/>
      <c r="AK153" s="29"/>
      <c r="AL153" s="29"/>
      <c r="AM153" s="29"/>
      <c r="AN153" s="29"/>
      <c r="AO153" s="29"/>
      <c r="AP153" s="29"/>
      <c r="AQ153" s="29"/>
      <c r="AR153" s="29"/>
      <c r="AS153" s="29"/>
      <c r="AT153" s="29"/>
      <c r="AU153" s="29"/>
      <c r="AV153" s="29"/>
      <c r="AW153" s="29"/>
    </row>
    <row r="154" spans="1:49" ht="13">
      <c r="A154" s="132">
        <v>2020</v>
      </c>
      <c r="B154" s="12" t="s">
        <v>8</v>
      </c>
      <c r="C154" s="14" t="s">
        <v>52</v>
      </c>
      <c r="D154" s="14" t="s">
        <v>1680</v>
      </c>
      <c r="E154" s="14" t="s">
        <v>52</v>
      </c>
      <c r="F154" s="14" t="s">
        <v>59</v>
      </c>
      <c r="G154" s="14">
        <f>COUNTIF(Stakeholders!$E$2:$E960,F154)</f>
        <v>1</v>
      </c>
      <c r="H154" s="14" t="s">
        <v>1681</v>
      </c>
      <c r="I154" s="137" t="s">
        <v>1682</v>
      </c>
      <c r="J154" s="14" t="s">
        <v>1629</v>
      </c>
      <c r="K154" s="14" t="s">
        <v>1635</v>
      </c>
      <c r="L154" s="14"/>
      <c r="M154" s="14"/>
      <c r="N154" s="14"/>
      <c r="O154" s="14"/>
      <c r="P154" s="14"/>
      <c r="Q154" s="14"/>
      <c r="R154" s="14"/>
      <c r="S154" s="14"/>
      <c r="T154" s="14"/>
      <c r="U154" s="14"/>
      <c r="V154" s="14"/>
      <c r="W154" s="14" t="s">
        <v>1629</v>
      </c>
      <c r="X154" s="14"/>
      <c r="Y154" s="14"/>
      <c r="Z154" s="14"/>
      <c r="AA154" s="14"/>
      <c r="AB154" s="14" t="s">
        <v>1615</v>
      </c>
      <c r="AC154" s="14"/>
      <c r="AD154" s="132">
        <v>153</v>
      </c>
      <c r="AE154" s="24">
        <f>VLOOKUP(F154,Stakeholders!E:K,7,0)</f>
        <v>1</v>
      </c>
      <c r="AF154" s="132"/>
      <c r="AG154" s="14"/>
      <c r="AH154" s="24" t="s">
        <v>82</v>
      </c>
      <c r="AI154" s="24">
        <f>COUNTIF(Stakeholders!$E$2:$E$114,F154)</f>
        <v>1</v>
      </c>
      <c r="AJ154" s="14"/>
      <c r="AK154" s="14"/>
      <c r="AL154" s="14"/>
      <c r="AM154" s="14"/>
      <c r="AN154" s="14"/>
      <c r="AO154" s="14"/>
      <c r="AP154" s="14"/>
      <c r="AQ154" s="14"/>
      <c r="AR154" s="14"/>
      <c r="AS154" s="14"/>
      <c r="AT154" s="14"/>
      <c r="AU154" s="14"/>
      <c r="AV154" s="14"/>
      <c r="AW154" s="14"/>
    </row>
    <row r="155" spans="1:49" ht="13">
      <c r="A155" s="133">
        <v>2021</v>
      </c>
      <c r="B155" s="12" t="s">
        <v>64</v>
      </c>
      <c r="C155" s="29" t="s">
        <v>224</v>
      </c>
      <c r="D155" s="29" t="s">
        <v>1683</v>
      </c>
      <c r="E155" s="29" t="s">
        <v>73</v>
      </c>
      <c r="F155" s="139" t="s">
        <v>346</v>
      </c>
      <c r="G155" s="29">
        <f>COUNTIF(Stakeholders!$E$2:$E960,F155)</f>
        <v>1</v>
      </c>
      <c r="H155" s="29" t="s">
        <v>1684</v>
      </c>
      <c r="I155" s="138" t="s">
        <v>1685</v>
      </c>
      <c r="J155" s="29" t="s">
        <v>1629</v>
      </c>
      <c r="K155" s="29" t="s">
        <v>1629</v>
      </c>
      <c r="L155" s="29"/>
      <c r="M155" s="29"/>
      <c r="N155" s="29"/>
      <c r="O155" s="29"/>
      <c r="P155" s="29"/>
      <c r="Q155" s="29"/>
      <c r="R155" s="29"/>
      <c r="S155" s="29"/>
      <c r="T155" s="29"/>
      <c r="U155" s="29"/>
      <c r="V155" s="29"/>
      <c r="W155" s="29" t="s">
        <v>1635</v>
      </c>
      <c r="X155" s="29"/>
      <c r="Y155" s="29"/>
      <c r="Z155" s="29"/>
      <c r="AA155" s="29" t="s">
        <v>1686</v>
      </c>
      <c r="AB155" s="29" t="s">
        <v>1615</v>
      </c>
      <c r="AC155" s="29"/>
      <c r="AD155" s="133">
        <v>154</v>
      </c>
      <c r="AE155" s="34">
        <f>VLOOKUP(F155,Stakeholders!E:K,7,0)</f>
        <v>31</v>
      </c>
      <c r="AF155" s="133"/>
      <c r="AG155" s="29"/>
      <c r="AH155" s="34" t="s">
        <v>82</v>
      </c>
      <c r="AI155" s="34">
        <f>COUNTIF(Stakeholders!$E$2:$E$114,F155)</f>
        <v>1</v>
      </c>
      <c r="AJ155" s="29"/>
      <c r="AK155" s="29"/>
      <c r="AL155" s="29"/>
      <c r="AM155" s="29"/>
      <c r="AN155" s="29"/>
      <c r="AO155" s="29"/>
      <c r="AP155" s="29"/>
      <c r="AQ155" s="29"/>
      <c r="AR155" s="29"/>
      <c r="AS155" s="29"/>
      <c r="AT155" s="29"/>
      <c r="AU155" s="29"/>
      <c r="AV155" s="29"/>
      <c r="AW155" s="29"/>
    </row>
    <row r="156" spans="1:49" ht="13">
      <c r="A156" s="132">
        <v>2021</v>
      </c>
      <c r="B156" s="12" t="s">
        <v>64</v>
      </c>
      <c r="C156" s="14" t="s">
        <v>224</v>
      </c>
      <c r="D156" s="14" t="s">
        <v>1687</v>
      </c>
      <c r="E156" s="14" t="s">
        <v>73</v>
      </c>
      <c r="F156" s="92" t="s">
        <v>346</v>
      </c>
      <c r="G156" s="14">
        <f>COUNTIF(Stakeholders!$E$2:$E960,F156)</f>
        <v>1</v>
      </c>
      <c r="H156" s="14" t="s">
        <v>1688</v>
      </c>
      <c r="I156" s="137" t="s">
        <v>1689</v>
      </c>
      <c r="J156" s="14" t="s">
        <v>1629</v>
      </c>
      <c r="K156" s="14"/>
      <c r="L156" s="14"/>
      <c r="M156" s="14"/>
      <c r="N156" s="14"/>
      <c r="O156" s="14"/>
      <c r="P156" s="14"/>
      <c r="Q156" s="14"/>
      <c r="R156" s="14"/>
      <c r="S156" s="14"/>
      <c r="T156" s="14"/>
      <c r="U156" s="14"/>
      <c r="V156" s="14"/>
      <c r="W156" s="14" t="s">
        <v>1635</v>
      </c>
      <c r="X156" s="14"/>
      <c r="Y156" s="14"/>
      <c r="Z156" s="14"/>
      <c r="AA156" s="14" t="s">
        <v>1690</v>
      </c>
      <c r="AB156" s="14" t="s">
        <v>1615</v>
      </c>
      <c r="AC156" s="14"/>
      <c r="AD156" s="132">
        <v>155</v>
      </c>
      <c r="AE156" s="24">
        <f>VLOOKUP(F156,Stakeholders!E:K,7,0)</f>
        <v>31</v>
      </c>
      <c r="AF156" s="132"/>
      <c r="AG156" s="14"/>
      <c r="AH156" s="24" t="s">
        <v>82</v>
      </c>
      <c r="AI156" s="24">
        <f>COUNTIF(Stakeholders!$E$2:$E$114,F156)</f>
        <v>1</v>
      </c>
      <c r="AJ156" s="14"/>
      <c r="AK156" s="14"/>
      <c r="AL156" s="14"/>
      <c r="AM156" s="14"/>
      <c r="AN156" s="14"/>
      <c r="AO156" s="14"/>
      <c r="AP156" s="14"/>
      <c r="AQ156" s="14"/>
      <c r="AR156" s="14"/>
      <c r="AS156" s="14"/>
      <c r="AT156" s="14"/>
      <c r="AU156" s="14"/>
      <c r="AV156" s="14"/>
      <c r="AW156" s="14"/>
    </row>
    <row r="157" spans="1:49" ht="13">
      <c r="A157" s="133">
        <v>2021</v>
      </c>
      <c r="B157" s="29" t="s">
        <v>56</v>
      </c>
      <c r="C157" s="29" t="s">
        <v>224</v>
      </c>
      <c r="D157" s="29" t="s">
        <v>308</v>
      </c>
      <c r="E157" s="29" t="e">
        <v>#N/A</v>
      </c>
      <c r="F157" s="29" t="s">
        <v>1691</v>
      </c>
      <c r="G157" s="29">
        <f>COUNTIF(Stakeholders!$E$2:$E960,F157)</f>
        <v>0</v>
      </c>
      <c r="H157" s="29" t="s">
        <v>1692</v>
      </c>
      <c r="I157" s="138" t="s">
        <v>1693</v>
      </c>
      <c r="J157" s="29" t="s">
        <v>1629</v>
      </c>
      <c r="K157" s="29" t="s">
        <v>1635</v>
      </c>
      <c r="L157" s="29"/>
      <c r="M157" s="29"/>
      <c r="N157" s="29"/>
      <c r="O157" s="29"/>
      <c r="P157" s="29"/>
      <c r="Q157" s="29"/>
      <c r="R157" s="29"/>
      <c r="S157" s="29"/>
      <c r="T157" s="29"/>
      <c r="U157" s="29"/>
      <c r="V157" s="29"/>
      <c r="W157" s="29" t="s">
        <v>1629</v>
      </c>
      <c r="X157" s="29"/>
      <c r="Y157" s="29"/>
      <c r="Z157" s="29"/>
      <c r="AA157" s="29"/>
      <c r="AB157" s="29" t="s">
        <v>1615</v>
      </c>
      <c r="AC157" s="29"/>
      <c r="AD157" s="133">
        <v>156</v>
      </c>
      <c r="AE157" s="34" t="e">
        <f>VLOOKUP(F157,Stakeholders!E:K,7,0)</f>
        <v>#N/A</v>
      </c>
      <c r="AF157" s="133"/>
      <c r="AG157" s="29"/>
      <c r="AH157" s="34" t="s">
        <v>82</v>
      </c>
      <c r="AI157" s="34">
        <f>COUNTIF(Stakeholders!$E$2:$E$114,F157)</f>
        <v>0</v>
      </c>
      <c r="AJ157" s="29"/>
      <c r="AK157" s="29"/>
      <c r="AL157" s="29"/>
      <c r="AM157" s="29"/>
      <c r="AN157" s="29"/>
      <c r="AO157" s="29"/>
      <c r="AP157" s="29"/>
      <c r="AQ157" s="29"/>
      <c r="AR157" s="29"/>
      <c r="AS157" s="29"/>
      <c r="AT157" s="29"/>
      <c r="AU157" s="29"/>
      <c r="AV157" s="29"/>
      <c r="AW157" s="29"/>
    </row>
    <row r="158" spans="1:49" ht="13">
      <c r="A158" s="132">
        <v>2019</v>
      </c>
      <c r="B158" s="14" t="s">
        <v>92</v>
      </c>
      <c r="C158" s="14" t="s">
        <v>224</v>
      </c>
      <c r="D158" s="14" t="s">
        <v>438</v>
      </c>
      <c r="E158" s="14" t="e">
        <v>#N/A</v>
      </c>
      <c r="F158" s="14" t="s">
        <v>1694</v>
      </c>
      <c r="G158" s="14">
        <f>COUNTIF(Stakeholders!$E$2:$E960,F158)</f>
        <v>0</v>
      </c>
      <c r="H158" s="14" t="s">
        <v>1695</v>
      </c>
      <c r="I158" s="137" t="s">
        <v>1537</v>
      </c>
      <c r="J158" s="14" t="s">
        <v>1629</v>
      </c>
      <c r="K158" s="14" t="s">
        <v>1635</v>
      </c>
      <c r="L158" s="14"/>
      <c r="M158" s="14"/>
      <c r="N158" s="14"/>
      <c r="O158" s="14"/>
      <c r="P158" s="14"/>
      <c r="Q158" s="14"/>
      <c r="R158" s="14"/>
      <c r="S158" s="14"/>
      <c r="T158" s="14"/>
      <c r="U158" s="14"/>
      <c r="V158" s="14"/>
      <c r="W158" s="14" t="s">
        <v>1635</v>
      </c>
      <c r="X158" s="14"/>
      <c r="Y158" s="14"/>
      <c r="Z158" s="14"/>
      <c r="AA158" s="14"/>
      <c r="AB158" s="14" t="s">
        <v>1604</v>
      </c>
      <c r="AC158" s="14"/>
      <c r="AD158" s="132">
        <v>157</v>
      </c>
      <c r="AE158" s="24" t="e">
        <f>VLOOKUP(F158,Stakeholders!E:K,7,0)</f>
        <v>#N/A</v>
      </c>
      <c r="AF158" s="132"/>
      <c r="AG158" s="14"/>
      <c r="AH158" s="24" t="s">
        <v>82</v>
      </c>
      <c r="AI158" s="24">
        <f>COUNTIF(Stakeholders!$E$2:$E$114,F158)</f>
        <v>0</v>
      </c>
      <c r="AJ158" s="14"/>
      <c r="AK158" s="14"/>
      <c r="AL158" s="14"/>
      <c r="AM158" s="14"/>
      <c r="AN158" s="14"/>
      <c r="AO158" s="14"/>
      <c r="AP158" s="14"/>
      <c r="AQ158" s="14"/>
      <c r="AR158" s="14"/>
      <c r="AS158" s="14"/>
      <c r="AT158" s="14"/>
      <c r="AU158" s="14"/>
      <c r="AV158" s="14"/>
      <c r="AW158" s="14"/>
    </row>
    <row r="159" spans="1:49" ht="13">
      <c r="A159" s="133">
        <v>2020</v>
      </c>
      <c r="B159" s="29" t="s">
        <v>92</v>
      </c>
      <c r="C159" s="29" t="s">
        <v>224</v>
      </c>
      <c r="D159" s="29" t="s">
        <v>1696</v>
      </c>
      <c r="E159" s="29" t="e">
        <v>#N/A</v>
      </c>
      <c r="F159" s="29" t="s">
        <v>1697</v>
      </c>
      <c r="G159" s="29">
        <f>COUNTIF(Stakeholders!$E$2:$E960,F159)</f>
        <v>0</v>
      </c>
      <c r="H159" s="29" t="s">
        <v>1698</v>
      </c>
      <c r="I159" s="138" t="s">
        <v>1699</v>
      </c>
      <c r="J159" s="29" t="s">
        <v>1629</v>
      </c>
      <c r="K159" s="29" t="s">
        <v>1635</v>
      </c>
      <c r="L159" s="29"/>
      <c r="M159" s="29"/>
      <c r="N159" s="29"/>
      <c r="O159" s="29"/>
      <c r="P159" s="29"/>
      <c r="Q159" s="29"/>
      <c r="R159" s="29"/>
      <c r="S159" s="29"/>
      <c r="T159" s="29"/>
      <c r="U159" s="29"/>
      <c r="V159" s="29"/>
      <c r="W159" s="29" t="s">
        <v>1635</v>
      </c>
      <c r="X159" s="29"/>
      <c r="Y159" s="29"/>
      <c r="Z159" s="29"/>
      <c r="AA159" s="29"/>
      <c r="AB159" s="29" t="s">
        <v>1604</v>
      </c>
      <c r="AC159" s="29"/>
      <c r="AD159" s="133">
        <v>158</v>
      </c>
      <c r="AE159" s="34" t="e">
        <f>VLOOKUP(F159,Stakeholders!E:K,7,0)</f>
        <v>#N/A</v>
      </c>
      <c r="AF159" s="133"/>
      <c r="AG159" s="29"/>
      <c r="AH159" s="34" t="s">
        <v>82</v>
      </c>
      <c r="AI159" s="34">
        <f>COUNTIF(Stakeholders!$E$2:$E$114,F159)</f>
        <v>0</v>
      </c>
      <c r="AJ159" s="29"/>
      <c r="AK159" s="29"/>
      <c r="AL159" s="29"/>
      <c r="AM159" s="29"/>
      <c r="AN159" s="29"/>
      <c r="AO159" s="29"/>
      <c r="AP159" s="29"/>
      <c r="AQ159" s="29"/>
      <c r="AR159" s="29"/>
      <c r="AS159" s="29"/>
      <c r="AT159" s="29"/>
      <c r="AU159" s="29"/>
      <c r="AV159" s="29"/>
      <c r="AW159" s="29"/>
    </row>
    <row r="160" spans="1:49" ht="13">
      <c r="A160" s="132">
        <v>2020</v>
      </c>
      <c r="B160" s="14" t="s">
        <v>92</v>
      </c>
      <c r="C160" s="14" t="s">
        <v>224</v>
      </c>
      <c r="D160" s="14" t="s">
        <v>1696</v>
      </c>
      <c r="E160" s="14" t="e">
        <v>#N/A</v>
      </c>
      <c r="F160" s="14" t="s">
        <v>1694</v>
      </c>
      <c r="G160" s="14">
        <f>COUNTIF(Stakeholders!$E$2:$E960,F160)</f>
        <v>0</v>
      </c>
      <c r="H160" s="14" t="s">
        <v>1700</v>
      </c>
      <c r="I160" s="137" t="s">
        <v>1701</v>
      </c>
      <c r="J160" s="14" t="s">
        <v>1629</v>
      </c>
      <c r="K160" s="14" t="s">
        <v>1635</v>
      </c>
      <c r="L160" s="14"/>
      <c r="M160" s="14"/>
      <c r="N160" s="14"/>
      <c r="O160" s="14"/>
      <c r="P160" s="14"/>
      <c r="Q160" s="14"/>
      <c r="R160" s="14"/>
      <c r="S160" s="14"/>
      <c r="T160" s="14"/>
      <c r="U160" s="14"/>
      <c r="V160" s="14"/>
      <c r="W160" s="14" t="s">
        <v>1635</v>
      </c>
      <c r="X160" s="14"/>
      <c r="Y160" s="14"/>
      <c r="Z160" s="14"/>
      <c r="AA160" s="14"/>
      <c r="AB160" s="14" t="s">
        <v>1604</v>
      </c>
      <c r="AC160" s="14"/>
      <c r="AD160" s="132">
        <v>159</v>
      </c>
      <c r="AE160" s="24" t="e">
        <f>VLOOKUP(F160,Stakeholders!E:K,7,0)</f>
        <v>#N/A</v>
      </c>
      <c r="AF160" s="132"/>
      <c r="AG160" s="14"/>
      <c r="AH160" s="24" t="s">
        <v>82</v>
      </c>
      <c r="AI160" s="24">
        <f>COUNTIF(Stakeholders!$E$2:$E$114,F160)</f>
        <v>0</v>
      </c>
      <c r="AJ160" s="14"/>
      <c r="AK160" s="14"/>
      <c r="AL160" s="14"/>
      <c r="AM160" s="14"/>
      <c r="AN160" s="14"/>
      <c r="AO160" s="14"/>
      <c r="AP160" s="14"/>
      <c r="AQ160" s="14"/>
      <c r="AR160" s="14"/>
      <c r="AS160" s="14"/>
      <c r="AT160" s="14"/>
      <c r="AU160" s="14"/>
      <c r="AV160" s="14"/>
      <c r="AW160" s="14"/>
    </row>
    <row r="161" spans="1:49" ht="13">
      <c r="A161" s="133">
        <v>2019</v>
      </c>
      <c r="B161" s="29" t="s">
        <v>92</v>
      </c>
      <c r="C161" s="29" t="s">
        <v>224</v>
      </c>
      <c r="D161" s="29" t="s">
        <v>438</v>
      </c>
      <c r="E161" s="29" t="e">
        <v>#N/A</v>
      </c>
      <c r="F161" s="29" t="s">
        <v>1697</v>
      </c>
      <c r="G161" s="29">
        <f>COUNTIF(Stakeholders!$E$2:$E960,F161)</f>
        <v>0</v>
      </c>
      <c r="H161" s="29" t="s">
        <v>1702</v>
      </c>
      <c r="I161" s="138" t="s">
        <v>1703</v>
      </c>
      <c r="J161" s="29" t="s">
        <v>1629</v>
      </c>
      <c r="K161" s="29" t="s">
        <v>1629</v>
      </c>
      <c r="L161" s="29"/>
      <c r="M161" s="29"/>
      <c r="N161" s="29"/>
      <c r="O161" s="29"/>
      <c r="P161" s="29"/>
      <c r="Q161" s="29"/>
      <c r="R161" s="29"/>
      <c r="S161" s="29"/>
      <c r="T161" s="29"/>
      <c r="U161" s="29"/>
      <c r="V161" s="29"/>
      <c r="W161" s="29" t="s">
        <v>1635</v>
      </c>
      <c r="X161" s="29"/>
      <c r="Y161" s="29"/>
      <c r="Z161" s="29"/>
      <c r="AA161" s="29"/>
      <c r="AB161" s="29" t="s">
        <v>1604</v>
      </c>
      <c r="AC161" s="29"/>
      <c r="AD161" s="133">
        <v>160</v>
      </c>
      <c r="AE161" s="34" t="e">
        <f>VLOOKUP(F161,Stakeholders!E:K,7,0)</f>
        <v>#N/A</v>
      </c>
      <c r="AF161" s="133"/>
      <c r="AG161" s="29"/>
      <c r="AH161" s="34" t="s">
        <v>82</v>
      </c>
      <c r="AI161" s="34">
        <f>COUNTIF(Stakeholders!$E$2:$E$114,F161)</f>
        <v>0</v>
      </c>
      <c r="AJ161" s="29"/>
      <c r="AK161" s="29"/>
      <c r="AL161" s="29"/>
      <c r="AM161" s="29"/>
      <c r="AN161" s="29"/>
      <c r="AO161" s="29"/>
      <c r="AP161" s="29"/>
      <c r="AQ161" s="29"/>
      <c r="AR161" s="29"/>
      <c r="AS161" s="29"/>
      <c r="AT161" s="29"/>
      <c r="AU161" s="29"/>
      <c r="AV161" s="29"/>
      <c r="AW161" s="29"/>
    </row>
    <row r="162" spans="1:49" ht="13">
      <c r="A162" s="132">
        <v>2020</v>
      </c>
      <c r="B162" s="14" t="s">
        <v>92</v>
      </c>
      <c r="C162" s="14" t="s">
        <v>224</v>
      </c>
      <c r="D162" s="14" t="s">
        <v>85</v>
      </c>
      <c r="E162" s="14" t="e">
        <v>#N/A</v>
      </c>
      <c r="F162" s="14" t="s">
        <v>1697</v>
      </c>
      <c r="G162" s="14">
        <f>COUNTIF(Stakeholders!$E$2:$E960,F162)</f>
        <v>0</v>
      </c>
      <c r="H162" s="14" t="s">
        <v>1704</v>
      </c>
      <c r="I162" s="137" t="s">
        <v>1699</v>
      </c>
      <c r="J162" s="14" t="s">
        <v>1629</v>
      </c>
      <c r="K162" s="14" t="s">
        <v>1629</v>
      </c>
      <c r="L162" s="14"/>
      <c r="M162" s="14"/>
      <c r="N162" s="14"/>
      <c r="O162" s="14"/>
      <c r="P162" s="14"/>
      <c r="Q162" s="14"/>
      <c r="R162" s="14"/>
      <c r="S162" s="14"/>
      <c r="T162" s="14"/>
      <c r="U162" s="14"/>
      <c r="V162" s="14"/>
      <c r="W162" s="14" t="s">
        <v>1635</v>
      </c>
      <c r="X162" s="14"/>
      <c r="Y162" s="14"/>
      <c r="Z162" s="14"/>
      <c r="AA162" s="14"/>
      <c r="AB162" s="14" t="s">
        <v>1604</v>
      </c>
      <c r="AC162" s="14"/>
      <c r="AD162" s="132">
        <v>161</v>
      </c>
      <c r="AE162" s="24" t="e">
        <f>VLOOKUP(F162,Stakeholders!E:K,7,0)</f>
        <v>#N/A</v>
      </c>
      <c r="AF162" s="132"/>
      <c r="AG162" s="14"/>
      <c r="AH162" s="24" t="s">
        <v>82</v>
      </c>
      <c r="AI162" s="24">
        <f>COUNTIF(Stakeholders!$E$2:$E$114,F162)</f>
        <v>0</v>
      </c>
      <c r="AJ162" s="14"/>
      <c r="AK162" s="14"/>
      <c r="AL162" s="14"/>
      <c r="AM162" s="14"/>
      <c r="AN162" s="14"/>
      <c r="AO162" s="14"/>
      <c r="AP162" s="14"/>
      <c r="AQ162" s="14"/>
      <c r="AR162" s="14"/>
      <c r="AS162" s="14"/>
      <c r="AT162" s="14"/>
      <c r="AU162" s="14"/>
      <c r="AV162" s="14"/>
      <c r="AW162" s="14"/>
    </row>
    <row r="163" spans="1:49" ht="13">
      <c r="A163" s="133">
        <v>2020</v>
      </c>
      <c r="B163" s="29" t="s">
        <v>92</v>
      </c>
      <c r="C163" s="29" t="s">
        <v>224</v>
      </c>
      <c r="D163" s="29" t="s">
        <v>1696</v>
      </c>
      <c r="E163" s="29" t="e">
        <v>#N/A</v>
      </c>
      <c r="F163" s="29" t="s">
        <v>1705</v>
      </c>
      <c r="G163" s="29">
        <f>COUNTIF(Stakeholders!$E$2:$E960,F163)</f>
        <v>0</v>
      </c>
      <c r="H163" s="29" t="s">
        <v>1706</v>
      </c>
      <c r="I163" s="138" t="s">
        <v>1707</v>
      </c>
      <c r="J163" s="29" t="s">
        <v>1629</v>
      </c>
      <c r="K163" s="29" t="s">
        <v>1629</v>
      </c>
      <c r="L163" s="29"/>
      <c r="M163" s="29"/>
      <c r="N163" s="29"/>
      <c r="O163" s="29"/>
      <c r="P163" s="29"/>
      <c r="Q163" s="29"/>
      <c r="R163" s="29"/>
      <c r="S163" s="29"/>
      <c r="T163" s="29"/>
      <c r="U163" s="29"/>
      <c r="V163" s="29"/>
      <c r="W163" s="29" t="s">
        <v>1635</v>
      </c>
      <c r="X163" s="29"/>
      <c r="Y163" s="29"/>
      <c r="Z163" s="29"/>
      <c r="AA163" s="29"/>
      <c r="AB163" s="29" t="s">
        <v>1604</v>
      </c>
      <c r="AC163" s="29"/>
      <c r="AD163" s="133">
        <v>162</v>
      </c>
      <c r="AE163" s="34" t="e">
        <f>VLOOKUP(F163,Stakeholders!E:K,7,0)</f>
        <v>#N/A</v>
      </c>
      <c r="AF163" s="133"/>
      <c r="AG163" s="29"/>
      <c r="AH163" s="34" t="s">
        <v>82</v>
      </c>
      <c r="AI163" s="34">
        <f>COUNTIF(Stakeholders!$E$2:$E$114,F163)</f>
        <v>0</v>
      </c>
      <c r="AJ163" s="29"/>
      <c r="AK163" s="29"/>
      <c r="AL163" s="29"/>
      <c r="AM163" s="29"/>
      <c r="AN163" s="29"/>
      <c r="AO163" s="29"/>
      <c r="AP163" s="29"/>
      <c r="AQ163" s="29"/>
      <c r="AR163" s="29"/>
      <c r="AS163" s="29"/>
      <c r="AT163" s="29"/>
      <c r="AU163" s="29"/>
      <c r="AV163" s="29"/>
      <c r="AW163" s="29"/>
    </row>
    <row r="164" spans="1:49" ht="13">
      <c r="A164" s="132">
        <v>2021</v>
      </c>
      <c r="B164" s="14" t="s">
        <v>56</v>
      </c>
      <c r="C164" s="14" t="s">
        <v>224</v>
      </c>
      <c r="D164" s="14" t="s">
        <v>85</v>
      </c>
      <c r="E164" s="14" t="e">
        <v>#N/A</v>
      </c>
      <c r="F164" s="14" t="s">
        <v>1708</v>
      </c>
      <c r="G164" s="14">
        <f>COUNTIF(Stakeholders!$E$2:$E960,F164)</f>
        <v>0</v>
      </c>
      <c r="H164" s="14" t="s">
        <v>1709</v>
      </c>
      <c r="I164" s="137" t="s">
        <v>1710</v>
      </c>
      <c r="J164" s="14" t="s">
        <v>1629</v>
      </c>
      <c r="K164" s="14" t="s">
        <v>1629</v>
      </c>
      <c r="L164" s="14"/>
      <c r="M164" s="14"/>
      <c r="N164" s="14"/>
      <c r="O164" s="14"/>
      <c r="P164" s="14"/>
      <c r="Q164" s="14"/>
      <c r="R164" s="14"/>
      <c r="S164" s="14"/>
      <c r="T164" s="14"/>
      <c r="U164" s="14"/>
      <c r="V164" s="14"/>
      <c r="W164" s="14" t="s">
        <v>1635</v>
      </c>
      <c r="X164" s="14"/>
      <c r="Y164" s="14"/>
      <c r="Z164" s="14"/>
      <c r="AA164" s="14" t="s">
        <v>1711</v>
      </c>
      <c r="AB164" s="14" t="s">
        <v>1615</v>
      </c>
      <c r="AC164" s="14"/>
      <c r="AD164" s="132">
        <v>163</v>
      </c>
      <c r="AE164" s="24" t="e">
        <f>VLOOKUP(F164,Stakeholders!E:K,7,0)</f>
        <v>#N/A</v>
      </c>
      <c r="AF164" s="132"/>
      <c r="AG164" s="14"/>
      <c r="AH164" s="24" t="s">
        <v>82</v>
      </c>
      <c r="AI164" s="24">
        <f>COUNTIF(Stakeholders!$E$2:$E$114,F164)</f>
        <v>0</v>
      </c>
      <c r="AJ164" s="14"/>
      <c r="AK164" s="14"/>
      <c r="AL164" s="14"/>
      <c r="AM164" s="14"/>
      <c r="AN164" s="14"/>
      <c r="AO164" s="14"/>
      <c r="AP164" s="14"/>
      <c r="AQ164" s="14"/>
      <c r="AR164" s="14"/>
      <c r="AS164" s="14"/>
      <c r="AT164" s="14"/>
      <c r="AU164" s="14"/>
      <c r="AV164" s="14"/>
      <c r="AW164" s="14"/>
    </row>
    <row r="165" spans="1:49" ht="13">
      <c r="A165" s="133">
        <v>2021</v>
      </c>
      <c r="B165" s="29" t="s">
        <v>56</v>
      </c>
      <c r="C165" s="29" t="s">
        <v>224</v>
      </c>
      <c r="D165" s="29" t="s">
        <v>1712</v>
      </c>
      <c r="E165" s="29" t="s">
        <v>660</v>
      </c>
      <c r="F165" s="29" t="s">
        <v>660</v>
      </c>
      <c r="G165" s="22">
        <f>COUNTIF(Stakeholders!$E$2:$E960,F165)</f>
        <v>1</v>
      </c>
      <c r="H165" s="29" t="s">
        <v>1713</v>
      </c>
      <c r="I165" s="138" t="s">
        <v>1714</v>
      </c>
      <c r="J165" s="29" t="s">
        <v>1629</v>
      </c>
      <c r="K165" s="29" t="s">
        <v>1629</v>
      </c>
      <c r="L165" s="29"/>
      <c r="M165" s="29"/>
      <c r="N165" s="29"/>
      <c r="O165" s="29"/>
      <c r="P165" s="29"/>
      <c r="Q165" s="29"/>
      <c r="R165" s="29"/>
      <c r="S165" s="29"/>
      <c r="T165" s="29"/>
      <c r="U165" s="29"/>
      <c r="V165" s="29"/>
      <c r="W165" s="29" t="s">
        <v>1629</v>
      </c>
      <c r="X165" s="29"/>
      <c r="Y165" s="29"/>
      <c r="Z165" s="29"/>
      <c r="AA165" s="29"/>
      <c r="AB165" s="29" t="s">
        <v>1615</v>
      </c>
      <c r="AC165" s="29"/>
      <c r="AD165" s="133">
        <v>164</v>
      </c>
      <c r="AE165" s="34">
        <f>VLOOKUP(F165,Stakeholders!E:K,7,0)</f>
        <v>114</v>
      </c>
      <c r="AF165" s="133"/>
      <c r="AG165" s="29"/>
      <c r="AH165" s="34" t="s">
        <v>82</v>
      </c>
      <c r="AI165" s="34">
        <f>COUNTIF(Stakeholders!$E$2:$E$114,F165)</f>
        <v>1</v>
      </c>
      <c r="AJ165" s="29"/>
      <c r="AK165" s="29"/>
      <c r="AL165" s="29"/>
      <c r="AM165" s="29"/>
      <c r="AN165" s="29"/>
      <c r="AO165" s="29"/>
      <c r="AP165" s="29"/>
      <c r="AQ165" s="29"/>
      <c r="AR165" s="29"/>
      <c r="AS165" s="29"/>
      <c r="AT165" s="29"/>
      <c r="AU165" s="29"/>
      <c r="AV165" s="29"/>
      <c r="AW165" s="29"/>
    </row>
    <row r="166" spans="1:49" ht="14">
      <c r="A166" s="17">
        <v>2020</v>
      </c>
      <c r="B166" s="12" t="s">
        <v>64</v>
      </c>
      <c r="C166" s="140" t="s">
        <v>73</v>
      </c>
      <c r="D166" s="12" t="s">
        <v>246</v>
      </c>
      <c r="E166" s="14" t="s">
        <v>73</v>
      </c>
      <c r="F166" s="12" t="s">
        <v>872</v>
      </c>
      <c r="G166" s="12">
        <f>COUNTIF(Stakeholders!$E$2:$E960,F166)</f>
        <v>1</v>
      </c>
      <c r="H166" s="12" t="s">
        <v>1715</v>
      </c>
      <c r="I166" s="41" t="s">
        <v>1716</v>
      </c>
      <c r="J166" s="141" t="s">
        <v>1629</v>
      </c>
      <c r="K166" s="141" t="s">
        <v>1629</v>
      </c>
      <c r="L166" s="12"/>
      <c r="M166" s="12"/>
      <c r="N166" s="12"/>
      <c r="O166" s="12"/>
      <c r="P166" s="12"/>
      <c r="Q166" s="12"/>
      <c r="R166" s="12"/>
      <c r="S166" s="12"/>
      <c r="T166" s="12"/>
      <c r="U166" s="12"/>
      <c r="V166" s="12"/>
      <c r="W166" s="141" t="s">
        <v>1629</v>
      </c>
      <c r="X166" s="12"/>
      <c r="Y166" s="12"/>
      <c r="Z166" s="12"/>
      <c r="AA166" s="12"/>
      <c r="AB166" s="12" t="s">
        <v>1717</v>
      </c>
      <c r="AC166" s="142">
        <v>44477</v>
      </c>
      <c r="AD166" s="17">
        <v>165</v>
      </c>
      <c r="AE166" s="24">
        <f>VLOOKUP(F166,Stakeholders!E:K,7,0)</f>
        <v>103</v>
      </c>
      <c r="AG166" s="14"/>
      <c r="AH166" s="24" t="s">
        <v>82</v>
      </c>
      <c r="AI166" s="24">
        <f>COUNTIF(Stakeholders!$E$2:$E$114,F166)</f>
        <v>1</v>
      </c>
      <c r="AJ166" s="14"/>
      <c r="AK166" s="14"/>
      <c r="AL166" s="14"/>
      <c r="AM166" s="14"/>
      <c r="AN166" s="14"/>
      <c r="AO166" s="14"/>
      <c r="AP166" s="14"/>
      <c r="AQ166" s="14"/>
      <c r="AR166" s="14"/>
      <c r="AS166" s="14"/>
      <c r="AT166" s="14"/>
      <c r="AU166" s="14"/>
      <c r="AV166" s="14"/>
      <c r="AW166" s="14"/>
    </row>
    <row r="167" spans="1:49" ht="14">
      <c r="A167" s="26">
        <v>2019</v>
      </c>
      <c r="B167" s="12" t="s">
        <v>64</v>
      </c>
      <c r="C167" s="143" t="s">
        <v>73</v>
      </c>
      <c r="D167" s="22" t="s">
        <v>1718</v>
      </c>
      <c r="E167" s="29" t="s">
        <v>73</v>
      </c>
      <c r="F167" s="22" t="s">
        <v>872</v>
      </c>
      <c r="G167" s="22">
        <f>COUNTIF(Stakeholders!$E$2:$E960,F167)</f>
        <v>1</v>
      </c>
      <c r="H167" s="22" t="s">
        <v>1719</v>
      </c>
      <c r="I167" s="144" t="s">
        <v>1032</v>
      </c>
      <c r="J167" s="145" t="s">
        <v>1629</v>
      </c>
      <c r="K167" s="145" t="s">
        <v>1629</v>
      </c>
      <c r="L167" s="22"/>
      <c r="M167" s="22"/>
      <c r="N167" s="22"/>
      <c r="O167" s="22"/>
      <c r="P167" s="22"/>
      <c r="Q167" s="22"/>
      <c r="R167" s="22"/>
      <c r="S167" s="22"/>
      <c r="T167" s="22"/>
      <c r="U167" s="22"/>
      <c r="V167" s="22"/>
      <c r="W167" s="145" t="s">
        <v>1629</v>
      </c>
      <c r="X167" s="22"/>
      <c r="Y167" s="22"/>
      <c r="Z167" s="22"/>
      <c r="AA167" s="22"/>
      <c r="AB167" s="22" t="s">
        <v>1717</v>
      </c>
      <c r="AC167" s="146">
        <v>44477</v>
      </c>
      <c r="AD167" s="26">
        <v>166</v>
      </c>
      <c r="AE167" s="34">
        <f>VLOOKUP(F167,Stakeholders!E:K,7,0)</f>
        <v>103</v>
      </c>
      <c r="AG167" s="29"/>
      <c r="AH167" s="34" t="s">
        <v>82</v>
      </c>
      <c r="AI167" s="34">
        <f>COUNTIF(Stakeholders!$E$2:$E$114,F167)</f>
        <v>1</v>
      </c>
      <c r="AJ167" s="29"/>
      <c r="AK167" s="29"/>
      <c r="AL167" s="29"/>
      <c r="AM167" s="29"/>
      <c r="AN167" s="29"/>
      <c r="AO167" s="29"/>
      <c r="AP167" s="29"/>
      <c r="AQ167" s="29"/>
      <c r="AR167" s="29"/>
      <c r="AS167" s="29"/>
      <c r="AT167" s="29"/>
      <c r="AU167" s="29"/>
      <c r="AV167" s="29"/>
      <c r="AW167" s="29"/>
    </row>
    <row r="168" spans="1:49" ht="13">
      <c r="A168" s="17">
        <v>2021</v>
      </c>
      <c r="B168" s="12" t="s">
        <v>8</v>
      </c>
      <c r="C168" s="14" t="s">
        <v>52</v>
      </c>
      <c r="D168" s="12" t="s">
        <v>1720</v>
      </c>
      <c r="E168" s="14" t="s">
        <v>52</v>
      </c>
      <c r="F168" s="12" t="s">
        <v>59</v>
      </c>
      <c r="G168" s="12">
        <f>COUNTIF(Stakeholders!$E$2:$E960,F168)</f>
        <v>1</v>
      </c>
      <c r="H168" s="12" t="s">
        <v>1721</v>
      </c>
      <c r="I168" s="41" t="s">
        <v>1722</v>
      </c>
      <c r="J168" s="141" t="s">
        <v>1629</v>
      </c>
      <c r="K168" s="141" t="s">
        <v>1629</v>
      </c>
      <c r="L168" s="12"/>
      <c r="M168" s="12"/>
      <c r="N168" s="12"/>
      <c r="O168" s="12"/>
      <c r="P168" s="12"/>
      <c r="Q168" s="12"/>
      <c r="R168" s="12"/>
      <c r="S168" s="12"/>
      <c r="T168" s="12"/>
      <c r="U168" s="12"/>
      <c r="V168" s="12"/>
      <c r="W168" s="141" t="s">
        <v>1635</v>
      </c>
      <c r="X168" s="12"/>
      <c r="Y168" s="12"/>
      <c r="Z168" s="12"/>
      <c r="AA168" s="12"/>
      <c r="AB168" s="12" t="s">
        <v>1615</v>
      </c>
      <c r="AC168" s="142">
        <v>44494</v>
      </c>
      <c r="AD168" s="17">
        <v>167</v>
      </c>
      <c r="AE168" s="24">
        <f>VLOOKUP(F168,Stakeholders!E:K,7,0)</f>
        <v>1</v>
      </c>
      <c r="AG168" s="14"/>
      <c r="AH168" s="24" t="s">
        <v>82</v>
      </c>
      <c r="AI168" s="24">
        <f>COUNTIF(Stakeholders!$E$2:$E$114,F168)</f>
        <v>1</v>
      </c>
      <c r="AJ168" s="14"/>
      <c r="AK168" s="14"/>
      <c r="AL168" s="14"/>
      <c r="AM168" s="14"/>
      <c r="AN168" s="14"/>
      <c r="AO168" s="14"/>
      <c r="AP168" s="14"/>
      <c r="AQ168" s="14"/>
      <c r="AR168" s="14"/>
      <c r="AS168" s="14"/>
      <c r="AT168" s="14"/>
      <c r="AU168" s="14"/>
      <c r="AV168" s="14"/>
      <c r="AW168" s="14"/>
    </row>
    <row r="169" spans="1:49" ht="13">
      <c r="A169" s="26">
        <v>2021</v>
      </c>
      <c r="B169" s="22" t="s">
        <v>8</v>
      </c>
      <c r="C169" s="29" t="s">
        <v>52</v>
      </c>
      <c r="D169" s="22" t="s">
        <v>85</v>
      </c>
      <c r="E169" s="29" t="s">
        <v>52</v>
      </c>
      <c r="F169" s="22" t="s">
        <v>59</v>
      </c>
      <c r="G169" s="22">
        <f>COUNTIF(Stakeholders!$E$2:$E960,F169)</f>
        <v>1</v>
      </c>
      <c r="H169" s="22" t="s">
        <v>1723</v>
      </c>
      <c r="I169" s="40" t="s">
        <v>1724</v>
      </c>
      <c r="J169" s="145" t="s">
        <v>1629</v>
      </c>
      <c r="K169" s="145" t="s">
        <v>1629</v>
      </c>
      <c r="L169" s="22"/>
      <c r="M169" s="22"/>
      <c r="N169" s="22"/>
      <c r="O169" s="22"/>
      <c r="P169" s="22"/>
      <c r="Q169" s="22"/>
      <c r="R169" s="22"/>
      <c r="S169" s="22"/>
      <c r="T169" s="22"/>
      <c r="U169" s="22"/>
      <c r="V169" s="22"/>
      <c r="W169" s="145" t="s">
        <v>1629</v>
      </c>
      <c r="X169" s="22"/>
      <c r="Y169" s="22"/>
      <c r="Z169" s="22"/>
      <c r="AA169" s="22"/>
      <c r="AB169" s="22" t="s">
        <v>1615</v>
      </c>
      <c r="AC169" s="147">
        <v>44494</v>
      </c>
      <c r="AD169" s="26">
        <v>168</v>
      </c>
      <c r="AE169" s="34">
        <f>VLOOKUP(F169,Stakeholders!E:K,7,0)</f>
        <v>1</v>
      </c>
      <c r="AG169" s="29"/>
      <c r="AH169" s="34" t="s">
        <v>82</v>
      </c>
      <c r="AI169" s="34">
        <f>COUNTIF(Stakeholders!$E$2:$E$114,F169)</f>
        <v>1</v>
      </c>
      <c r="AJ169" s="29"/>
      <c r="AK169" s="29"/>
      <c r="AL169" s="29"/>
      <c r="AM169" s="29"/>
      <c r="AN169" s="29"/>
      <c r="AO169" s="29"/>
      <c r="AP169" s="29"/>
      <c r="AQ169" s="29"/>
      <c r="AR169" s="29"/>
      <c r="AS169" s="29"/>
      <c r="AT169" s="29"/>
      <c r="AU169" s="29"/>
      <c r="AV169" s="29"/>
      <c r="AW169" s="29"/>
    </row>
    <row r="170" spans="1:49" ht="14">
      <c r="A170" s="17">
        <v>2021</v>
      </c>
      <c r="B170" s="12" t="s">
        <v>64</v>
      </c>
      <c r="C170" s="140" t="s">
        <v>73</v>
      </c>
      <c r="D170" s="12" t="s">
        <v>85</v>
      </c>
      <c r="E170" s="14" t="s">
        <v>73</v>
      </c>
      <c r="F170" s="12" t="s">
        <v>125</v>
      </c>
      <c r="G170" s="12">
        <f>COUNTIF(Stakeholders!$E$2:$E960,F170)</f>
        <v>1</v>
      </c>
      <c r="H170" s="12" t="s">
        <v>1725</v>
      </c>
      <c r="I170" s="41" t="s">
        <v>1726</v>
      </c>
      <c r="J170" s="141" t="s">
        <v>1629</v>
      </c>
      <c r="K170" s="141" t="s">
        <v>1629</v>
      </c>
      <c r="L170" s="12"/>
      <c r="M170" s="12"/>
      <c r="N170" s="12"/>
      <c r="O170" s="12"/>
      <c r="P170" s="12"/>
      <c r="Q170" s="12"/>
      <c r="R170" s="12"/>
      <c r="S170" s="12"/>
      <c r="T170" s="12"/>
      <c r="U170" s="12"/>
      <c r="V170" s="12"/>
      <c r="W170" s="141" t="s">
        <v>1629</v>
      </c>
      <c r="X170" s="12"/>
      <c r="Y170" s="12"/>
      <c r="Z170" s="12"/>
      <c r="AA170" s="12"/>
      <c r="AB170" s="12" t="s">
        <v>1615</v>
      </c>
      <c r="AC170" s="142">
        <v>44494</v>
      </c>
      <c r="AD170" s="17">
        <v>169</v>
      </c>
      <c r="AE170" s="24">
        <f>VLOOKUP(F170,Stakeholders!E:K,7,0)</f>
        <v>20</v>
      </c>
      <c r="AG170" s="14"/>
      <c r="AH170" s="24" t="s">
        <v>82</v>
      </c>
      <c r="AI170" s="24">
        <f>COUNTIF(Stakeholders!$E$2:$E$114,F170)</f>
        <v>1</v>
      </c>
      <c r="AJ170" s="14"/>
      <c r="AK170" s="14"/>
      <c r="AL170" s="14"/>
      <c r="AM170" s="14"/>
      <c r="AN170" s="14"/>
      <c r="AO170" s="14"/>
      <c r="AP170" s="14"/>
      <c r="AQ170" s="14"/>
      <c r="AR170" s="14"/>
      <c r="AS170" s="14"/>
      <c r="AT170" s="14"/>
      <c r="AU170" s="14"/>
      <c r="AV170" s="14"/>
      <c r="AW170" s="14"/>
    </row>
    <row r="171" spans="1:49" ht="14">
      <c r="A171" s="26">
        <v>2021</v>
      </c>
      <c r="B171" s="12" t="s">
        <v>64</v>
      </c>
      <c r="C171" s="143" t="s">
        <v>73</v>
      </c>
      <c r="D171" s="22" t="s">
        <v>1727</v>
      </c>
      <c r="E171" s="29" t="s">
        <v>73</v>
      </c>
      <c r="F171" s="22" t="s">
        <v>125</v>
      </c>
      <c r="G171" s="22">
        <f>COUNTIF(Stakeholders!$E$2:$E960,F171)</f>
        <v>1</v>
      </c>
      <c r="H171" s="22" t="s">
        <v>1728</v>
      </c>
      <c r="I171" s="40" t="s">
        <v>1729</v>
      </c>
      <c r="J171" s="145" t="s">
        <v>1629</v>
      </c>
      <c r="K171" s="145" t="s">
        <v>1629</v>
      </c>
      <c r="L171" s="22"/>
      <c r="M171" s="22"/>
      <c r="N171" s="22"/>
      <c r="O171" s="22"/>
      <c r="P171" s="22"/>
      <c r="Q171" s="22"/>
      <c r="R171" s="22"/>
      <c r="S171" s="22"/>
      <c r="T171" s="22"/>
      <c r="U171" s="22"/>
      <c r="V171" s="22"/>
      <c r="W171" s="145" t="s">
        <v>1629</v>
      </c>
      <c r="X171" s="22"/>
      <c r="Y171" s="22"/>
      <c r="Z171" s="22"/>
      <c r="AA171" s="22"/>
      <c r="AB171" s="22" t="s">
        <v>1615</v>
      </c>
      <c r="AC171" s="147">
        <v>44494</v>
      </c>
      <c r="AD171" s="26">
        <v>170</v>
      </c>
      <c r="AE171" s="34">
        <f>VLOOKUP(F171,Stakeholders!E:K,7,0)</f>
        <v>20</v>
      </c>
      <c r="AG171" s="29"/>
      <c r="AH171" s="34" t="s">
        <v>82</v>
      </c>
      <c r="AI171" s="34">
        <f>COUNTIF(Stakeholders!$E$2:$E$114,F171)</f>
        <v>1</v>
      </c>
      <c r="AJ171" s="29"/>
      <c r="AK171" s="29"/>
      <c r="AL171" s="29"/>
      <c r="AM171" s="29"/>
      <c r="AN171" s="29"/>
      <c r="AO171" s="29"/>
      <c r="AP171" s="29"/>
      <c r="AQ171" s="29"/>
      <c r="AR171" s="29"/>
      <c r="AS171" s="29"/>
      <c r="AT171" s="29"/>
      <c r="AU171" s="29"/>
      <c r="AV171" s="29"/>
      <c r="AW171" s="29"/>
    </row>
    <row r="172" spans="1:49" ht="14">
      <c r="A172" s="17">
        <v>2021</v>
      </c>
      <c r="B172" s="12" t="s">
        <v>64</v>
      </c>
      <c r="C172" s="140" t="s">
        <v>73</v>
      </c>
      <c r="D172" s="12" t="s">
        <v>640</v>
      </c>
      <c r="E172" s="14" t="s">
        <v>73</v>
      </c>
      <c r="F172" s="12" t="s">
        <v>125</v>
      </c>
      <c r="G172" s="12">
        <f>COUNTIF(Stakeholders!$E$2:$E960,F172)</f>
        <v>1</v>
      </c>
      <c r="H172" s="12" t="s">
        <v>1730</v>
      </c>
      <c r="I172" s="41" t="s">
        <v>1731</v>
      </c>
      <c r="J172" s="141" t="s">
        <v>1629</v>
      </c>
      <c r="K172" s="141" t="s">
        <v>1629</v>
      </c>
      <c r="L172" s="12"/>
      <c r="M172" s="12"/>
      <c r="N172" s="12"/>
      <c r="O172" s="12"/>
      <c r="P172" s="12"/>
      <c r="Q172" s="12"/>
      <c r="R172" s="12"/>
      <c r="S172" s="12"/>
      <c r="T172" s="12"/>
      <c r="U172" s="12"/>
      <c r="V172" s="12"/>
      <c r="W172" s="141" t="s">
        <v>1629</v>
      </c>
      <c r="X172" s="12"/>
      <c r="Y172" s="12"/>
      <c r="Z172" s="12"/>
      <c r="AA172" s="12"/>
      <c r="AB172" s="12" t="s">
        <v>1615</v>
      </c>
      <c r="AC172" s="148">
        <v>44494</v>
      </c>
      <c r="AD172" s="17">
        <v>171</v>
      </c>
      <c r="AE172" s="24">
        <f>VLOOKUP(F172,Stakeholders!E:K,7,0)</f>
        <v>20</v>
      </c>
      <c r="AG172" s="14"/>
      <c r="AH172" s="24" t="s">
        <v>82</v>
      </c>
      <c r="AI172" s="24">
        <f>COUNTIF(Stakeholders!$E$2:$E$114,F172)</f>
        <v>1</v>
      </c>
      <c r="AJ172" s="14"/>
      <c r="AK172" s="14"/>
      <c r="AL172" s="14"/>
      <c r="AM172" s="14"/>
      <c r="AN172" s="14"/>
      <c r="AO172" s="14"/>
      <c r="AP172" s="14"/>
      <c r="AQ172" s="14"/>
      <c r="AR172" s="14"/>
      <c r="AS172" s="14"/>
      <c r="AT172" s="14"/>
      <c r="AU172" s="14"/>
      <c r="AV172" s="14"/>
      <c r="AW172" s="14"/>
    </row>
    <row r="173" spans="1:49" ht="14">
      <c r="A173" s="26">
        <v>2021</v>
      </c>
      <c r="B173" s="143" t="s">
        <v>58</v>
      </c>
      <c r="C173" s="29" t="s">
        <v>224</v>
      </c>
      <c r="D173" s="22" t="s">
        <v>85</v>
      </c>
      <c r="E173" s="29" t="s">
        <v>52</v>
      </c>
      <c r="F173" s="22" t="s">
        <v>59</v>
      </c>
      <c r="G173" s="22">
        <f>COUNTIF(Stakeholders!$E$2:$E960,F173)</f>
        <v>1</v>
      </c>
      <c r="H173" s="22" t="s">
        <v>1732</v>
      </c>
      <c r="I173" s="40" t="s">
        <v>1733</v>
      </c>
      <c r="J173" s="145" t="s">
        <v>1629</v>
      </c>
      <c r="K173" s="145" t="s">
        <v>1629</v>
      </c>
      <c r="L173" s="22"/>
      <c r="M173" s="22"/>
      <c r="N173" s="22"/>
      <c r="O173" s="22"/>
      <c r="P173" s="22"/>
      <c r="Q173" s="22"/>
      <c r="R173" s="22"/>
      <c r="S173" s="22"/>
      <c r="T173" s="22"/>
      <c r="U173" s="22"/>
      <c r="V173" s="22"/>
      <c r="W173" s="145" t="s">
        <v>1629</v>
      </c>
      <c r="X173" s="22"/>
      <c r="Y173" s="22"/>
      <c r="Z173" s="22"/>
      <c r="AA173" s="22" t="s">
        <v>1734</v>
      </c>
      <c r="AB173" s="22" t="s">
        <v>585</v>
      </c>
      <c r="AC173" s="147">
        <v>44502</v>
      </c>
      <c r="AD173" s="26">
        <v>172</v>
      </c>
      <c r="AE173" s="34">
        <f>VLOOKUP(F173,Stakeholders!E:K,7,0)</f>
        <v>1</v>
      </c>
      <c r="AG173" s="29"/>
      <c r="AH173" s="34" t="s">
        <v>82</v>
      </c>
      <c r="AI173" s="34">
        <f>COUNTIF(Stakeholders!$E$2:$E$114,F173)</f>
        <v>1</v>
      </c>
      <c r="AJ173" s="29"/>
      <c r="AK173" s="29"/>
      <c r="AL173" s="29"/>
      <c r="AM173" s="29"/>
      <c r="AN173" s="29"/>
      <c r="AO173" s="29"/>
      <c r="AP173" s="29"/>
      <c r="AQ173" s="29"/>
      <c r="AR173" s="29"/>
      <c r="AS173" s="29"/>
      <c r="AT173" s="29"/>
      <c r="AU173" s="29"/>
      <c r="AV173" s="29"/>
      <c r="AW173" s="29"/>
    </row>
    <row r="174" spans="1:49" ht="14">
      <c r="A174" s="17">
        <v>2021</v>
      </c>
      <c r="B174" s="140" t="s">
        <v>58</v>
      </c>
      <c r="C174" s="14" t="s">
        <v>224</v>
      </c>
      <c r="D174" s="12" t="s">
        <v>1735</v>
      </c>
      <c r="E174" s="14" t="s">
        <v>52</v>
      </c>
      <c r="F174" s="12" t="s">
        <v>59</v>
      </c>
      <c r="G174" s="12">
        <f>COUNTIF(Stakeholders!$E$2:$E960,F174)</f>
        <v>1</v>
      </c>
      <c r="H174" s="12" t="s">
        <v>1736</v>
      </c>
      <c r="I174" s="41" t="s">
        <v>1737</v>
      </c>
      <c r="J174" s="12" t="s">
        <v>1629</v>
      </c>
      <c r="K174" s="141" t="s">
        <v>1629</v>
      </c>
      <c r="L174" s="12"/>
      <c r="M174" s="12"/>
      <c r="N174" s="12"/>
      <c r="O174" s="12"/>
      <c r="P174" s="12"/>
      <c r="Q174" s="12"/>
      <c r="R174" s="12"/>
      <c r="S174" s="12"/>
      <c r="T174" s="12"/>
      <c r="U174" s="12"/>
      <c r="V174" s="12"/>
      <c r="W174" s="141" t="s">
        <v>1635</v>
      </c>
      <c r="X174" s="12"/>
      <c r="Y174" s="12"/>
      <c r="Z174" s="12"/>
      <c r="AA174" s="12" t="s">
        <v>1738</v>
      </c>
      <c r="AB174" s="12" t="s">
        <v>585</v>
      </c>
      <c r="AC174" s="142">
        <v>44502</v>
      </c>
      <c r="AD174" s="17">
        <v>173</v>
      </c>
      <c r="AE174" s="24">
        <f>VLOOKUP(F174,Stakeholders!E:K,7,0)</f>
        <v>1</v>
      </c>
      <c r="AG174" s="14"/>
      <c r="AH174" s="24" t="s">
        <v>82</v>
      </c>
      <c r="AI174" s="24">
        <f>COUNTIF(Stakeholders!$E$2:$E$114,F174)</f>
        <v>1</v>
      </c>
      <c r="AJ174" s="14"/>
      <c r="AK174" s="14"/>
      <c r="AL174" s="14"/>
      <c r="AM174" s="14"/>
      <c r="AN174" s="14"/>
      <c r="AO174" s="14"/>
      <c r="AP174" s="14"/>
      <c r="AQ174" s="14"/>
      <c r="AR174" s="14"/>
      <c r="AS174" s="14"/>
      <c r="AT174" s="14"/>
      <c r="AU174" s="14"/>
      <c r="AV174" s="14"/>
      <c r="AW174" s="14"/>
    </row>
    <row r="175" spans="1:49" ht="13">
      <c r="A175" s="26">
        <v>2021</v>
      </c>
      <c r="B175" s="29" t="s">
        <v>92</v>
      </c>
      <c r="C175" s="29" t="s">
        <v>224</v>
      </c>
      <c r="D175" s="22" t="s">
        <v>1739</v>
      </c>
      <c r="E175" s="29" t="s">
        <v>412</v>
      </c>
      <c r="F175" s="22" t="s">
        <v>842</v>
      </c>
      <c r="G175" s="22">
        <f>COUNTIF(Stakeholders!$E$2:$E960,F175)</f>
        <v>1</v>
      </c>
      <c r="H175" s="22" t="s">
        <v>1740</v>
      </c>
      <c r="I175" s="40" t="s">
        <v>1741</v>
      </c>
      <c r="J175" s="145" t="s">
        <v>1629</v>
      </c>
      <c r="K175" s="145" t="s">
        <v>1629</v>
      </c>
      <c r="L175" s="22"/>
      <c r="M175" s="22"/>
      <c r="N175" s="22"/>
      <c r="O175" s="22"/>
      <c r="P175" s="22"/>
      <c r="Q175" s="22"/>
      <c r="R175" s="22"/>
      <c r="S175" s="22"/>
      <c r="T175" s="22"/>
      <c r="U175" s="22"/>
      <c r="V175" s="22"/>
      <c r="W175" s="145" t="s">
        <v>1635</v>
      </c>
      <c r="X175" s="22"/>
      <c r="Y175" s="22"/>
      <c r="Z175" s="22"/>
      <c r="AA175" s="22"/>
      <c r="AB175" s="22" t="s">
        <v>1604</v>
      </c>
      <c r="AC175" s="149">
        <v>44511</v>
      </c>
      <c r="AD175" s="26">
        <v>174</v>
      </c>
      <c r="AE175" s="34">
        <f>VLOOKUP(F175,Stakeholders!E:K,7,0)</f>
        <v>97</v>
      </c>
      <c r="AG175" s="29"/>
      <c r="AH175" s="34" t="s">
        <v>82</v>
      </c>
      <c r="AI175" s="34">
        <f>COUNTIF(Stakeholders!$E$2:$E$114,F175)</f>
        <v>1</v>
      </c>
      <c r="AJ175" s="29"/>
      <c r="AK175" s="29"/>
      <c r="AL175" s="29"/>
      <c r="AM175" s="29"/>
      <c r="AN175" s="29"/>
      <c r="AO175" s="29"/>
      <c r="AP175" s="29"/>
      <c r="AQ175" s="29"/>
      <c r="AR175" s="29"/>
      <c r="AS175" s="29"/>
      <c r="AT175" s="29"/>
      <c r="AU175" s="29"/>
      <c r="AV175" s="29"/>
      <c r="AW175" s="29"/>
    </row>
    <row r="176" spans="1:49" ht="13">
      <c r="A176" s="17">
        <v>2021</v>
      </c>
      <c r="B176" s="29" t="s">
        <v>92</v>
      </c>
      <c r="C176" s="14" t="s">
        <v>224</v>
      </c>
      <c r="D176" s="12" t="s">
        <v>1601</v>
      </c>
      <c r="E176" s="14" t="s">
        <v>412</v>
      </c>
      <c r="F176" s="12" t="s">
        <v>901</v>
      </c>
      <c r="G176" s="12">
        <f>COUNTIF(Stakeholders!$E$2:$E960,F176)</f>
        <v>1</v>
      </c>
      <c r="H176" s="12" t="s">
        <v>1742</v>
      </c>
      <c r="I176" s="41" t="s">
        <v>1743</v>
      </c>
      <c r="J176" s="141" t="s">
        <v>1635</v>
      </c>
      <c r="K176" s="141" t="s">
        <v>1629</v>
      </c>
      <c r="L176" s="12"/>
      <c r="M176" s="12"/>
      <c r="N176" s="12"/>
      <c r="O176" s="12"/>
      <c r="P176" s="12"/>
      <c r="Q176" s="12"/>
      <c r="R176" s="12"/>
      <c r="S176" s="12"/>
      <c r="T176" s="12"/>
      <c r="U176" s="12"/>
      <c r="V176" s="12"/>
      <c r="W176" s="141" t="s">
        <v>1635</v>
      </c>
      <c r="X176" s="12"/>
      <c r="Y176" s="12"/>
      <c r="Z176" s="12"/>
      <c r="AA176" s="12"/>
      <c r="AB176" s="12" t="s">
        <v>1604</v>
      </c>
      <c r="AC176" s="150">
        <v>44511</v>
      </c>
      <c r="AD176" s="17">
        <v>175</v>
      </c>
      <c r="AE176" s="24">
        <f>VLOOKUP(F176,Stakeholders!E:K,7,0)</f>
        <v>113</v>
      </c>
      <c r="AG176" s="14"/>
      <c r="AH176" s="24" t="s">
        <v>82</v>
      </c>
      <c r="AI176" s="24">
        <f>COUNTIF(Stakeholders!$E$2:$E$114,F176)</f>
        <v>1</v>
      </c>
      <c r="AJ176" s="14"/>
      <c r="AK176" s="14"/>
      <c r="AL176" s="14"/>
      <c r="AM176" s="14"/>
      <c r="AN176" s="14"/>
      <c r="AO176" s="14"/>
      <c r="AP176" s="14"/>
      <c r="AQ176" s="14"/>
      <c r="AR176" s="14"/>
      <c r="AS176" s="14"/>
      <c r="AT176" s="14"/>
      <c r="AU176" s="14"/>
      <c r="AV176" s="14"/>
      <c r="AW176" s="14"/>
    </row>
    <row r="177" spans="1:49" ht="14">
      <c r="A177" s="26">
        <v>2021</v>
      </c>
      <c r="B177" s="143" t="s">
        <v>80</v>
      </c>
      <c r="C177" s="29" t="s">
        <v>224</v>
      </c>
      <c r="D177" s="22" t="s">
        <v>1744</v>
      </c>
      <c r="E177" s="29" t="s">
        <v>307</v>
      </c>
      <c r="F177" s="22" t="s">
        <v>564</v>
      </c>
      <c r="G177" s="22">
        <f>COUNTIF(Stakeholders!$E$2:$E960,F177)</f>
        <v>1</v>
      </c>
      <c r="H177" s="22" t="s">
        <v>1745</v>
      </c>
      <c r="I177" s="40" t="s">
        <v>1746</v>
      </c>
      <c r="J177" s="145" t="s">
        <v>1629</v>
      </c>
      <c r="K177" s="145" t="s">
        <v>1629</v>
      </c>
      <c r="L177" s="22"/>
      <c r="M177" s="22"/>
      <c r="N177" s="22"/>
      <c r="O177" s="22"/>
      <c r="P177" s="22"/>
      <c r="Q177" s="22"/>
      <c r="R177" s="22"/>
      <c r="S177" s="22"/>
      <c r="T177" s="22"/>
      <c r="U177" s="22"/>
      <c r="V177" s="22"/>
      <c r="W177" s="145" t="s">
        <v>1629</v>
      </c>
      <c r="X177" s="22"/>
      <c r="Y177" s="22"/>
      <c r="Z177" s="22"/>
      <c r="AA177" s="22"/>
      <c r="AB177" s="22" t="s">
        <v>1615</v>
      </c>
      <c r="AC177" s="149">
        <v>44538</v>
      </c>
      <c r="AD177" s="26">
        <v>176</v>
      </c>
      <c r="AE177" s="34">
        <f>VLOOKUP(F177,Stakeholders!E:K,7,0)</f>
        <v>57</v>
      </c>
      <c r="AG177" s="29"/>
      <c r="AH177" s="34" t="s">
        <v>82</v>
      </c>
      <c r="AI177" s="34">
        <f>COUNTIF(Stakeholders!$E$2:$E$114,F177)</f>
        <v>1</v>
      </c>
      <c r="AJ177" s="29"/>
      <c r="AK177" s="29"/>
      <c r="AL177" s="29"/>
      <c r="AM177" s="29"/>
      <c r="AN177" s="29"/>
      <c r="AO177" s="29"/>
      <c r="AP177" s="29"/>
      <c r="AQ177" s="29"/>
      <c r="AR177" s="29"/>
      <c r="AS177" s="29"/>
      <c r="AT177" s="29"/>
      <c r="AU177" s="29"/>
      <c r="AV177" s="29"/>
      <c r="AW177" s="29"/>
    </row>
    <row r="178" spans="1:49" ht="13">
      <c r="A178" s="17">
        <v>2021</v>
      </c>
      <c r="B178" s="12" t="s">
        <v>56</v>
      </c>
      <c r="C178" s="14" t="s">
        <v>224</v>
      </c>
      <c r="D178" s="12" t="s">
        <v>85</v>
      </c>
      <c r="E178" s="14" t="s">
        <v>660</v>
      </c>
      <c r="F178" s="12" t="s">
        <v>660</v>
      </c>
      <c r="G178" s="12">
        <f>COUNTIF(Stakeholders!$E$2:$E960,F178)</f>
        <v>1</v>
      </c>
      <c r="H178" s="12" t="s">
        <v>1747</v>
      </c>
      <c r="I178" s="12" t="s">
        <v>1748</v>
      </c>
      <c r="J178" s="141" t="s">
        <v>1635</v>
      </c>
      <c r="K178" s="141" t="s">
        <v>1629</v>
      </c>
      <c r="L178" s="141"/>
      <c r="M178" s="141"/>
      <c r="N178" s="141"/>
      <c r="O178" s="141"/>
      <c r="P178" s="141"/>
      <c r="Q178" s="141"/>
      <c r="R178" s="141"/>
      <c r="S178" s="141"/>
      <c r="T178" s="141"/>
      <c r="U178" s="141"/>
      <c r="V178" s="12"/>
      <c r="W178" s="141" t="s">
        <v>1635</v>
      </c>
      <c r="X178" s="12"/>
      <c r="Y178" s="12"/>
      <c r="Z178" s="12"/>
      <c r="AA178" s="12"/>
      <c r="AB178" s="12" t="s">
        <v>1604</v>
      </c>
      <c r="AD178" s="17">
        <v>177</v>
      </c>
      <c r="AE178" s="24">
        <f>VLOOKUP(F178,Stakeholders!E:K,7,0)</f>
        <v>114</v>
      </c>
      <c r="AG178" s="14"/>
      <c r="AH178" s="24" t="s">
        <v>82</v>
      </c>
      <c r="AI178" s="24">
        <f>COUNTIF(Stakeholders!$E$2:$E$114,F178)</f>
        <v>1</v>
      </c>
      <c r="AJ178" s="14"/>
      <c r="AK178" s="14"/>
      <c r="AL178" s="14"/>
      <c r="AM178" s="14"/>
      <c r="AN178" s="14"/>
      <c r="AO178" s="14"/>
      <c r="AP178" s="14"/>
      <c r="AQ178" s="14"/>
      <c r="AR178" s="14"/>
      <c r="AS178" s="14"/>
      <c r="AT178" s="14"/>
      <c r="AU178" s="14"/>
      <c r="AV178" s="14"/>
      <c r="AW178" s="14"/>
    </row>
    <row r="179" spans="1:49" ht="13">
      <c r="A179" s="133">
        <v>1993</v>
      </c>
      <c r="B179" s="22" t="s">
        <v>8</v>
      </c>
      <c r="C179" s="29" t="s">
        <v>73</v>
      </c>
      <c r="D179" s="29" t="s">
        <v>1749</v>
      </c>
      <c r="E179" s="29" t="s">
        <v>73</v>
      </c>
      <c r="F179" s="29" t="s">
        <v>125</v>
      </c>
      <c r="G179" s="29">
        <f>COUNTIF(Stakeholders!$E$2:$E960,F179)</f>
        <v>1</v>
      </c>
      <c r="H179" s="29" t="s">
        <v>1750</v>
      </c>
      <c r="I179" s="151" t="s">
        <v>1751</v>
      </c>
      <c r="J179" s="29" t="s">
        <v>67</v>
      </c>
      <c r="K179" s="29"/>
      <c r="L179" s="29"/>
      <c r="M179" s="29"/>
      <c r="N179" s="29"/>
      <c r="O179" s="29"/>
      <c r="P179" s="29"/>
      <c r="Q179" s="29"/>
      <c r="R179" s="29"/>
      <c r="S179" s="29"/>
      <c r="T179" s="29"/>
      <c r="U179" s="29"/>
      <c r="V179" s="29"/>
      <c r="W179" s="29" t="s">
        <v>67</v>
      </c>
      <c r="X179" s="29"/>
      <c r="Y179" s="29"/>
      <c r="Z179" s="29"/>
      <c r="AA179" s="29"/>
      <c r="AB179" s="29" t="s">
        <v>1752</v>
      </c>
      <c r="AC179" s="136">
        <v>43831</v>
      </c>
      <c r="AD179" s="29" t="s">
        <v>1042</v>
      </c>
      <c r="AE179" s="34">
        <f>VLOOKUP(F179,Stakeholders!E:K,7,0)</f>
        <v>20</v>
      </c>
      <c r="AF179" s="29"/>
      <c r="AG179" s="29"/>
      <c r="AH179" s="34" t="s">
        <v>82</v>
      </c>
      <c r="AI179" s="29" t="s">
        <v>1753</v>
      </c>
      <c r="AJ179" s="29"/>
      <c r="AK179" s="29"/>
      <c r="AL179" s="29"/>
      <c r="AM179" s="29"/>
      <c r="AN179" s="29"/>
      <c r="AO179" s="29"/>
      <c r="AP179" s="29"/>
      <c r="AQ179" s="29"/>
      <c r="AR179" s="29"/>
      <c r="AS179" s="29"/>
      <c r="AT179" s="29"/>
      <c r="AU179" s="29"/>
      <c r="AV179" s="29"/>
      <c r="AW179" s="29"/>
    </row>
    <row r="180" spans="1:49" ht="13">
      <c r="A180" s="132">
        <v>2003</v>
      </c>
      <c r="B180" s="12" t="s">
        <v>8</v>
      </c>
      <c r="C180" s="14" t="s">
        <v>73</v>
      </c>
      <c r="D180" s="14" t="s">
        <v>1754</v>
      </c>
      <c r="E180" s="14" t="s">
        <v>73</v>
      </c>
      <c r="F180" s="14" t="s">
        <v>125</v>
      </c>
      <c r="G180" s="14">
        <f>COUNTIF(Stakeholders!$E$2:$E960,F180)</f>
        <v>1</v>
      </c>
      <c r="H180" s="14" t="s">
        <v>1755</v>
      </c>
      <c r="I180" s="152" t="s">
        <v>1756</v>
      </c>
      <c r="J180" s="14" t="s">
        <v>67</v>
      </c>
      <c r="K180" s="14"/>
      <c r="L180" s="14"/>
      <c r="M180" s="14"/>
      <c r="N180" s="14"/>
      <c r="O180" s="14"/>
      <c r="P180" s="14"/>
      <c r="Q180" s="14"/>
      <c r="R180" s="14"/>
      <c r="S180" s="14"/>
      <c r="T180" s="14"/>
      <c r="U180" s="14"/>
      <c r="V180" s="14"/>
      <c r="W180" s="14" t="s">
        <v>67</v>
      </c>
      <c r="X180" s="14"/>
      <c r="Y180" s="14"/>
      <c r="Z180" s="14"/>
      <c r="AA180" s="14"/>
      <c r="AB180" s="14" t="s">
        <v>1752</v>
      </c>
      <c r="AC180" s="135">
        <v>43832</v>
      </c>
      <c r="AD180" s="14" t="s">
        <v>1045</v>
      </c>
      <c r="AE180" s="24">
        <f>VLOOKUP(F180,Stakeholders!E:K,7,0)</f>
        <v>20</v>
      </c>
      <c r="AF180" s="14"/>
      <c r="AG180" s="14"/>
      <c r="AH180" s="24" t="s">
        <v>82</v>
      </c>
      <c r="AI180" s="14"/>
      <c r="AJ180" s="14"/>
      <c r="AK180" s="14"/>
      <c r="AL180" s="14"/>
      <c r="AM180" s="14"/>
      <c r="AN180" s="14"/>
      <c r="AO180" s="14"/>
      <c r="AP180" s="14"/>
      <c r="AQ180" s="14"/>
      <c r="AR180" s="14"/>
      <c r="AS180" s="14"/>
      <c r="AT180" s="14"/>
      <c r="AU180" s="14"/>
      <c r="AV180" s="14"/>
      <c r="AW180" s="14"/>
    </row>
    <row r="181" spans="1:49" ht="13">
      <c r="A181" s="133">
        <v>2003</v>
      </c>
      <c r="B181" s="22" t="s">
        <v>8</v>
      </c>
      <c r="C181" s="29" t="s">
        <v>73</v>
      </c>
      <c r="D181" s="29" t="s">
        <v>1754</v>
      </c>
      <c r="E181" s="29" t="s">
        <v>73</v>
      </c>
      <c r="F181" s="29" t="s">
        <v>125</v>
      </c>
      <c r="G181" s="29">
        <f>COUNTIF(Stakeholders!$E$2:$E960,F181)</f>
        <v>1</v>
      </c>
      <c r="H181" s="29" t="s">
        <v>1757</v>
      </c>
      <c r="I181" s="151" t="s">
        <v>1758</v>
      </c>
      <c r="J181" s="29" t="s">
        <v>67</v>
      </c>
      <c r="K181" s="29"/>
      <c r="L181" s="29"/>
      <c r="M181" s="29"/>
      <c r="N181" s="29"/>
      <c r="O181" s="29"/>
      <c r="P181" s="29"/>
      <c r="Q181" s="29"/>
      <c r="R181" s="29"/>
      <c r="S181" s="29"/>
      <c r="T181" s="29"/>
      <c r="U181" s="29"/>
      <c r="V181" s="29"/>
      <c r="W181" s="29" t="s">
        <v>67</v>
      </c>
      <c r="X181" s="29"/>
      <c r="Y181" s="29"/>
      <c r="Z181" s="29"/>
      <c r="AA181" s="29"/>
      <c r="AB181" s="29" t="s">
        <v>1752</v>
      </c>
      <c r="AC181" s="136">
        <v>43833</v>
      </c>
      <c r="AD181" s="29" t="s">
        <v>1047</v>
      </c>
      <c r="AE181" s="34">
        <f>VLOOKUP(F181,Stakeholders!E:K,7,0)</f>
        <v>20</v>
      </c>
      <c r="AF181" s="29"/>
      <c r="AG181" s="29"/>
      <c r="AH181" s="34" t="s">
        <v>82</v>
      </c>
      <c r="AI181" s="29"/>
      <c r="AJ181" s="29"/>
      <c r="AK181" s="29"/>
      <c r="AL181" s="29"/>
      <c r="AM181" s="29"/>
      <c r="AN181" s="29"/>
      <c r="AO181" s="29"/>
      <c r="AP181" s="29"/>
      <c r="AQ181" s="29"/>
      <c r="AR181" s="29"/>
      <c r="AS181" s="29"/>
      <c r="AT181" s="29"/>
      <c r="AU181" s="29"/>
      <c r="AV181" s="29"/>
      <c r="AW181" s="29"/>
    </row>
    <row r="182" spans="1:49" ht="13">
      <c r="A182" s="132">
        <v>2009</v>
      </c>
      <c r="B182" s="12" t="s">
        <v>8</v>
      </c>
      <c r="C182" s="14" t="s">
        <v>52</v>
      </c>
      <c r="D182" s="14" t="s">
        <v>1759</v>
      </c>
      <c r="E182" s="14" t="s">
        <v>52</v>
      </c>
      <c r="F182" s="14" t="s">
        <v>59</v>
      </c>
      <c r="G182" s="14">
        <f>COUNTIF(Stakeholders!$E$2:$E960,F182)</f>
        <v>1</v>
      </c>
      <c r="H182" s="14" t="s">
        <v>1760</v>
      </c>
      <c r="I182" s="152" t="s">
        <v>1761</v>
      </c>
      <c r="J182" s="14" t="s">
        <v>67</v>
      </c>
      <c r="K182" s="14"/>
      <c r="L182" s="14"/>
      <c r="M182" s="14"/>
      <c r="N182" s="14"/>
      <c r="O182" s="14"/>
      <c r="P182" s="14"/>
      <c r="Q182" s="14"/>
      <c r="R182" s="14"/>
      <c r="S182" s="14"/>
      <c r="T182" s="14"/>
      <c r="U182" s="14"/>
      <c r="V182" s="14"/>
      <c r="W182" s="14" t="s">
        <v>67</v>
      </c>
      <c r="X182" s="14"/>
      <c r="Y182" s="14"/>
      <c r="Z182" s="14"/>
      <c r="AA182" s="14"/>
      <c r="AB182" s="14" t="s">
        <v>1752</v>
      </c>
      <c r="AC182" s="135">
        <v>43834</v>
      </c>
      <c r="AD182" s="14" t="s">
        <v>721</v>
      </c>
      <c r="AE182" s="24">
        <f>VLOOKUP(F182,Stakeholders!E:K,7,0)</f>
        <v>1</v>
      </c>
      <c r="AF182" s="14"/>
      <c r="AG182" s="14"/>
      <c r="AH182" s="24" t="s">
        <v>82</v>
      </c>
      <c r="AI182" s="14"/>
      <c r="AJ182" s="14"/>
      <c r="AK182" s="14"/>
      <c r="AL182" s="14"/>
      <c r="AM182" s="14"/>
      <c r="AN182" s="14"/>
      <c r="AO182" s="14"/>
      <c r="AP182" s="14"/>
      <c r="AQ182" s="14"/>
      <c r="AR182" s="14"/>
      <c r="AS182" s="14"/>
      <c r="AT182" s="14"/>
      <c r="AU182" s="14"/>
      <c r="AV182" s="14"/>
      <c r="AW182" s="14"/>
    </row>
    <row r="183" spans="1:49" ht="13">
      <c r="A183" s="133">
        <v>2011</v>
      </c>
      <c r="B183" s="22" t="s">
        <v>8</v>
      </c>
      <c r="C183" s="29" t="s">
        <v>52</v>
      </c>
      <c r="D183" s="29" t="s">
        <v>1759</v>
      </c>
      <c r="E183" s="29" t="s">
        <v>73</v>
      </c>
      <c r="F183" s="29" t="s">
        <v>884</v>
      </c>
      <c r="G183" s="29">
        <f>COUNTIF(Stakeholders!$E$2:$E960,F183)</f>
        <v>1</v>
      </c>
      <c r="H183" s="29" t="s">
        <v>1762</v>
      </c>
      <c r="I183" s="151" t="s">
        <v>1763</v>
      </c>
      <c r="J183" s="29" t="s">
        <v>67</v>
      </c>
      <c r="K183" s="29"/>
      <c r="L183" s="29"/>
      <c r="M183" s="29"/>
      <c r="N183" s="29"/>
      <c r="O183" s="29"/>
      <c r="P183" s="29"/>
      <c r="Q183" s="29"/>
      <c r="R183" s="29"/>
      <c r="S183" s="29"/>
      <c r="T183" s="29"/>
      <c r="U183" s="29"/>
      <c r="V183" s="29"/>
      <c r="W183" s="29" t="s">
        <v>67</v>
      </c>
      <c r="X183" s="29"/>
      <c r="Y183" s="29"/>
      <c r="Z183" s="29"/>
      <c r="AA183" s="29"/>
      <c r="AB183" s="29" t="s">
        <v>1752</v>
      </c>
      <c r="AC183" s="136">
        <v>43835</v>
      </c>
      <c r="AD183" s="29" t="s">
        <v>734</v>
      </c>
      <c r="AE183" s="34">
        <f>VLOOKUP(F183,Stakeholders!E:K,7,0)</f>
        <v>107</v>
      </c>
      <c r="AF183" s="29"/>
      <c r="AG183" s="29"/>
      <c r="AH183" s="34" t="s">
        <v>82</v>
      </c>
      <c r="AI183" s="29"/>
      <c r="AJ183" s="29"/>
      <c r="AK183" s="29"/>
      <c r="AL183" s="29"/>
      <c r="AM183" s="29"/>
      <c r="AN183" s="29"/>
      <c r="AO183" s="29"/>
      <c r="AP183" s="29"/>
      <c r="AQ183" s="29"/>
      <c r="AR183" s="29"/>
      <c r="AS183" s="29"/>
      <c r="AT183" s="29"/>
      <c r="AU183" s="29"/>
      <c r="AV183" s="29"/>
      <c r="AW183" s="29"/>
    </row>
    <row r="184" spans="1:49" ht="13">
      <c r="A184" s="132">
        <v>2013</v>
      </c>
      <c r="B184" s="12" t="s">
        <v>8</v>
      </c>
      <c r="C184" s="14" t="s">
        <v>52</v>
      </c>
      <c r="D184" s="14" t="s">
        <v>1764</v>
      </c>
      <c r="E184" s="14" t="s">
        <v>52</v>
      </c>
      <c r="F184" s="14" t="s">
        <v>59</v>
      </c>
      <c r="G184" s="14">
        <f>COUNTIF(Stakeholders!$E$2:$E960,F184)</f>
        <v>1</v>
      </c>
      <c r="H184" s="14" t="s">
        <v>1765</v>
      </c>
      <c r="I184" s="152" t="s">
        <v>1766</v>
      </c>
      <c r="J184" s="14" t="s">
        <v>67</v>
      </c>
      <c r="K184" s="14"/>
      <c r="L184" s="14"/>
      <c r="M184" s="14"/>
      <c r="N184" s="14"/>
      <c r="O184" s="14"/>
      <c r="P184" s="14"/>
      <c r="Q184" s="14"/>
      <c r="R184" s="14"/>
      <c r="S184" s="14"/>
      <c r="T184" s="14"/>
      <c r="U184" s="14"/>
      <c r="V184" s="14"/>
      <c r="W184" s="14" t="s">
        <v>67</v>
      </c>
      <c r="X184" s="14"/>
      <c r="Y184" s="14"/>
      <c r="Z184" s="14"/>
      <c r="AA184" s="14"/>
      <c r="AB184" s="14" t="s">
        <v>1752</v>
      </c>
      <c r="AC184" s="135">
        <v>43836</v>
      </c>
      <c r="AD184" s="14" t="s">
        <v>722</v>
      </c>
      <c r="AE184" s="24">
        <f>VLOOKUP(F184,Stakeholders!E:K,7,0)</f>
        <v>1</v>
      </c>
      <c r="AF184" s="14"/>
      <c r="AG184" s="14"/>
      <c r="AH184" s="24" t="s">
        <v>82</v>
      </c>
      <c r="AI184" s="14"/>
      <c r="AJ184" s="14"/>
      <c r="AK184" s="14"/>
      <c r="AL184" s="14"/>
      <c r="AM184" s="14"/>
      <c r="AN184" s="14"/>
      <c r="AO184" s="14"/>
      <c r="AP184" s="14"/>
      <c r="AQ184" s="14"/>
      <c r="AR184" s="14"/>
      <c r="AS184" s="14"/>
      <c r="AT184" s="14"/>
      <c r="AU184" s="14"/>
      <c r="AV184" s="14"/>
      <c r="AW184" s="14"/>
    </row>
    <row r="185" spans="1:49" ht="13">
      <c r="A185" s="133">
        <v>2013</v>
      </c>
      <c r="B185" s="22" t="s">
        <v>8</v>
      </c>
      <c r="C185" s="29" t="s">
        <v>1767</v>
      </c>
      <c r="D185" s="29" t="s">
        <v>1759</v>
      </c>
      <c r="E185" s="29" t="s">
        <v>52</v>
      </c>
      <c r="F185" s="29" t="s">
        <v>59</v>
      </c>
      <c r="G185" s="29">
        <f>COUNTIF(Stakeholders!$E$2:$E960,F185)</f>
        <v>1</v>
      </c>
      <c r="H185" s="29" t="s">
        <v>1768</v>
      </c>
      <c r="I185" s="151" t="s">
        <v>1769</v>
      </c>
      <c r="J185" s="29" t="s">
        <v>67</v>
      </c>
      <c r="K185" s="29"/>
      <c r="L185" s="29"/>
      <c r="M185" s="29"/>
      <c r="N185" s="29"/>
      <c r="O185" s="29"/>
      <c r="P185" s="29"/>
      <c r="Q185" s="29"/>
      <c r="R185" s="29"/>
      <c r="S185" s="29"/>
      <c r="T185" s="29"/>
      <c r="U185" s="29"/>
      <c r="V185" s="29"/>
      <c r="W185" s="29" t="s">
        <v>67</v>
      </c>
      <c r="X185" s="29"/>
      <c r="Y185" s="29"/>
      <c r="Z185" s="29"/>
      <c r="AA185" s="29"/>
      <c r="AB185" s="29" t="s">
        <v>1752</v>
      </c>
      <c r="AC185" s="136">
        <v>43837</v>
      </c>
      <c r="AD185" s="29" t="s">
        <v>723</v>
      </c>
      <c r="AE185" s="34">
        <f>VLOOKUP(F185,Stakeholders!E:K,7,0)</f>
        <v>1</v>
      </c>
      <c r="AF185" s="29"/>
      <c r="AG185" s="29"/>
      <c r="AH185" s="34" t="s">
        <v>82</v>
      </c>
      <c r="AI185" s="29"/>
      <c r="AJ185" s="29"/>
      <c r="AK185" s="29"/>
      <c r="AL185" s="29"/>
      <c r="AM185" s="29"/>
      <c r="AN185" s="29"/>
      <c r="AO185" s="29"/>
      <c r="AP185" s="29"/>
      <c r="AQ185" s="29"/>
      <c r="AR185" s="29"/>
      <c r="AS185" s="29"/>
      <c r="AT185" s="29"/>
      <c r="AU185" s="29"/>
      <c r="AV185" s="29"/>
      <c r="AW185" s="29"/>
    </row>
    <row r="186" spans="1:49" ht="13">
      <c r="A186" s="132">
        <v>2014</v>
      </c>
      <c r="B186" s="12" t="s">
        <v>8</v>
      </c>
      <c r="C186" s="14" t="s">
        <v>349</v>
      </c>
      <c r="D186" s="14" t="s">
        <v>1759</v>
      </c>
      <c r="E186" s="14" t="s">
        <v>52</v>
      </c>
      <c r="F186" s="14" t="s">
        <v>59</v>
      </c>
      <c r="G186" s="14">
        <f>COUNTIF(Stakeholders!$E$2:$E960,F186)</f>
        <v>1</v>
      </c>
      <c r="H186" s="14" t="s">
        <v>1770</v>
      </c>
      <c r="I186" s="152" t="s">
        <v>1771</v>
      </c>
      <c r="J186" s="14" t="s">
        <v>67</v>
      </c>
      <c r="K186" s="14"/>
      <c r="L186" s="14"/>
      <c r="M186" s="14"/>
      <c r="N186" s="14"/>
      <c r="O186" s="14"/>
      <c r="P186" s="14"/>
      <c r="Q186" s="14"/>
      <c r="R186" s="14"/>
      <c r="S186" s="14"/>
      <c r="T186" s="14"/>
      <c r="U186" s="14"/>
      <c r="V186" s="14"/>
      <c r="W186" s="14" t="s">
        <v>67</v>
      </c>
      <c r="X186" s="14"/>
      <c r="Y186" s="14"/>
      <c r="Z186" s="14"/>
      <c r="AA186" s="14"/>
      <c r="AB186" s="14" t="s">
        <v>1752</v>
      </c>
      <c r="AC186" s="135">
        <v>43838</v>
      </c>
      <c r="AD186" s="14" t="s">
        <v>1048</v>
      </c>
      <c r="AE186" s="24">
        <f>VLOOKUP(F186,Stakeholders!E:K,7,0)</f>
        <v>1</v>
      </c>
      <c r="AF186" s="14"/>
      <c r="AG186" s="14"/>
      <c r="AH186" s="24" t="s">
        <v>82</v>
      </c>
      <c r="AI186" s="14"/>
      <c r="AJ186" s="14"/>
      <c r="AK186" s="14"/>
      <c r="AL186" s="14"/>
      <c r="AM186" s="14"/>
      <c r="AN186" s="14"/>
      <c r="AO186" s="14"/>
      <c r="AP186" s="14"/>
      <c r="AQ186" s="14"/>
      <c r="AR186" s="14"/>
      <c r="AS186" s="14"/>
      <c r="AT186" s="14"/>
      <c r="AU186" s="14"/>
      <c r="AV186" s="14"/>
      <c r="AW186" s="14"/>
    </row>
    <row r="187" spans="1:49" ht="13">
      <c r="A187" s="133">
        <v>2014</v>
      </c>
      <c r="B187" s="22" t="s">
        <v>8</v>
      </c>
      <c r="C187" s="29" t="s">
        <v>1772</v>
      </c>
      <c r="D187" s="29" t="s">
        <v>1772</v>
      </c>
      <c r="E187" s="29" t="s">
        <v>212</v>
      </c>
      <c r="F187" s="29" t="s">
        <v>887</v>
      </c>
      <c r="G187" s="29">
        <f>COUNTIF(Stakeholders!$E$2:$E960,F187)</f>
        <v>1</v>
      </c>
      <c r="H187" s="29" t="s">
        <v>1773</v>
      </c>
      <c r="I187" s="151" t="s">
        <v>1774</v>
      </c>
      <c r="J187" s="29" t="s">
        <v>67</v>
      </c>
      <c r="K187" s="29"/>
      <c r="L187" s="29"/>
      <c r="M187" s="29"/>
      <c r="N187" s="29"/>
      <c r="O187" s="29"/>
      <c r="P187" s="29"/>
      <c r="Q187" s="29"/>
      <c r="R187" s="29"/>
      <c r="S187" s="29"/>
      <c r="T187" s="29"/>
      <c r="U187" s="29"/>
      <c r="V187" s="29"/>
      <c r="W187" s="29" t="s">
        <v>67</v>
      </c>
      <c r="X187" s="29"/>
      <c r="Y187" s="29"/>
      <c r="Z187" s="29"/>
      <c r="AA187" s="29"/>
      <c r="AB187" s="29" t="s">
        <v>1752</v>
      </c>
      <c r="AC187" s="136">
        <v>43839</v>
      </c>
      <c r="AD187" s="29" t="s">
        <v>982</v>
      </c>
      <c r="AE187" s="34">
        <f>VLOOKUP(F187,Stakeholders!E:K,7,0)</f>
        <v>108</v>
      </c>
      <c r="AF187" s="29"/>
      <c r="AG187" s="29"/>
      <c r="AH187" s="34" t="s">
        <v>82</v>
      </c>
      <c r="AI187" s="29"/>
      <c r="AJ187" s="29"/>
      <c r="AK187" s="29"/>
      <c r="AL187" s="29"/>
      <c r="AM187" s="29"/>
      <c r="AN187" s="29"/>
      <c r="AO187" s="29"/>
      <c r="AP187" s="29"/>
      <c r="AQ187" s="29"/>
      <c r="AR187" s="29"/>
      <c r="AS187" s="29"/>
      <c r="AT187" s="29"/>
      <c r="AU187" s="29"/>
      <c r="AV187" s="29"/>
      <c r="AW187" s="29"/>
    </row>
    <row r="188" spans="1:49" ht="13">
      <c r="A188" s="132">
        <v>2015</v>
      </c>
      <c r="B188" s="12" t="s">
        <v>8</v>
      </c>
      <c r="C188" s="14" t="s">
        <v>73</v>
      </c>
      <c r="D188" s="14" t="s">
        <v>1759</v>
      </c>
      <c r="E188" s="14" t="s">
        <v>73</v>
      </c>
      <c r="F188" s="14" t="s">
        <v>247</v>
      </c>
      <c r="G188" s="14">
        <f>COUNTIF(Stakeholders!$E$2:$E960,F188)</f>
        <v>1</v>
      </c>
      <c r="H188" s="14" t="s">
        <v>1775</v>
      </c>
      <c r="I188" s="152" t="s">
        <v>1776</v>
      </c>
      <c r="J188" s="14" t="s">
        <v>67</v>
      </c>
      <c r="K188" s="14"/>
      <c r="L188" s="14"/>
      <c r="M188" s="14"/>
      <c r="N188" s="14"/>
      <c r="O188" s="14"/>
      <c r="P188" s="14"/>
      <c r="Q188" s="14"/>
      <c r="R188" s="14"/>
      <c r="S188" s="14"/>
      <c r="T188" s="14"/>
      <c r="U188" s="14"/>
      <c r="V188" s="14"/>
      <c r="W188" s="14" t="s">
        <v>67</v>
      </c>
      <c r="X188" s="14"/>
      <c r="Y188" s="14"/>
      <c r="Z188" s="14"/>
      <c r="AA188" s="14"/>
      <c r="AB188" s="14" t="s">
        <v>1752</v>
      </c>
      <c r="AC188" s="135">
        <v>43840</v>
      </c>
      <c r="AD188" s="14" t="s">
        <v>1050</v>
      </c>
      <c r="AE188" s="24">
        <f>VLOOKUP(F188,Stakeholders!E:K,7,0)</f>
        <v>30</v>
      </c>
      <c r="AF188" s="14"/>
      <c r="AG188" s="14"/>
      <c r="AH188" s="24" t="s">
        <v>82</v>
      </c>
      <c r="AI188" s="14"/>
      <c r="AJ188" s="14"/>
      <c r="AK188" s="14"/>
      <c r="AL188" s="14"/>
      <c r="AM188" s="14"/>
      <c r="AN188" s="14"/>
      <c r="AO188" s="14"/>
      <c r="AP188" s="14"/>
      <c r="AQ188" s="14"/>
      <c r="AR188" s="14"/>
      <c r="AS188" s="14"/>
      <c r="AT188" s="14"/>
      <c r="AU188" s="14"/>
      <c r="AV188" s="14"/>
      <c r="AW188" s="14"/>
    </row>
    <row r="189" spans="1:49" ht="13">
      <c r="A189" s="133">
        <v>2015</v>
      </c>
      <c r="B189" s="22" t="s">
        <v>8</v>
      </c>
      <c r="C189" s="29" t="s">
        <v>349</v>
      </c>
      <c r="D189" s="29" t="s">
        <v>1777</v>
      </c>
      <c r="E189" s="29" t="s">
        <v>52</v>
      </c>
      <c r="F189" s="29" t="s">
        <v>59</v>
      </c>
      <c r="G189" s="29">
        <f>COUNTIF(Stakeholders!$E$2:$E960,F189)</f>
        <v>1</v>
      </c>
      <c r="H189" s="29" t="s">
        <v>1778</v>
      </c>
      <c r="I189" s="151" t="s">
        <v>1779</v>
      </c>
      <c r="J189" s="29" t="s">
        <v>67</v>
      </c>
      <c r="K189" s="29"/>
      <c r="L189" s="29"/>
      <c r="M189" s="29"/>
      <c r="N189" s="29"/>
      <c r="O189" s="29"/>
      <c r="P189" s="29"/>
      <c r="Q189" s="29"/>
      <c r="R189" s="29"/>
      <c r="S189" s="29"/>
      <c r="T189" s="29"/>
      <c r="U189" s="29"/>
      <c r="V189" s="29"/>
      <c r="W189" s="29" t="s">
        <v>67</v>
      </c>
      <c r="X189" s="29"/>
      <c r="Y189" s="29"/>
      <c r="Z189" s="29"/>
      <c r="AA189" s="29"/>
      <c r="AB189" s="29" t="s">
        <v>1752</v>
      </c>
      <c r="AC189" s="136">
        <v>43841</v>
      </c>
      <c r="AD189" s="29" t="s">
        <v>1052</v>
      </c>
      <c r="AE189" s="34">
        <f>VLOOKUP(F189,Stakeholders!E:K,7,0)</f>
        <v>1</v>
      </c>
      <c r="AF189" s="29"/>
      <c r="AG189" s="29"/>
      <c r="AH189" s="34" t="s">
        <v>82</v>
      </c>
      <c r="AI189" s="29"/>
      <c r="AJ189" s="29"/>
      <c r="AK189" s="29"/>
      <c r="AL189" s="29"/>
      <c r="AM189" s="29"/>
      <c r="AN189" s="29"/>
      <c r="AO189" s="29"/>
      <c r="AP189" s="29"/>
      <c r="AQ189" s="29"/>
      <c r="AR189" s="29"/>
      <c r="AS189" s="29"/>
      <c r="AT189" s="29"/>
      <c r="AU189" s="29"/>
      <c r="AV189" s="29"/>
      <c r="AW189" s="29"/>
    </row>
    <row r="190" spans="1:49" ht="13">
      <c r="A190" s="132">
        <v>2015</v>
      </c>
      <c r="B190" s="12" t="s">
        <v>8</v>
      </c>
      <c r="C190" s="14" t="s">
        <v>854</v>
      </c>
      <c r="D190" s="14" t="s">
        <v>1780</v>
      </c>
      <c r="E190" s="14" t="s">
        <v>654</v>
      </c>
      <c r="F190" s="14" t="s">
        <v>654</v>
      </c>
      <c r="G190" s="14">
        <f>COUNTIF(Stakeholders!$E$2:$E960,F190)</f>
        <v>1</v>
      </c>
      <c r="H190" s="14" t="s">
        <v>1781</v>
      </c>
      <c r="I190" s="152" t="s">
        <v>1782</v>
      </c>
      <c r="J190" s="14" t="s">
        <v>67</v>
      </c>
      <c r="K190" s="14"/>
      <c r="L190" s="14"/>
      <c r="M190" s="14"/>
      <c r="N190" s="14"/>
      <c r="O190" s="14"/>
      <c r="P190" s="14"/>
      <c r="Q190" s="14"/>
      <c r="R190" s="14"/>
      <c r="S190" s="14"/>
      <c r="T190" s="14"/>
      <c r="U190" s="14"/>
      <c r="V190" s="14"/>
      <c r="W190" s="14" t="s">
        <v>67</v>
      </c>
      <c r="X190" s="14"/>
      <c r="Y190" s="14"/>
      <c r="Z190" s="14"/>
      <c r="AA190" s="14"/>
      <c r="AB190" s="14" t="s">
        <v>1752</v>
      </c>
      <c r="AC190" s="135">
        <v>43842</v>
      </c>
      <c r="AD190" s="14" t="s">
        <v>983</v>
      </c>
      <c r="AE190" s="24">
        <f>VLOOKUP(F190,Stakeholders!E:K,7,0)</f>
        <v>109</v>
      </c>
      <c r="AF190" s="14"/>
      <c r="AG190" s="14"/>
      <c r="AH190" s="24" t="s">
        <v>82</v>
      </c>
      <c r="AI190" s="14"/>
      <c r="AJ190" s="14"/>
      <c r="AK190" s="14"/>
      <c r="AL190" s="14"/>
      <c r="AM190" s="14"/>
      <c r="AN190" s="14"/>
      <c r="AO190" s="14"/>
      <c r="AP190" s="14"/>
      <c r="AQ190" s="14"/>
      <c r="AR190" s="14"/>
      <c r="AS190" s="14"/>
      <c r="AT190" s="14"/>
      <c r="AU190" s="14"/>
      <c r="AV190" s="14"/>
      <c r="AW190" s="14"/>
    </row>
    <row r="191" spans="1:49" ht="13">
      <c r="A191" s="133">
        <v>2017</v>
      </c>
      <c r="B191" s="22" t="s">
        <v>8</v>
      </c>
      <c r="C191" s="29" t="s">
        <v>349</v>
      </c>
      <c r="D191" s="29" t="s">
        <v>1759</v>
      </c>
      <c r="E191" s="29" t="s">
        <v>52</v>
      </c>
      <c r="F191" s="29" t="s">
        <v>59</v>
      </c>
      <c r="G191" s="29">
        <f>COUNTIF(Stakeholders!$E$2:$E960,F191)</f>
        <v>1</v>
      </c>
      <c r="H191" s="29" t="s">
        <v>1783</v>
      </c>
      <c r="I191" s="151" t="s">
        <v>1784</v>
      </c>
      <c r="J191" s="29" t="s">
        <v>67</v>
      </c>
      <c r="K191" s="29"/>
      <c r="L191" s="29"/>
      <c r="M191" s="29"/>
      <c r="N191" s="29"/>
      <c r="O191" s="29"/>
      <c r="P191" s="29"/>
      <c r="Q191" s="29"/>
      <c r="R191" s="29"/>
      <c r="S191" s="29"/>
      <c r="T191" s="29"/>
      <c r="U191" s="29"/>
      <c r="V191" s="29"/>
      <c r="W191" s="29" t="s">
        <v>67</v>
      </c>
      <c r="X191" s="29"/>
      <c r="Y191" s="29"/>
      <c r="Z191" s="29"/>
      <c r="AA191" s="29"/>
      <c r="AB191" s="29" t="s">
        <v>1752</v>
      </c>
      <c r="AC191" s="136">
        <v>43843</v>
      </c>
      <c r="AD191" s="29" t="s">
        <v>736</v>
      </c>
      <c r="AE191" s="34">
        <f>VLOOKUP(F191,Stakeholders!E:K,7,0)</f>
        <v>1</v>
      </c>
      <c r="AF191" s="29"/>
      <c r="AG191" s="29"/>
      <c r="AH191" s="34" t="s">
        <v>82</v>
      </c>
      <c r="AI191" s="29"/>
      <c r="AJ191" s="29"/>
      <c r="AK191" s="29"/>
      <c r="AL191" s="29"/>
      <c r="AM191" s="29"/>
      <c r="AN191" s="29"/>
      <c r="AO191" s="29"/>
      <c r="AP191" s="29"/>
      <c r="AQ191" s="29"/>
      <c r="AR191" s="29"/>
      <c r="AS191" s="29"/>
      <c r="AT191" s="29"/>
      <c r="AU191" s="29"/>
      <c r="AV191" s="29"/>
      <c r="AW191" s="29"/>
    </row>
    <row r="192" spans="1:49" ht="13">
      <c r="A192" s="132">
        <v>2017</v>
      </c>
      <c r="B192" s="12" t="s">
        <v>8</v>
      </c>
      <c r="C192" s="14" t="s">
        <v>1785</v>
      </c>
      <c r="D192" s="14" t="s">
        <v>1786</v>
      </c>
      <c r="E192" s="14" t="s">
        <v>95</v>
      </c>
      <c r="F192" s="14" t="s">
        <v>893</v>
      </c>
      <c r="G192" s="14">
        <f>COUNTIF(Stakeholders!$E$2:$E960,F192)</f>
        <v>1</v>
      </c>
      <c r="H192" s="14" t="s">
        <v>1787</v>
      </c>
      <c r="I192" s="152" t="s">
        <v>1788</v>
      </c>
      <c r="J192" s="14" t="s">
        <v>67</v>
      </c>
      <c r="K192" s="14"/>
      <c r="L192" s="14"/>
      <c r="M192" s="14"/>
      <c r="N192" s="14"/>
      <c r="O192" s="14"/>
      <c r="P192" s="14"/>
      <c r="Q192" s="14"/>
      <c r="R192" s="14"/>
      <c r="S192" s="14"/>
      <c r="T192" s="14"/>
      <c r="U192" s="14"/>
      <c r="V192" s="14"/>
      <c r="W192" s="14" t="s">
        <v>67</v>
      </c>
      <c r="X192" s="14"/>
      <c r="Y192" s="14"/>
      <c r="Z192" s="14"/>
      <c r="AA192" s="14"/>
      <c r="AB192" s="14" t="s">
        <v>1752</v>
      </c>
      <c r="AC192" s="135">
        <v>43844</v>
      </c>
      <c r="AD192" s="14" t="s">
        <v>724</v>
      </c>
      <c r="AE192" s="24">
        <f>VLOOKUP(F192,Stakeholders!E:K,7,0)</f>
        <v>110</v>
      </c>
      <c r="AF192" s="14"/>
      <c r="AG192" s="14"/>
      <c r="AH192" s="24" t="s">
        <v>82</v>
      </c>
      <c r="AI192" s="14"/>
      <c r="AJ192" s="14"/>
      <c r="AK192" s="14"/>
      <c r="AL192" s="14"/>
      <c r="AM192" s="14"/>
      <c r="AN192" s="14"/>
      <c r="AO192" s="14"/>
      <c r="AP192" s="14"/>
      <c r="AQ192" s="14"/>
      <c r="AR192" s="14"/>
      <c r="AS192" s="14"/>
      <c r="AT192" s="14"/>
      <c r="AU192" s="14"/>
      <c r="AV192" s="14"/>
      <c r="AW192" s="14"/>
    </row>
    <row r="193" spans="1:49" ht="13">
      <c r="A193" s="133">
        <v>2018</v>
      </c>
      <c r="B193" s="22" t="s">
        <v>8</v>
      </c>
      <c r="C193" s="29" t="s">
        <v>854</v>
      </c>
      <c r="D193" s="29" t="s">
        <v>1759</v>
      </c>
      <c r="E193" s="29" t="s">
        <v>412</v>
      </c>
      <c r="F193" s="29" t="s">
        <v>898</v>
      </c>
      <c r="G193" s="29">
        <f>COUNTIF(Stakeholders!$E$2:$E960,F193)</f>
        <v>1</v>
      </c>
      <c r="H193" s="29" t="s">
        <v>1789</v>
      </c>
      <c r="I193" s="151" t="s">
        <v>1790</v>
      </c>
      <c r="J193" s="29" t="s">
        <v>67</v>
      </c>
      <c r="K193" s="29"/>
      <c r="L193" s="29"/>
      <c r="M193" s="29"/>
      <c r="N193" s="29"/>
      <c r="O193" s="29"/>
      <c r="P193" s="29"/>
      <c r="Q193" s="29"/>
      <c r="R193" s="29"/>
      <c r="S193" s="29"/>
      <c r="T193" s="29"/>
      <c r="U193" s="29"/>
      <c r="V193" s="29"/>
      <c r="W193" s="29" t="s">
        <v>67</v>
      </c>
      <c r="X193" s="29"/>
      <c r="Y193" s="29"/>
      <c r="Z193" s="29"/>
      <c r="AA193" s="29"/>
      <c r="AB193" s="29" t="s">
        <v>1752</v>
      </c>
      <c r="AC193" s="136">
        <v>43845</v>
      </c>
      <c r="AD193" s="29" t="s">
        <v>737</v>
      </c>
      <c r="AE193" s="34">
        <f>VLOOKUP(F193,Stakeholders!E:K,7,0)</f>
        <v>111</v>
      </c>
      <c r="AF193" s="29"/>
      <c r="AG193" s="29"/>
      <c r="AH193" s="34" t="s">
        <v>82</v>
      </c>
      <c r="AI193" s="29"/>
      <c r="AJ193" s="29"/>
      <c r="AK193" s="29"/>
      <c r="AL193" s="29"/>
      <c r="AM193" s="29"/>
      <c r="AN193" s="29"/>
      <c r="AO193" s="29"/>
      <c r="AP193" s="29"/>
      <c r="AQ193" s="29"/>
      <c r="AR193" s="29"/>
      <c r="AS193" s="29"/>
      <c r="AT193" s="29"/>
      <c r="AU193" s="29"/>
      <c r="AV193" s="29"/>
      <c r="AW193" s="29"/>
    </row>
    <row r="194" spans="1:49" ht="13">
      <c r="A194" s="132">
        <v>2018</v>
      </c>
      <c r="B194" s="12" t="s">
        <v>8</v>
      </c>
      <c r="C194" s="14" t="s">
        <v>73</v>
      </c>
      <c r="D194" s="14" t="s">
        <v>1759</v>
      </c>
      <c r="E194" s="14" t="e">
        <v>#N/A</v>
      </c>
      <c r="F194" s="14"/>
      <c r="G194" s="14">
        <f>COUNTIF(Stakeholders!$E$2:$E960,F194)</f>
        <v>0</v>
      </c>
      <c r="H194" s="14" t="s">
        <v>1791</v>
      </c>
      <c r="I194" s="152" t="s">
        <v>1792</v>
      </c>
      <c r="J194" s="14" t="s">
        <v>67</v>
      </c>
      <c r="K194" s="14"/>
      <c r="L194" s="14"/>
      <c r="M194" s="14"/>
      <c r="N194" s="14"/>
      <c r="O194" s="14"/>
      <c r="P194" s="14"/>
      <c r="Q194" s="14"/>
      <c r="R194" s="14"/>
      <c r="S194" s="14"/>
      <c r="T194" s="14"/>
      <c r="U194" s="14"/>
      <c r="V194" s="14"/>
      <c r="W194" s="14" t="s">
        <v>67</v>
      </c>
      <c r="X194" s="14"/>
      <c r="Y194" s="14"/>
      <c r="Z194" s="14"/>
      <c r="AA194" s="14"/>
      <c r="AB194" s="14" t="s">
        <v>1752</v>
      </c>
      <c r="AC194" s="135">
        <v>43846</v>
      </c>
      <c r="AD194" s="14" t="s">
        <v>1053</v>
      </c>
      <c r="AE194" s="24" t="e">
        <f>VLOOKUP(F194,Stakeholders!E:K,7,0)</f>
        <v>#N/A</v>
      </c>
      <c r="AF194" s="14"/>
      <c r="AG194" s="14"/>
      <c r="AH194" s="24" t="s">
        <v>82</v>
      </c>
      <c r="AI194" s="14"/>
      <c r="AJ194" s="14"/>
      <c r="AK194" s="14"/>
      <c r="AL194" s="14"/>
      <c r="AM194" s="14"/>
      <c r="AN194" s="14"/>
      <c r="AO194" s="14"/>
      <c r="AP194" s="14"/>
      <c r="AQ194" s="14"/>
      <c r="AR194" s="14"/>
      <c r="AS194" s="14"/>
      <c r="AT194" s="14"/>
      <c r="AU194" s="14"/>
      <c r="AV194" s="14"/>
      <c r="AW194" s="14"/>
    </row>
    <row r="195" spans="1:49" ht="13">
      <c r="A195" s="133">
        <v>2018</v>
      </c>
      <c r="B195" s="22" t="s">
        <v>8</v>
      </c>
      <c r="C195" s="29" t="s">
        <v>1793</v>
      </c>
      <c r="D195" s="29" t="s">
        <v>1794</v>
      </c>
      <c r="E195" s="29" t="e">
        <v>#N/A</v>
      </c>
      <c r="F195" s="29"/>
      <c r="G195" s="29">
        <f>COUNTIF(Stakeholders!$E$2:$E960,F195)</f>
        <v>0</v>
      </c>
      <c r="H195" s="29" t="s">
        <v>1795</v>
      </c>
      <c r="I195" s="151" t="s">
        <v>1796</v>
      </c>
      <c r="J195" s="29" t="s">
        <v>67</v>
      </c>
      <c r="K195" s="29"/>
      <c r="L195" s="29"/>
      <c r="M195" s="29"/>
      <c r="N195" s="29"/>
      <c r="O195" s="29"/>
      <c r="P195" s="29"/>
      <c r="Q195" s="29"/>
      <c r="R195" s="29"/>
      <c r="S195" s="29"/>
      <c r="T195" s="29"/>
      <c r="U195" s="29"/>
      <c r="V195" s="29"/>
      <c r="W195" s="29" t="s">
        <v>67</v>
      </c>
      <c r="X195" s="29"/>
      <c r="Y195" s="29"/>
      <c r="Z195" s="29"/>
      <c r="AA195" s="29"/>
      <c r="AB195" s="29" t="s">
        <v>1752</v>
      </c>
      <c r="AC195" s="136">
        <v>43847</v>
      </c>
      <c r="AD195" s="29" t="s">
        <v>1057</v>
      </c>
      <c r="AE195" s="34" t="e">
        <f>VLOOKUP(F195,Stakeholders!E:K,7,0)</f>
        <v>#N/A</v>
      </c>
      <c r="AF195" s="29"/>
      <c r="AG195" s="29"/>
      <c r="AH195" s="34" t="s">
        <v>82</v>
      </c>
      <c r="AI195" s="29"/>
      <c r="AJ195" s="29"/>
      <c r="AK195" s="29"/>
      <c r="AL195" s="29"/>
      <c r="AM195" s="29"/>
      <c r="AN195" s="29"/>
      <c r="AO195" s="29"/>
      <c r="AP195" s="29"/>
      <c r="AQ195" s="29"/>
      <c r="AR195" s="29"/>
      <c r="AS195" s="29"/>
      <c r="AT195" s="29"/>
      <c r="AU195" s="29"/>
      <c r="AV195" s="29"/>
      <c r="AW195" s="29"/>
    </row>
    <row r="196" spans="1:49" ht="13">
      <c r="A196" s="132">
        <v>2018</v>
      </c>
      <c r="B196" s="12" t="s">
        <v>8</v>
      </c>
      <c r="C196" s="14" t="s">
        <v>1785</v>
      </c>
      <c r="D196" s="14" t="s">
        <v>1797</v>
      </c>
      <c r="E196" s="14" t="e">
        <v>#N/A</v>
      </c>
      <c r="F196" s="14"/>
      <c r="G196" s="14">
        <f>COUNTIF(Stakeholders!$E$2:$E960,F196)</f>
        <v>0</v>
      </c>
      <c r="H196" s="14" t="s">
        <v>1798</v>
      </c>
      <c r="I196" s="152" t="s">
        <v>1799</v>
      </c>
      <c r="J196" s="14" t="s">
        <v>67</v>
      </c>
      <c r="K196" s="14"/>
      <c r="L196" s="14"/>
      <c r="M196" s="14"/>
      <c r="N196" s="14"/>
      <c r="O196" s="14"/>
      <c r="P196" s="14"/>
      <c r="Q196" s="14"/>
      <c r="R196" s="14"/>
      <c r="S196" s="14"/>
      <c r="T196" s="14"/>
      <c r="U196" s="14"/>
      <c r="V196" s="14"/>
      <c r="W196" s="14" t="s">
        <v>67</v>
      </c>
      <c r="X196" s="14"/>
      <c r="Y196" s="14"/>
      <c r="Z196" s="14"/>
      <c r="AA196" s="14"/>
      <c r="AB196" s="14" t="s">
        <v>1752</v>
      </c>
      <c r="AC196" s="135">
        <v>43848</v>
      </c>
      <c r="AD196" s="14" t="s">
        <v>1059</v>
      </c>
      <c r="AE196" s="24" t="e">
        <f>VLOOKUP(F196,Stakeholders!E:K,7,0)</f>
        <v>#N/A</v>
      </c>
      <c r="AF196" s="14"/>
      <c r="AG196" s="14"/>
      <c r="AH196" s="24" t="s">
        <v>82</v>
      </c>
      <c r="AI196" s="14"/>
      <c r="AJ196" s="14"/>
      <c r="AK196" s="14"/>
      <c r="AL196" s="14"/>
      <c r="AM196" s="14"/>
      <c r="AN196" s="14"/>
      <c r="AO196" s="14"/>
      <c r="AP196" s="14"/>
      <c r="AQ196" s="14"/>
      <c r="AR196" s="14"/>
      <c r="AS196" s="14"/>
      <c r="AT196" s="14"/>
      <c r="AU196" s="14"/>
      <c r="AV196" s="14"/>
      <c r="AW196" s="14"/>
    </row>
    <row r="197" spans="1:49" ht="13">
      <c r="A197" s="133">
        <v>2018</v>
      </c>
      <c r="B197" s="22" t="s">
        <v>8</v>
      </c>
      <c r="C197" s="29" t="s">
        <v>1785</v>
      </c>
      <c r="D197" s="29" t="s">
        <v>1800</v>
      </c>
      <c r="E197" s="29" t="e">
        <v>#N/A</v>
      </c>
      <c r="F197" s="29"/>
      <c r="G197" s="29">
        <f>COUNTIF(Stakeholders!$E$2:$E960,F197)</f>
        <v>0</v>
      </c>
      <c r="H197" s="29" t="s">
        <v>1801</v>
      </c>
      <c r="I197" s="151" t="s">
        <v>1802</v>
      </c>
      <c r="J197" s="29" t="s">
        <v>67</v>
      </c>
      <c r="K197" s="29"/>
      <c r="L197" s="29"/>
      <c r="M197" s="29"/>
      <c r="N197" s="29"/>
      <c r="O197" s="29"/>
      <c r="P197" s="29"/>
      <c r="Q197" s="29"/>
      <c r="R197" s="29"/>
      <c r="S197" s="29"/>
      <c r="T197" s="29"/>
      <c r="U197" s="29"/>
      <c r="V197" s="29"/>
      <c r="W197" s="29" t="s">
        <v>67</v>
      </c>
      <c r="X197" s="29"/>
      <c r="Y197" s="29"/>
      <c r="Z197" s="29"/>
      <c r="AA197" s="29"/>
      <c r="AB197" s="29" t="s">
        <v>1752</v>
      </c>
      <c r="AC197" s="136">
        <v>43849</v>
      </c>
      <c r="AD197" s="29" t="s">
        <v>1060</v>
      </c>
      <c r="AE197" s="34" t="e">
        <f>VLOOKUP(F197,Stakeholders!E:K,7,0)</f>
        <v>#N/A</v>
      </c>
      <c r="AF197" s="29"/>
      <c r="AG197" s="29"/>
      <c r="AH197" s="34" t="s">
        <v>82</v>
      </c>
      <c r="AI197" s="29"/>
      <c r="AJ197" s="29"/>
      <c r="AK197" s="29"/>
      <c r="AL197" s="29"/>
      <c r="AM197" s="29"/>
      <c r="AN197" s="29"/>
      <c r="AO197" s="29"/>
      <c r="AP197" s="29"/>
      <c r="AQ197" s="29"/>
      <c r="AR197" s="29"/>
      <c r="AS197" s="29"/>
      <c r="AT197" s="29"/>
      <c r="AU197" s="29"/>
      <c r="AV197" s="29"/>
      <c r="AW197" s="29"/>
    </row>
    <row r="198" spans="1:49" ht="13">
      <c r="A198" s="132">
        <v>2018</v>
      </c>
      <c r="B198" s="12" t="s">
        <v>8</v>
      </c>
      <c r="C198" s="14" t="s">
        <v>1785</v>
      </c>
      <c r="D198" s="14" t="s">
        <v>1786</v>
      </c>
      <c r="E198" s="14" t="e">
        <v>#N/A</v>
      </c>
      <c r="F198" s="14"/>
      <c r="G198" s="14">
        <f>COUNTIF(Stakeholders!$E$2:$E960,F198)</f>
        <v>0</v>
      </c>
      <c r="H198" s="14" t="s">
        <v>1803</v>
      </c>
      <c r="I198" s="152" t="s">
        <v>1804</v>
      </c>
      <c r="J198" s="14" t="s">
        <v>67</v>
      </c>
      <c r="K198" s="14"/>
      <c r="L198" s="14"/>
      <c r="M198" s="14"/>
      <c r="N198" s="14"/>
      <c r="O198" s="14"/>
      <c r="P198" s="14"/>
      <c r="Q198" s="14"/>
      <c r="R198" s="14"/>
      <c r="S198" s="14"/>
      <c r="T198" s="14"/>
      <c r="U198" s="14"/>
      <c r="V198" s="14"/>
      <c r="W198" s="14" t="s">
        <v>67</v>
      </c>
      <c r="X198" s="14"/>
      <c r="Y198" s="14"/>
      <c r="Z198" s="14"/>
      <c r="AA198" s="14"/>
      <c r="AB198" s="14" t="s">
        <v>1752</v>
      </c>
      <c r="AC198" s="135">
        <v>43850</v>
      </c>
      <c r="AD198" s="14" t="s">
        <v>1061</v>
      </c>
      <c r="AE198" s="24" t="e">
        <f>VLOOKUP(F198,Stakeholders!E:K,7,0)</f>
        <v>#N/A</v>
      </c>
      <c r="AF198" s="14"/>
      <c r="AG198" s="14"/>
      <c r="AH198" s="24" t="s">
        <v>82</v>
      </c>
      <c r="AI198" s="14"/>
      <c r="AJ198" s="14"/>
      <c r="AK198" s="14"/>
      <c r="AL198" s="14"/>
      <c r="AM198" s="14"/>
      <c r="AN198" s="14"/>
      <c r="AO198" s="14"/>
      <c r="AP198" s="14"/>
      <c r="AQ198" s="14"/>
      <c r="AR198" s="14"/>
      <c r="AS198" s="14"/>
      <c r="AT198" s="14"/>
      <c r="AU198" s="14"/>
      <c r="AV198" s="14"/>
      <c r="AW198" s="14"/>
    </row>
    <row r="199" spans="1:49" ht="13">
      <c r="A199" s="133">
        <v>2018</v>
      </c>
      <c r="B199" s="22" t="s">
        <v>8</v>
      </c>
      <c r="C199" s="29" t="s">
        <v>1805</v>
      </c>
      <c r="D199" s="29" t="s">
        <v>1759</v>
      </c>
      <c r="E199" s="29" t="e">
        <v>#N/A</v>
      </c>
      <c r="F199" s="29"/>
      <c r="G199" s="29">
        <f>COUNTIF(Stakeholders!$E$2:$E960,F199)</f>
        <v>0</v>
      </c>
      <c r="H199" s="29" t="s">
        <v>1806</v>
      </c>
      <c r="I199" s="151" t="s">
        <v>1807</v>
      </c>
      <c r="J199" s="29" t="s">
        <v>67</v>
      </c>
      <c r="K199" s="29"/>
      <c r="L199" s="29"/>
      <c r="M199" s="29"/>
      <c r="N199" s="29"/>
      <c r="O199" s="29"/>
      <c r="P199" s="29"/>
      <c r="Q199" s="29"/>
      <c r="R199" s="29"/>
      <c r="S199" s="29"/>
      <c r="T199" s="29"/>
      <c r="U199" s="29"/>
      <c r="V199" s="29"/>
      <c r="W199" s="29" t="s">
        <v>67</v>
      </c>
      <c r="X199" s="29"/>
      <c r="Y199" s="29"/>
      <c r="Z199" s="29"/>
      <c r="AA199" s="29"/>
      <c r="AB199" s="29" t="s">
        <v>1752</v>
      </c>
      <c r="AC199" s="136">
        <v>43851</v>
      </c>
      <c r="AD199" s="29" t="s">
        <v>1062</v>
      </c>
      <c r="AE199" s="34" t="e">
        <f>VLOOKUP(F199,Stakeholders!E:K,7,0)</f>
        <v>#N/A</v>
      </c>
      <c r="AF199" s="29"/>
      <c r="AG199" s="29"/>
      <c r="AH199" s="34" t="s">
        <v>82</v>
      </c>
      <c r="AI199" s="29"/>
      <c r="AJ199" s="29"/>
      <c r="AK199" s="29"/>
      <c r="AL199" s="29"/>
      <c r="AM199" s="29"/>
      <c r="AN199" s="29"/>
      <c r="AO199" s="29"/>
      <c r="AP199" s="29"/>
      <c r="AQ199" s="29"/>
      <c r="AR199" s="29"/>
      <c r="AS199" s="29"/>
      <c r="AT199" s="29"/>
      <c r="AU199" s="29"/>
      <c r="AV199" s="29"/>
      <c r="AW199" s="29"/>
    </row>
    <row r="200" spans="1:49" ht="13">
      <c r="A200" s="132">
        <v>2007</v>
      </c>
      <c r="B200" s="12" t="s">
        <v>8</v>
      </c>
      <c r="C200" s="14" t="s">
        <v>52</v>
      </c>
      <c r="D200" s="14" t="s">
        <v>1808</v>
      </c>
      <c r="E200" s="14" t="e">
        <v>#N/A</v>
      </c>
      <c r="F200" s="14"/>
      <c r="G200" s="14">
        <f>COUNTIF(Stakeholders!$E$2:$E960,F200)</f>
        <v>0</v>
      </c>
      <c r="H200" s="14" t="s">
        <v>1809</v>
      </c>
      <c r="I200" s="152" t="s">
        <v>1810</v>
      </c>
      <c r="J200" s="14" t="s">
        <v>67</v>
      </c>
      <c r="K200" s="14"/>
      <c r="L200" s="14"/>
      <c r="M200" s="14"/>
      <c r="N200" s="14"/>
      <c r="O200" s="14"/>
      <c r="P200" s="14"/>
      <c r="Q200" s="14"/>
      <c r="R200" s="14"/>
      <c r="S200" s="14"/>
      <c r="T200" s="14"/>
      <c r="U200" s="14"/>
      <c r="V200" s="14"/>
      <c r="W200" s="14" t="s">
        <v>67</v>
      </c>
      <c r="X200" s="14"/>
      <c r="Y200" s="14"/>
      <c r="Z200" s="14"/>
      <c r="AA200" s="14"/>
      <c r="AB200" s="14" t="s">
        <v>1752</v>
      </c>
      <c r="AC200" s="135">
        <v>43852</v>
      </c>
      <c r="AD200" s="14" t="s">
        <v>1063</v>
      </c>
      <c r="AE200" s="24" t="e">
        <f>VLOOKUP(F200,Stakeholders!E:K,7,0)</f>
        <v>#N/A</v>
      </c>
      <c r="AF200" s="14"/>
      <c r="AG200" s="14"/>
      <c r="AH200" s="24" t="s">
        <v>82</v>
      </c>
      <c r="AI200" s="14"/>
      <c r="AJ200" s="14"/>
      <c r="AK200" s="14"/>
      <c r="AL200" s="14"/>
      <c r="AM200" s="14"/>
      <c r="AN200" s="14"/>
      <c r="AO200" s="14"/>
      <c r="AP200" s="14"/>
      <c r="AQ200" s="14"/>
      <c r="AR200" s="14"/>
      <c r="AS200" s="14"/>
      <c r="AT200" s="14"/>
      <c r="AU200" s="14"/>
      <c r="AV200" s="14"/>
      <c r="AW200" s="14"/>
    </row>
    <row r="201" spans="1:49" ht="13">
      <c r="A201" s="133">
        <v>2008</v>
      </c>
      <c r="B201" s="22" t="s">
        <v>8</v>
      </c>
      <c r="C201" s="29" t="s">
        <v>52</v>
      </c>
      <c r="D201" s="29" t="s">
        <v>1808</v>
      </c>
      <c r="E201" s="29" t="e">
        <v>#N/A</v>
      </c>
      <c r="F201" s="29"/>
      <c r="G201" s="29">
        <f>COUNTIF(Stakeholders!$E$2:$E960,F201)</f>
        <v>0</v>
      </c>
      <c r="H201" s="29" t="s">
        <v>1811</v>
      </c>
      <c r="I201" s="151" t="s">
        <v>1812</v>
      </c>
      <c r="J201" s="29" t="s">
        <v>67</v>
      </c>
      <c r="K201" s="29"/>
      <c r="L201" s="29"/>
      <c r="M201" s="29"/>
      <c r="N201" s="29"/>
      <c r="O201" s="29"/>
      <c r="P201" s="29"/>
      <c r="Q201" s="29"/>
      <c r="R201" s="29"/>
      <c r="S201" s="29"/>
      <c r="T201" s="29"/>
      <c r="U201" s="29"/>
      <c r="V201" s="29"/>
      <c r="W201" s="29" t="s">
        <v>67</v>
      </c>
      <c r="X201" s="29"/>
      <c r="Y201" s="29"/>
      <c r="Z201" s="29"/>
      <c r="AA201" s="29"/>
      <c r="AB201" s="29" t="s">
        <v>1752</v>
      </c>
      <c r="AC201" s="136">
        <v>43853</v>
      </c>
      <c r="AD201" s="29" t="s">
        <v>738</v>
      </c>
      <c r="AE201" s="34" t="e">
        <f>VLOOKUP(F201,Stakeholders!E:K,7,0)</f>
        <v>#N/A</v>
      </c>
      <c r="AF201" s="29"/>
      <c r="AG201" s="29"/>
      <c r="AH201" s="34" t="s">
        <v>82</v>
      </c>
      <c r="AI201" s="29"/>
      <c r="AJ201" s="29"/>
      <c r="AK201" s="29"/>
      <c r="AL201" s="29"/>
      <c r="AM201" s="29"/>
      <c r="AN201" s="29"/>
      <c r="AO201" s="29"/>
      <c r="AP201" s="29"/>
      <c r="AQ201" s="29"/>
      <c r="AR201" s="29"/>
      <c r="AS201" s="29"/>
      <c r="AT201" s="29"/>
      <c r="AU201" s="29"/>
      <c r="AV201" s="29"/>
      <c r="AW201" s="29"/>
    </row>
    <row r="202" spans="1:49" ht="13">
      <c r="A202" s="132">
        <v>2008</v>
      </c>
      <c r="B202" s="12" t="s">
        <v>8</v>
      </c>
      <c r="C202" s="14" t="s">
        <v>52</v>
      </c>
      <c r="D202" s="14" t="s">
        <v>1808</v>
      </c>
      <c r="E202" s="14" t="e">
        <v>#N/A</v>
      </c>
      <c r="F202" s="14"/>
      <c r="G202" s="14">
        <f>COUNTIF(Stakeholders!$E$2:$E960,F202)</f>
        <v>0</v>
      </c>
      <c r="H202" s="14" t="s">
        <v>1813</v>
      </c>
      <c r="I202" s="152" t="s">
        <v>1814</v>
      </c>
      <c r="J202" s="14" t="s">
        <v>67</v>
      </c>
      <c r="K202" s="14"/>
      <c r="L202" s="14"/>
      <c r="M202" s="14"/>
      <c r="N202" s="14"/>
      <c r="O202" s="14"/>
      <c r="P202" s="14"/>
      <c r="Q202" s="14"/>
      <c r="R202" s="14"/>
      <c r="S202" s="14"/>
      <c r="T202" s="14"/>
      <c r="U202" s="14"/>
      <c r="V202" s="14"/>
      <c r="W202" s="14" t="s">
        <v>67</v>
      </c>
      <c r="X202" s="14"/>
      <c r="Y202" s="14"/>
      <c r="Z202" s="14"/>
      <c r="AA202" s="14"/>
      <c r="AB202" s="14" t="s">
        <v>1752</v>
      </c>
      <c r="AC202" s="135">
        <v>43854</v>
      </c>
      <c r="AD202" s="14" t="s">
        <v>1064</v>
      </c>
      <c r="AE202" s="24" t="e">
        <f>VLOOKUP(F202,Stakeholders!E:K,7,0)</f>
        <v>#N/A</v>
      </c>
      <c r="AF202" s="14"/>
      <c r="AG202" s="14"/>
      <c r="AH202" s="24" t="s">
        <v>82</v>
      </c>
      <c r="AI202" s="14"/>
      <c r="AJ202" s="14"/>
      <c r="AK202" s="14"/>
      <c r="AL202" s="14"/>
      <c r="AM202" s="14"/>
      <c r="AN202" s="14"/>
      <c r="AO202" s="14"/>
      <c r="AP202" s="14"/>
      <c r="AQ202" s="14"/>
      <c r="AR202" s="14"/>
      <c r="AS202" s="14"/>
      <c r="AT202" s="14"/>
      <c r="AU202" s="14"/>
      <c r="AV202" s="14"/>
      <c r="AW202" s="14"/>
    </row>
    <row r="203" spans="1:49" ht="13">
      <c r="A203" s="133">
        <v>2011</v>
      </c>
      <c r="B203" s="22" t="s">
        <v>8</v>
      </c>
      <c r="C203" s="29" t="s">
        <v>52</v>
      </c>
      <c r="D203" s="29" t="s">
        <v>1808</v>
      </c>
      <c r="E203" s="29" t="e">
        <v>#N/A</v>
      </c>
      <c r="F203" s="29"/>
      <c r="G203" s="29">
        <f>COUNTIF(Stakeholders!$E$2:$E960,F203)</f>
        <v>0</v>
      </c>
      <c r="H203" s="29" t="s">
        <v>1815</v>
      </c>
      <c r="I203" s="151" t="s">
        <v>1816</v>
      </c>
      <c r="J203" s="29" t="s">
        <v>67</v>
      </c>
      <c r="K203" s="29"/>
      <c r="L203" s="29"/>
      <c r="M203" s="29"/>
      <c r="N203" s="29"/>
      <c r="O203" s="29"/>
      <c r="P203" s="29"/>
      <c r="Q203" s="29"/>
      <c r="R203" s="29"/>
      <c r="S203" s="29"/>
      <c r="T203" s="29"/>
      <c r="U203" s="29"/>
      <c r="V203" s="29"/>
      <c r="W203" s="29" t="s">
        <v>67</v>
      </c>
      <c r="X203" s="29"/>
      <c r="Y203" s="29"/>
      <c r="Z203" s="29"/>
      <c r="AA203" s="29"/>
      <c r="AB203" s="29" t="s">
        <v>1752</v>
      </c>
      <c r="AC203" s="136">
        <v>43855</v>
      </c>
      <c r="AD203" s="29" t="s">
        <v>1065</v>
      </c>
      <c r="AE203" s="34" t="e">
        <f>VLOOKUP(F203,Stakeholders!E:K,7,0)</f>
        <v>#N/A</v>
      </c>
      <c r="AF203" s="29"/>
      <c r="AG203" s="29"/>
      <c r="AH203" s="34" t="s">
        <v>82</v>
      </c>
      <c r="AI203" s="29"/>
      <c r="AJ203" s="29"/>
      <c r="AK203" s="29"/>
      <c r="AL203" s="29"/>
      <c r="AM203" s="29"/>
      <c r="AN203" s="29"/>
      <c r="AO203" s="29"/>
      <c r="AP203" s="29"/>
      <c r="AQ203" s="29"/>
      <c r="AR203" s="29"/>
      <c r="AS203" s="29"/>
      <c r="AT203" s="29"/>
      <c r="AU203" s="29"/>
      <c r="AV203" s="29"/>
      <c r="AW203" s="29"/>
    </row>
    <row r="204" spans="1:49" ht="13">
      <c r="A204" s="132">
        <v>2012</v>
      </c>
      <c r="B204" s="12" t="s">
        <v>8</v>
      </c>
      <c r="C204" s="14" t="s">
        <v>52</v>
      </c>
      <c r="D204" s="14" t="s">
        <v>1808</v>
      </c>
      <c r="E204" s="14" t="e">
        <v>#N/A</v>
      </c>
      <c r="F204" s="14"/>
      <c r="G204" s="14">
        <f>COUNTIF(Stakeholders!$E$2:$E960,F204)</f>
        <v>0</v>
      </c>
      <c r="H204" s="14" t="s">
        <v>1817</v>
      </c>
      <c r="I204" s="152" t="s">
        <v>1818</v>
      </c>
      <c r="J204" s="14" t="s">
        <v>67</v>
      </c>
      <c r="K204" s="14"/>
      <c r="L204" s="14"/>
      <c r="M204" s="14"/>
      <c r="N204" s="14"/>
      <c r="O204" s="14"/>
      <c r="P204" s="14"/>
      <c r="Q204" s="14"/>
      <c r="R204" s="14"/>
      <c r="S204" s="14"/>
      <c r="T204" s="14"/>
      <c r="U204" s="14"/>
      <c r="V204" s="14"/>
      <c r="W204" s="14" t="s">
        <v>67</v>
      </c>
      <c r="X204" s="14"/>
      <c r="Y204" s="14"/>
      <c r="Z204" s="14"/>
      <c r="AA204" s="14"/>
      <c r="AB204" s="14" t="s">
        <v>1752</v>
      </c>
      <c r="AC204" s="135">
        <v>43856</v>
      </c>
      <c r="AD204" s="14" t="s">
        <v>1066</v>
      </c>
      <c r="AE204" s="24" t="e">
        <f>VLOOKUP(F204,Stakeholders!E:K,7,0)</f>
        <v>#N/A</v>
      </c>
      <c r="AF204" s="14"/>
      <c r="AG204" s="14"/>
      <c r="AH204" s="24" t="s">
        <v>82</v>
      </c>
      <c r="AI204" s="14"/>
      <c r="AJ204" s="14"/>
      <c r="AK204" s="14"/>
      <c r="AL204" s="14"/>
      <c r="AM204" s="14"/>
      <c r="AN204" s="14"/>
      <c r="AO204" s="14"/>
      <c r="AP204" s="14"/>
      <c r="AQ204" s="14"/>
      <c r="AR204" s="14"/>
      <c r="AS204" s="14"/>
      <c r="AT204" s="14"/>
      <c r="AU204" s="14"/>
      <c r="AV204" s="14"/>
      <c r="AW204" s="14"/>
    </row>
    <row r="205" spans="1:49" ht="13">
      <c r="A205" s="133">
        <v>2012</v>
      </c>
      <c r="B205" s="22" t="s">
        <v>8</v>
      </c>
      <c r="C205" s="29" t="s">
        <v>52</v>
      </c>
      <c r="D205" s="29" t="s">
        <v>1808</v>
      </c>
      <c r="E205" s="29" t="e">
        <v>#N/A</v>
      </c>
      <c r="F205" s="29"/>
      <c r="G205" s="29">
        <f>COUNTIF(Stakeholders!$E$2:$E960,F205)</f>
        <v>0</v>
      </c>
      <c r="H205" s="29" t="s">
        <v>1819</v>
      </c>
      <c r="I205" s="151" t="s">
        <v>1820</v>
      </c>
      <c r="J205" s="29" t="s">
        <v>67</v>
      </c>
      <c r="K205" s="29"/>
      <c r="L205" s="29"/>
      <c r="M205" s="29"/>
      <c r="N205" s="29"/>
      <c r="O205" s="29"/>
      <c r="P205" s="29"/>
      <c r="Q205" s="29"/>
      <c r="R205" s="29"/>
      <c r="S205" s="29"/>
      <c r="T205" s="29"/>
      <c r="U205" s="29"/>
      <c r="V205" s="29"/>
      <c r="W205" s="29" t="s">
        <v>67</v>
      </c>
      <c r="X205" s="29"/>
      <c r="Y205" s="29"/>
      <c r="Z205" s="29"/>
      <c r="AA205" s="29"/>
      <c r="AB205" s="29" t="s">
        <v>1752</v>
      </c>
      <c r="AC205" s="136">
        <v>43857</v>
      </c>
      <c r="AD205" s="29" t="s">
        <v>1069</v>
      </c>
      <c r="AE205" s="34" t="e">
        <f>VLOOKUP(F205,Stakeholders!E:K,7,0)</f>
        <v>#N/A</v>
      </c>
      <c r="AF205" s="29"/>
      <c r="AG205" s="29"/>
      <c r="AH205" s="34" t="s">
        <v>82</v>
      </c>
      <c r="AI205" s="29"/>
      <c r="AJ205" s="29"/>
      <c r="AK205" s="29"/>
      <c r="AL205" s="29"/>
      <c r="AM205" s="29"/>
      <c r="AN205" s="29"/>
      <c r="AO205" s="29"/>
      <c r="AP205" s="29"/>
      <c r="AQ205" s="29"/>
      <c r="AR205" s="29"/>
      <c r="AS205" s="29"/>
      <c r="AT205" s="29"/>
      <c r="AU205" s="29"/>
      <c r="AV205" s="29"/>
      <c r="AW205" s="29"/>
    </row>
    <row r="206" spans="1:49" ht="13">
      <c r="A206" s="132">
        <v>2012</v>
      </c>
      <c r="B206" s="12" t="s">
        <v>8</v>
      </c>
      <c r="C206" s="14" t="s">
        <v>224</v>
      </c>
      <c r="D206" s="14" t="s">
        <v>1808</v>
      </c>
      <c r="E206" s="14" t="e">
        <v>#N/A</v>
      </c>
      <c r="F206" s="14"/>
      <c r="G206" s="14">
        <f>COUNTIF(Stakeholders!$E$2:$E960,F206)</f>
        <v>0</v>
      </c>
      <c r="H206" s="14" t="s">
        <v>1821</v>
      </c>
      <c r="I206" s="152" t="s">
        <v>1822</v>
      </c>
      <c r="J206" s="14" t="s">
        <v>67</v>
      </c>
      <c r="K206" s="14"/>
      <c r="L206" s="14"/>
      <c r="M206" s="14"/>
      <c r="N206" s="14"/>
      <c r="O206" s="14"/>
      <c r="P206" s="14"/>
      <c r="Q206" s="14"/>
      <c r="R206" s="14"/>
      <c r="S206" s="14"/>
      <c r="T206" s="14"/>
      <c r="U206" s="14"/>
      <c r="V206" s="14"/>
      <c r="W206" s="14" t="s">
        <v>67</v>
      </c>
      <c r="X206" s="14"/>
      <c r="Y206" s="14"/>
      <c r="Z206" s="14"/>
      <c r="AA206" s="14"/>
      <c r="AB206" s="14" t="s">
        <v>1752</v>
      </c>
      <c r="AC206" s="135">
        <v>43858</v>
      </c>
      <c r="AD206" s="14" t="s">
        <v>1071</v>
      </c>
      <c r="AE206" s="24" t="e">
        <f>VLOOKUP(F206,Stakeholders!E:K,7,0)</f>
        <v>#N/A</v>
      </c>
      <c r="AF206" s="14"/>
      <c r="AG206" s="14"/>
      <c r="AH206" s="24" t="s">
        <v>82</v>
      </c>
      <c r="AI206" s="14"/>
      <c r="AJ206" s="14"/>
      <c r="AK206" s="14"/>
      <c r="AL206" s="14"/>
      <c r="AM206" s="14"/>
      <c r="AN206" s="14"/>
      <c r="AO206" s="14"/>
      <c r="AP206" s="14"/>
      <c r="AQ206" s="14"/>
      <c r="AR206" s="14"/>
      <c r="AS206" s="14"/>
      <c r="AT206" s="14"/>
      <c r="AU206" s="14"/>
      <c r="AV206" s="14"/>
      <c r="AW206" s="14"/>
    </row>
    <row r="207" spans="1:49" ht="13">
      <c r="A207" s="133">
        <v>2014</v>
      </c>
      <c r="B207" s="22" t="s">
        <v>8</v>
      </c>
      <c r="C207" s="29" t="s">
        <v>52</v>
      </c>
      <c r="D207" s="29" t="s">
        <v>1808</v>
      </c>
      <c r="E207" s="29" t="e">
        <v>#N/A</v>
      </c>
      <c r="F207" s="29"/>
      <c r="G207" s="29">
        <f>COUNTIF(Stakeholders!$E$2:$E960,F207)</f>
        <v>0</v>
      </c>
      <c r="H207" s="29" t="s">
        <v>1823</v>
      </c>
      <c r="I207" s="151" t="s">
        <v>1824</v>
      </c>
      <c r="J207" s="29" t="s">
        <v>67</v>
      </c>
      <c r="K207" s="29"/>
      <c r="L207" s="29"/>
      <c r="M207" s="29"/>
      <c r="N207" s="29"/>
      <c r="O207" s="29"/>
      <c r="P207" s="29"/>
      <c r="Q207" s="29"/>
      <c r="R207" s="29"/>
      <c r="S207" s="29"/>
      <c r="T207" s="29"/>
      <c r="U207" s="29"/>
      <c r="V207" s="29"/>
      <c r="W207" s="29" t="s">
        <v>67</v>
      </c>
      <c r="X207" s="29"/>
      <c r="Y207" s="29"/>
      <c r="Z207" s="29"/>
      <c r="AA207" s="29"/>
      <c r="AB207" s="29" t="s">
        <v>1752</v>
      </c>
      <c r="AC207" s="136">
        <v>43859</v>
      </c>
      <c r="AD207" s="29" t="s">
        <v>739</v>
      </c>
      <c r="AE207" s="34" t="e">
        <f>VLOOKUP(F207,Stakeholders!E:K,7,0)</f>
        <v>#N/A</v>
      </c>
      <c r="AF207" s="29"/>
      <c r="AG207" s="29"/>
      <c r="AH207" s="34" t="s">
        <v>82</v>
      </c>
      <c r="AI207" s="29"/>
      <c r="AJ207" s="29"/>
      <c r="AK207" s="29"/>
      <c r="AL207" s="29"/>
      <c r="AM207" s="29"/>
      <c r="AN207" s="29"/>
      <c r="AO207" s="29"/>
      <c r="AP207" s="29"/>
      <c r="AQ207" s="29"/>
      <c r="AR207" s="29"/>
      <c r="AS207" s="29"/>
      <c r="AT207" s="29"/>
      <c r="AU207" s="29"/>
      <c r="AV207" s="29"/>
      <c r="AW207" s="29"/>
    </row>
    <row r="208" spans="1:49" ht="13">
      <c r="A208" s="132">
        <v>2015</v>
      </c>
      <c r="B208" s="12" t="s">
        <v>8</v>
      </c>
      <c r="C208" s="14" t="s">
        <v>52</v>
      </c>
      <c r="D208" s="14" t="s">
        <v>1808</v>
      </c>
      <c r="E208" s="14" t="e">
        <v>#N/A</v>
      </c>
      <c r="F208" s="14"/>
      <c r="G208" s="14">
        <f>COUNTIF(Stakeholders!$E$2:$E960,F208)</f>
        <v>0</v>
      </c>
      <c r="H208" s="14" t="s">
        <v>1825</v>
      </c>
      <c r="I208" s="152" t="s">
        <v>1826</v>
      </c>
      <c r="J208" s="14" t="s">
        <v>67</v>
      </c>
      <c r="K208" s="14"/>
      <c r="L208" s="14"/>
      <c r="M208" s="14"/>
      <c r="N208" s="14"/>
      <c r="O208" s="14"/>
      <c r="P208" s="14"/>
      <c r="Q208" s="14"/>
      <c r="R208" s="14"/>
      <c r="S208" s="14"/>
      <c r="T208" s="14"/>
      <c r="U208" s="14"/>
      <c r="V208" s="14"/>
      <c r="W208" s="14" t="s">
        <v>67</v>
      </c>
      <c r="X208" s="14"/>
      <c r="Y208" s="14"/>
      <c r="Z208" s="14"/>
      <c r="AA208" s="14"/>
      <c r="AB208" s="14" t="s">
        <v>1752</v>
      </c>
      <c r="AC208" s="135">
        <v>43860</v>
      </c>
      <c r="AD208" s="14" t="s">
        <v>1072</v>
      </c>
      <c r="AE208" s="24" t="e">
        <f>VLOOKUP(F208,Stakeholders!E:K,7,0)</f>
        <v>#N/A</v>
      </c>
      <c r="AF208" s="14"/>
      <c r="AG208" s="14"/>
      <c r="AH208" s="24" t="s">
        <v>82</v>
      </c>
      <c r="AI208" s="14"/>
      <c r="AJ208" s="14"/>
      <c r="AK208" s="14"/>
      <c r="AL208" s="14"/>
      <c r="AM208" s="14"/>
      <c r="AN208" s="14"/>
      <c r="AO208" s="14"/>
      <c r="AP208" s="14"/>
      <c r="AQ208" s="14"/>
      <c r="AR208" s="14"/>
      <c r="AS208" s="14"/>
      <c r="AT208" s="14"/>
      <c r="AU208" s="14"/>
      <c r="AV208" s="14"/>
      <c r="AW208" s="14"/>
    </row>
    <row r="209" spans="1:49" ht="13">
      <c r="A209" s="133">
        <v>2015</v>
      </c>
      <c r="B209" s="22" t="s">
        <v>8</v>
      </c>
      <c r="C209" s="29" t="s">
        <v>73</v>
      </c>
      <c r="D209" s="29" t="s">
        <v>1808</v>
      </c>
      <c r="E209" s="29" t="e">
        <v>#N/A</v>
      </c>
      <c r="F209" s="29"/>
      <c r="G209" s="29">
        <f>COUNTIF(Stakeholders!$E$2:$E960,F209)</f>
        <v>0</v>
      </c>
      <c r="H209" s="29" t="s">
        <v>1827</v>
      </c>
      <c r="I209" s="151" t="s">
        <v>1828</v>
      </c>
      <c r="J209" s="29" t="s">
        <v>67</v>
      </c>
      <c r="K209" s="29"/>
      <c r="L209" s="29"/>
      <c r="M209" s="29"/>
      <c r="N209" s="29"/>
      <c r="O209" s="29"/>
      <c r="P209" s="29"/>
      <c r="Q209" s="29"/>
      <c r="R209" s="29"/>
      <c r="S209" s="29"/>
      <c r="T209" s="29"/>
      <c r="U209" s="29"/>
      <c r="V209" s="29"/>
      <c r="W209" s="29" t="s">
        <v>67</v>
      </c>
      <c r="X209" s="29"/>
      <c r="Y209" s="29"/>
      <c r="Z209" s="29"/>
      <c r="AA209" s="29"/>
      <c r="AB209" s="29" t="s">
        <v>1752</v>
      </c>
      <c r="AC209" s="136">
        <v>43861</v>
      </c>
      <c r="AD209" s="29" t="s">
        <v>1073</v>
      </c>
      <c r="AE209" s="34" t="e">
        <f>VLOOKUP(F209,Stakeholders!E:K,7,0)</f>
        <v>#N/A</v>
      </c>
      <c r="AF209" s="29"/>
      <c r="AG209" s="29"/>
      <c r="AH209" s="34" t="s">
        <v>82</v>
      </c>
      <c r="AI209" s="29"/>
      <c r="AJ209" s="29"/>
      <c r="AK209" s="29"/>
      <c r="AL209" s="29"/>
      <c r="AM209" s="29"/>
      <c r="AN209" s="29"/>
      <c r="AO209" s="29"/>
      <c r="AP209" s="29"/>
      <c r="AQ209" s="29"/>
      <c r="AR209" s="29"/>
      <c r="AS209" s="29"/>
      <c r="AT209" s="29"/>
      <c r="AU209" s="29"/>
      <c r="AV209" s="29"/>
      <c r="AW209" s="29"/>
    </row>
    <row r="210" spans="1:49" ht="13">
      <c r="A210" s="132">
        <v>2015</v>
      </c>
      <c r="B210" s="12" t="s">
        <v>8</v>
      </c>
      <c r="C210" s="14" t="s">
        <v>349</v>
      </c>
      <c r="D210" s="14" t="s">
        <v>1808</v>
      </c>
      <c r="E210" s="14" t="e">
        <v>#N/A</v>
      </c>
      <c r="F210" s="14"/>
      <c r="G210" s="14">
        <f>COUNTIF(Stakeholders!$E$2:$E960,F210)</f>
        <v>0</v>
      </c>
      <c r="H210" s="14" t="s">
        <v>1829</v>
      </c>
      <c r="I210" s="152" t="s">
        <v>1830</v>
      </c>
      <c r="J210" s="14" t="s">
        <v>67</v>
      </c>
      <c r="K210" s="14"/>
      <c r="L210" s="14"/>
      <c r="M210" s="14"/>
      <c r="N210" s="14"/>
      <c r="O210" s="14"/>
      <c r="P210" s="14"/>
      <c r="Q210" s="14"/>
      <c r="R210" s="14"/>
      <c r="S210" s="14"/>
      <c r="T210" s="14"/>
      <c r="U210" s="14"/>
      <c r="V210" s="14"/>
      <c r="W210" s="14" t="s">
        <v>67</v>
      </c>
      <c r="X210" s="14"/>
      <c r="Y210" s="14"/>
      <c r="Z210" s="14"/>
      <c r="AA210" s="14"/>
      <c r="AB210" s="14" t="s">
        <v>1752</v>
      </c>
      <c r="AC210" s="135">
        <v>43862</v>
      </c>
      <c r="AD210" s="14" t="s">
        <v>742</v>
      </c>
      <c r="AE210" s="24" t="e">
        <f>VLOOKUP(F210,Stakeholders!E:K,7,0)</f>
        <v>#N/A</v>
      </c>
      <c r="AF210" s="14"/>
      <c r="AG210" s="14"/>
      <c r="AH210" s="24" t="s">
        <v>82</v>
      </c>
      <c r="AI210" s="14"/>
      <c r="AJ210" s="14"/>
      <c r="AK210" s="14"/>
      <c r="AL210" s="14"/>
      <c r="AM210" s="14"/>
      <c r="AN210" s="14"/>
      <c r="AO210" s="14"/>
      <c r="AP210" s="14"/>
      <c r="AQ210" s="14"/>
      <c r="AR210" s="14"/>
      <c r="AS210" s="14"/>
      <c r="AT210" s="14"/>
      <c r="AU210" s="14"/>
      <c r="AV210" s="14"/>
      <c r="AW210" s="14"/>
    </row>
    <row r="211" spans="1:49" ht="13">
      <c r="A211" s="133">
        <v>2015</v>
      </c>
      <c r="B211" s="22" t="s">
        <v>8</v>
      </c>
      <c r="C211" s="29" t="s">
        <v>52</v>
      </c>
      <c r="D211" s="29" t="s">
        <v>1808</v>
      </c>
      <c r="E211" s="29" t="e">
        <v>#N/A</v>
      </c>
      <c r="F211" s="29"/>
      <c r="G211" s="29">
        <f>COUNTIF(Stakeholders!$E$2:$E960,F211)</f>
        <v>0</v>
      </c>
      <c r="H211" s="29" t="s">
        <v>1831</v>
      </c>
      <c r="I211" s="151" t="s">
        <v>1832</v>
      </c>
      <c r="J211" s="29" t="s">
        <v>67</v>
      </c>
      <c r="K211" s="29"/>
      <c r="L211" s="29"/>
      <c r="M211" s="29"/>
      <c r="N211" s="29"/>
      <c r="O211" s="29"/>
      <c r="P211" s="29"/>
      <c r="Q211" s="29"/>
      <c r="R211" s="29"/>
      <c r="S211" s="29"/>
      <c r="T211" s="29"/>
      <c r="U211" s="29"/>
      <c r="V211" s="29"/>
      <c r="W211" s="29" t="s">
        <v>67</v>
      </c>
      <c r="X211" s="29"/>
      <c r="Y211" s="29"/>
      <c r="Z211" s="29"/>
      <c r="AA211" s="29"/>
      <c r="AB211" s="29" t="s">
        <v>1752</v>
      </c>
      <c r="AC211" s="136">
        <v>43863</v>
      </c>
      <c r="AD211" s="29" t="s">
        <v>691</v>
      </c>
      <c r="AE211" s="34" t="e">
        <f>VLOOKUP(F211,Stakeholders!E:K,7,0)</f>
        <v>#N/A</v>
      </c>
      <c r="AF211" s="29"/>
      <c r="AG211" s="29"/>
      <c r="AH211" s="34" t="s">
        <v>82</v>
      </c>
      <c r="AI211" s="29"/>
      <c r="AJ211" s="29"/>
      <c r="AK211" s="29"/>
      <c r="AL211" s="29"/>
      <c r="AM211" s="29"/>
      <c r="AN211" s="29"/>
      <c r="AO211" s="29"/>
      <c r="AP211" s="29"/>
      <c r="AQ211" s="29"/>
      <c r="AR211" s="29"/>
      <c r="AS211" s="29"/>
      <c r="AT211" s="29"/>
      <c r="AU211" s="29"/>
      <c r="AV211" s="29"/>
      <c r="AW211" s="29"/>
    </row>
    <row r="212" spans="1:49" ht="13">
      <c r="A212" s="132">
        <v>2015</v>
      </c>
      <c r="B212" s="12" t="s">
        <v>8</v>
      </c>
      <c r="C212" s="14" t="s">
        <v>52</v>
      </c>
      <c r="D212" s="14" t="s">
        <v>1833</v>
      </c>
      <c r="E212" s="14" t="e">
        <v>#N/A</v>
      </c>
      <c r="F212" s="14"/>
      <c r="G212" s="14">
        <f>COUNTIF(Stakeholders!$E$2:$E960,F212)</f>
        <v>0</v>
      </c>
      <c r="H212" s="14" t="s">
        <v>1834</v>
      </c>
      <c r="I212" s="152" t="s">
        <v>1835</v>
      </c>
      <c r="J212" s="14" t="s">
        <v>67</v>
      </c>
      <c r="K212" s="14"/>
      <c r="L212" s="14"/>
      <c r="M212" s="14"/>
      <c r="N212" s="14"/>
      <c r="O212" s="14"/>
      <c r="P212" s="14"/>
      <c r="Q212" s="14"/>
      <c r="R212" s="14"/>
      <c r="S212" s="14"/>
      <c r="T212" s="14"/>
      <c r="U212" s="14"/>
      <c r="V212" s="14"/>
      <c r="W212" s="14" t="s">
        <v>67</v>
      </c>
      <c r="X212" s="14"/>
      <c r="Y212" s="14"/>
      <c r="Z212" s="14"/>
      <c r="AA212" s="14"/>
      <c r="AB212" s="14" t="s">
        <v>1752</v>
      </c>
      <c r="AC212" s="135">
        <v>43864</v>
      </c>
      <c r="AD212" s="14" t="s">
        <v>1074</v>
      </c>
      <c r="AE212" s="24" t="e">
        <f>VLOOKUP(F212,Stakeholders!E:K,7,0)</f>
        <v>#N/A</v>
      </c>
      <c r="AF212" s="14"/>
      <c r="AG212" s="14"/>
      <c r="AH212" s="24" t="s">
        <v>82</v>
      </c>
      <c r="AI212" s="14"/>
      <c r="AJ212" s="14"/>
      <c r="AK212" s="14"/>
      <c r="AL212" s="14"/>
      <c r="AM212" s="14"/>
      <c r="AN212" s="14"/>
      <c r="AO212" s="14"/>
      <c r="AP212" s="14"/>
      <c r="AQ212" s="14"/>
      <c r="AR212" s="14"/>
      <c r="AS212" s="14"/>
      <c r="AT212" s="14"/>
      <c r="AU212" s="14"/>
      <c r="AV212" s="14"/>
      <c r="AW212" s="14"/>
    </row>
    <row r="213" spans="1:49" ht="13">
      <c r="A213" s="133">
        <v>2016</v>
      </c>
      <c r="B213" s="22" t="s">
        <v>8</v>
      </c>
      <c r="C213" s="29" t="s">
        <v>52</v>
      </c>
      <c r="D213" s="29" t="s">
        <v>1808</v>
      </c>
      <c r="E213" s="29" t="e">
        <v>#N/A</v>
      </c>
      <c r="F213" s="29"/>
      <c r="G213" s="29">
        <f>COUNTIF(Stakeholders!$E$2:$E960,F213)</f>
        <v>0</v>
      </c>
      <c r="H213" s="29" t="s">
        <v>1836</v>
      </c>
      <c r="I213" s="151" t="s">
        <v>1837</v>
      </c>
      <c r="J213" s="29" t="s">
        <v>67</v>
      </c>
      <c r="K213" s="29"/>
      <c r="L213" s="29"/>
      <c r="M213" s="29"/>
      <c r="N213" s="29"/>
      <c r="O213" s="29"/>
      <c r="P213" s="29"/>
      <c r="Q213" s="29"/>
      <c r="R213" s="29"/>
      <c r="S213" s="29"/>
      <c r="T213" s="29"/>
      <c r="U213" s="29"/>
      <c r="V213" s="29"/>
      <c r="W213" s="29" t="s">
        <v>67</v>
      </c>
      <c r="X213" s="29"/>
      <c r="Y213" s="29"/>
      <c r="Z213" s="29"/>
      <c r="AA213" s="29"/>
      <c r="AB213" s="29" t="s">
        <v>1752</v>
      </c>
      <c r="AC213" s="136">
        <v>43865</v>
      </c>
      <c r="AD213" s="29" t="s">
        <v>694</v>
      </c>
      <c r="AE213" s="34" t="e">
        <f>VLOOKUP(F213,Stakeholders!E:K,7,0)</f>
        <v>#N/A</v>
      </c>
      <c r="AF213" s="29"/>
      <c r="AG213" s="29"/>
      <c r="AH213" s="34" t="s">
        <v>82</v>
      </c>
      <c r="AI213" s="29"/>
      <c r="AJ213" s="29"/>
      <c r="AK213" s="29"/>
      <c r="AL213" s="29"/>
      <c r="AM213" s="29"/>
      <c r="AN213" s="29"/>
      <c r="AO213" s="29"/>
      <c r="AP213" s="29"/>
      <c r="AQ213" s="29"/>
      <c r="AR213" s="29"/>
      <c r="AS213" s="29"/>
      <c r="AT213" s="29"/>
      <c r="AU213" s="29"/>
      <c r="AV213" s="29"/>
      <c r="AW213" s="29"/>
    </row>
    <row r="214" spans="1:49" ht="13">
      <c r="A214" s="132">
        <v>2016</v>
      </c>
      <c r="B214" s="12" t="s">
        <v>8</v>
      </c>
      <c r="C214" s="14" t="s">
        <v>349</v>
      </c>
      <c r="D214" s="14" t="s">
        <v>1808</v>
      </c>
      <c r="E214" s="14" t="e">
        <v>#N/A</v>
      </c>
      <c r="F214" s="14"/>
      <c r="G214" s="14">
        <f>COUNTIF(Stakeholders!$E$2:$E960,F214)</f>
        <v>0</v>
      </c>
      <c r="H214" s="14" t="s">
        <v>1838</v>
      </c>
      <c r="I214" s="152" t="s">
        <v>1839</v>
      </c>
      <c r="J214" s="14" t="s">
        <v>67</v>
      </c>
      <c r="K214" s="14"/>
      <c r="L214" s="14"/>
      <c r="M214" s="14"/>
      <c r="N214" s="14"/>
      <c r="O214" s="14"/>
      <c r="P214" s="14"/>
      <c r="Q214" s="14"/>
      <c r="R214" s="14"/>
      <c r="S214" s="14"/>
      <c r="T214" s="14"/>
      <c r="U214" s="14"/>
      <c r="V214" s="14"/>
      <c r="W214" s="14" t="s">
        <v>67</v>
      </c>
      <c r="X214" s="14"/>
      <c r="Y214" s="14"/>
      <c r="Z214" s="14"/>
      <c r="AA214" s="14"/>
      <c r="AB214" s="14" t="s">
        <v>1752</v>
      </c>
      <c r="AC214" s="135">
        <v>43866</v>
      </c>
      <c r="AD214" s="14" t="s">
        <v>1076</v>
      </c>
      <c r="AE214" s="24" t="e">
        <f>VLOOKUP(F214,Stakeholders!E:K,7,0)</f>
        <v>#N/A</v>
      </c>
      <c r="AF214" s="14"/>
      <c r="AG214" s="14"/>
      <c r="AH214" s="24" t="s">
        <v>82</v>
      </c>
      <c r="AI214" s="14"/>
      <c r="AJ214" s="14"/>
      <c r="AK214" s="14"/>
      <c r="AL214" s="14"/>
      <c r="AM214" s="14"/>
      <c r="AN214" s="14"/>
      <c r="AO214" s="14"/>
      <c r="AP214" s="14"/>
      <c r="AQ214" s="14"/>
      <c r="AR214" s="14"/>
      <c r="AS214" s="14"/>
      <c r="AT214" s="14"/>
      <c r="AU214" s="14"/>
      <c r="AV214" s="14"/>
      <c r="AW214" s="14"/>
    </row>
    <row r="215" spans="1:49" ht="13">
      <c r="A215" s="133">
        <v>2016</v>
      </c>
      <c r="B215" s="22" t="s">
        <v>8</v>
      </c>
      <c r="C215" s="29" t="s">
        <v>349</v>
      </c>
      <c r="D215" s="29" t="s">
        <v>1808</v>
      </c>
      <c r="E215" s="29" t="e">
        <v>#N/A</v>
      </c>
      <c r="F215" s="29"/>
      <c r="G215" s="29">
        <f>COUNTIF(Stakeholders!$E$2:$E960,F215)</f>
        <v>0</v>
      </c>
      <c r="H215" s="29" t="s">
        <v>1840</v>
      </c>
      <c r="I215" s="151" t="s">
        <v>1841</v>
      </c>
      <c r="J215" s="29" t="s">
        <v>67</v>
      </c>
      <c r="K215" s="29"/>
      <c r="L215" s="29"/>
      <c r="M215" s="29"/>
      <c r="N215" s="29"/>
      <c r="O215" s="29"/>
      <c r="P215" s="29"/>
      <c r="Q215" s="29"/>
      <c r="R215" s="29"/>
      <c r="S215" s="29"/>
      <c r="T215" s="29"/>
      <c r="U215" s="29"/>
      <c r="V215" s="29"/>
      <c r="W215" s="29" t="s">
        <v>67</v>
      </c>
      <c r="X215" s="29"/>
      <c r="Y215" s="29"/>
      <c r="Z215" s="29"/>
      <c r="AA215" s="29"/>
      <c r="AB215" s="29" t="s">
        <v>1752</v>
      </c>
      <c r="AC215" s="136">
        <v>43867</v>
      </c>
      <c r="AD215" s="29" t="s">
        <v>1078</v>
      </c>
      <c r="AE215" s="34" t="e">
        <f>VLOOKUP(F215,Stakeholders!E:K,7,0)</f>
        <v>#N/A</v>
      </c>
      <c r="AF215" s="29"/>
      <c r="AG215" s="29"/>
      <c r="AH215" s="34" t="s">
        <v>82</v>
      </c>
      <c r="AI215" s="29"/>
      <c r="AJ215" s="29"/>
      <c r="AK215" s="29"/>
      <c r="AL215" s="29"/>
      <c r="AM215" s="29"/>
      <c r="AN215" s="29"/>
      <c r="AO215" s="29"/>
      <c r="AP215" s="29"/>
      <c r="AQ215" s="29"/>
      <c r="AR215" s="29"/>
      <c r="AS215" s="29"/>
      <c r="AT215" s="29"/>
      <c r="AU215" s="29"/>
      <c r="AV215" s="29"/>
      <c r="AW215" s="29"/>
    </row>
    <row r="216" spans="1:49" ht="13">
      <c r="A216" s="132">
        <v>2016</v>
      </c>
      <c r="B216" s="12" t="s">
        <v>8</v>
      </c>
      <c r="C216" s="14" t="s">
        <v>52</v>
      </c>
      <c r="D216" s="14" t="s">
        <v>1808</v>
      </c>
      <c r="E216" s="14" t="e">
        <v>#N/A</v>
      </c>
      <c r="F216" s="14"/>
      <c r="G216" s="14">
        <f>COUNTIF(Stakeholders!$E$2:$E960,F216)</f>
        <v>0</v>
      </c>
      <c r="H216" s="14" t="s">
        <v>1842</v>
      </c>
      <c r="I216" s="152" t="s">
        <v>1843</v>
      </c>
      <c r="J216" s="14" t="s">
        <v>67</v>
      </c>
      <c r="K216" s="14"/>
      <c r="L216" s="14"/>
      <c r="M216" s="14"/>
      <c r="N216" s="14"/>
      <c r="O216" s="14"/>
      <c r="P216" s="14"/>
      <c r="Q216" s="14"/>
      <c r="R216" s="14"/>
      <c r="S216" s="14"/>
      <c r="T216" s="14"/>
      <c r="U216" s="14"/>
      <c r="V216" s="14"/>
      <c r="W216" s="14" t="s">
        <v>67</v>
      </c>
      <c r="X216" s="14"/>
      <c r="Y216" s="14"/>
      <c r="Z216" s="14"/>
      <c r="AA216" s="14"/>
      <c r="AB216" s="14" t="s">
        <v>1752</v>
      </c>
      <c r="AC216" s="135">
        <v>43868</v>
      </c>
      <c r="AD216" s="14" t="s">
        <v>695</v>
      </c>
      <c r="AE216" s="24" t="e">
        <f>VLOOKUP(F216,Stakeholders!E:K,7,0)</f>
        <v>#N/A</v>
      </c>
      <c r="AF216" s="14"/>
      <c r="AG216" s="14"/>
      <c r="AH216" s="24" t="s">
        <v>82</v>
      </c>
      <c r="AI216" s="14"/>
      <c r="AJ216" s="14"/>
      <c r="AK216" s="14"/>
      <c r="AL216" s="14"/>
      <c r="AM216" s="14"/>
      <c r="AN216" s="14"/>
      <c r="AO216" s="14"/>
      <c r="AP216" s="14"/>
      <c r="AQ216" s="14"/>
      <c r="AR216" s="14"/>
      <c r="AS216" s="14"/>
      <c r="AT216" s="14"/>
      <c r="AU216" s="14"/>
      <c r="AV216" s="14"/>
      <c r="AW216" s="14"/>
    </row>
    <row r="217" spans="1:49" ht="13">
      <c r="A217" s="133">
        <v>2017</v>
      </c>
      <c r="B217" s="22" t="s">
        <v>8</v>
      </c>
      <c r="C217" s="29" t="s">
        <v>52</v>
      </c>
      <c r="D217" s="29" t="s">
        <v>1808</v>
      </c>
      <c r="E217" s="29" t="e">
        <v>#N/A</v>
      </c>
      <c r="F217" s="29"/>
      <c r="G217" s="29">
        <f>COUNTIF(Stakeholders!$E$2:$E960,F217)</f>
        <v>0</v>
      </c>
      <c r="H217" s="29" t="s">
        <v>1844</v>
      </c>
      <c r="I217" s="151" t="s">
        <v>1845</v>
      </c>
      <c r="J217" s="29" t="s">
        <v>67</v>
      </c>
      <c r="K217" s="29"/>
      <c r="L217" s="29"/>
      <c r="M217" s="29"/>
      <c r="N217" s="29"/>
      <c r="O217" s="29"/>
      <c r="P217" s="29"/>
      <c r="Q217" s="29"/>
      <c r="R217" s="29"/>
      <c r="S217" s="29"/>
      <c r="T217" s="29"/>
      <c r="U217" s="29"/>
      <c r="V217" s="29"/>
      <c r="W217" s="29" t="s">
        <v>67</v>
      </c>
      <c r="X217" s="29"/>
      <c r="Y217" s="29"/>
      <c r="Z217" s="29"/>
      <c r="AA217" s="29"/>
      <c r="AB217" s="29" t="s">
        <v>1752</v>
      </c>
      <c r="AC217" s="136">
        <v>43869</v>
      </c>
      <c r="AD217" s="29" t="s">
        <v>696</v>
      </c>
      <c r="AE217" s="34" t="e">
        <f>VLOOKUP(F217,Stakeholders!E:K,7,0)</f>
        <v>#N/A</v>
      </c>
      <c r="AF217" s="29"/>
      <c r="AG217" s="29"/>
      <c r="AH217" s="34" t="s">
        <v>82</v>
      </c>
      <c r="AI217" s="29"/>
      <c r="AJ217" s="29"/>
      <c r="AK217" s="29"/>
      <c r="AL217" s="29"/>
      <c r="AM217" s="29"/>
      <c r="AN217" s="29"/>
      <c r="AO217" s="29"/>
      <c r="AP217" s="29"/>
      <c r="AQ217" s="29"/>
      <c r="AR217" s="29"/>
      <c r="AS217" s="29"/>
      <c r="AT217" s="29"/>
      <c r="AU217" s="29"/>
      <c r="AV217" s="29"/>
      <c r="AW217" s="29"/>
    </row>
    <row r="218" spans="1:49" ht="13">
      <c r="A218" s="132">
        <v>2018</v>
      </c>
      <c r="B218" s="12" t="s">
        <v>8</v>
      </c>
      <c r="C218" s="14" t="s">
        <v>52</v>
      </c>
      <c r="D218" s="14" t="s">
        <v>1846</v>
      </c>
      <c r="E218" s="14" t="e">
        <v>#N/A</v>
      </c>
      <c r="F218" s="14"/>
      <c r="G218" s="14">
        <f>COUNTIF(Stakeholders!$E$2:$E960,F218)</f>
        <v>0</v>
      </c>
      <c r="H218" s="14" t="s">
        <v>1847</v>
      </c>
      <c r="I218" s="152" t="s">
        <v>1848</v>
      </c>
      <c r="J218" s="14" t="s">
        <v>67</v>
      </c>
      <c r="K218" s="14"/>
      <c r="L218" s="14"/>
      <c r="M218" s="14"/>
      <c r="N218" s="14"/>
      <c r="O218" s="14"/>
      <c r="P218" s="14"/>
      <c r="Q218" s="14"/>
      <c r="R218" s="14"/>
      <c r="S218" s="14"/>
      <c r="T218" s="14"/>
      <c r="U218" s="14"/>
      <c r="V218" s="14"/>
      <c r="W218" s="14" t="s">
        <v>67</v>
      </c>
      <c r="X218" s="14"/>
      <c r="Y218" s="14"/>
      <c r="Z218" s="14"/>
      <c r="AA218" s="14"/>
      <c r="AB218" s="14" t="s">
        <v>1752</v>
      </c>
      <c r="AC218" s="135">
        <v>43870</v>
      </c>
      <c r="AD218" s="14" t="s">
        <v>1079</v>
      </c>
      <c r="AE218" s="24" t="e">
        <f>VLOOKUP(F218,Stakeholders!E:K,7,0)</f>
        <v>#N/A</v>
      </c>
      <c r="AF218" s="14"/>
      <c r="AG218" s="14"/>
      <c r="AH218" s="24" t="s">
        <v>82</v>
      </c>
      <c r="AI218" s="14"/>
      <c r="AJ218" s="14"/>
      <c r="AK218" s="14"/>
      <c r="AL218" s="14"/>
      <c r="AM218" s="14"/>
      <c r="AN218" s="14"/>
      <c r="AO218" s="14"/>
      <c r="AP218" s="14"/>
      <c r="AQ218" s="14"/>
      <c r="AR218" s="14"/>
      <c r="AS218" s="14"/>
      <c r="AT218" s="14"/>
      <c r="AU218" s="14"/>
      <c r="AV218" s="14"/>
      <c r="AW218" s="14"/>
    </row>
    <row r="219" spans="1:49" ht="13">
      <c r="A219" s="133">
        <v>2018</v>
      </c>
      <c r="B219" s="22" t="s">
        <v>8</v>
      </c>
      <c r="C219" s="29" t="s">
        <v>52</v>
      </c>
      <c r="D219" s="29" t="s">
        <v>1808</v>
      </c>
      <c r="E219" s="29" t="e">
        <v>#N/A</v>
      </c>
      <c r="F219" s="29"/>
      <c r="G219" s="29">
        <f>COUNTIF(Stakeholders!$E$2:$E960,F219)</f>
        <v>0</v>
      </c>
      <c r="H219" s="29" t="s">
        <v>1849</v>
      </c>
      <c r="I219" s="151" t="s">
        <v>1850</v>
      </c>
      <c r="J219" s="29" t="s">
        <v>67</v>
      </c>
      <c r="K219" s="29"/>
      <c r="L219" s="29"/>
      <c r="M219" s="29"/>
      <c r="N219" s="29"/>
      <c r="O219" s="29"/>
      <c r="P219" s="29"/>
      <c r="Q219" s="29"/>
      <c r="R219" s="29"/>
      <c r="S219" s="29"/>
      <c r="T219" s="29"/>
      <c r="U219" s="29"/>
      <c r="V219" s="29"/>
      <c r="W219" s="29" t="s">
        <v>67</v>
      </c>
      <c r="X219" s="29"/>
      <c r="Y219" s="29"/>
      <c r="Z219" s="29"/>
      <c r="AA219" s="29"/>
      <c r="AB219" s="29" t="s">
        <v>1752</v>
      </c>
      <c r="AC219" s="136">
        <v>43871</v>
      </c>
      <c r="AD219" s="29" t="s">
        <v>1080</v>
      </c>
      <c r="AE219" s="34" t="e">
        <f>VLOOKUP(F219,Stakeholders!E:K,7,0)</f>
        <v>#N/A</v>
      </c>
      <c r="AF219" s="29"/>
      <c r="AG219" s="29"/>
      <c r="AH219" s="34" t="s">
        <v>82</v>
      </c>
      <c r="AI219" s="29"/>
      <c r="AJ219" s="29"/>
      <c r="AK219" s="29"/>
      <c r="AL219" s="29"/>
      <c r="AM219" s="29"/>
      <c r="AN219" s="29"/>
      <c r="AO219" s="29"/>
      <c r="AP219" s="29"/>
      <c r="AQ219" s="29"/>
      <c r="AR219" s="29"/>
      <c r="AS219" s="29"/>
      <c r="AT219" s="29"/>
      <c r="AU219" s="29"/>
      <c r="AV219" s="29"/>
      <c r="AW219" s="29"/>
    </row>
    <row r="220" spans="1:49" ht="13">
      <c r="A220" s="132">
        <v>2007</v>
      </c>
      <c r="B220" s="12" t="s">
        <v>8</v>
      </c>
      <c r="C220" s="14" t="s">
        <v>61</v>
      </c>
      <c r="D220" s="14" t="s">
        <v>1851</v>
      </c>
      <c r="E220" s="14" t="e">
        <v>#N/A</v>
      </c>
      <c r="F220" s="14"/>
      <c r="G220" s="14">
        <f>COUNTIF(Stakeholders!$E$2:$E960,F220)</f>
        <v>0</v>
      </c>
      <c r="H220" s="14" t="s">
        <v>1852</v>
      </c>
      <c r="I220" s="152" t="s">
        <v>1853</v>
      </c>
      <c r="J220" s="14" t="s">
        <v>67</v>
      </c>
      <c r="K220" s="14"/>
      <c r="L220" s="14"/>
      <c r="M220" s="14"/>
      <c r="N220" s="14"/>
      <c r="O220" s="14"/>
      <c r="P220" s="14"/>
      <c r="Q220" s="14"/>
      <c r="R220" s="14"/>
      <c r="S220" s="14"/>
      <c r="T220" s="14"/>
      <c r="U220" s="14"/>
      <c r="V220" s="14"/>
      <c r="W220" s="14" t="s">
        <v>67</v>
      </c>
      <c r="X220" s="14"/>
      <c r="Y220" s="14"/>
      <c r="Z220" s="14"/>
      <c r="AA220" s="14"/>
      <c r="AB220" s="14" t="s">
        <v>1752</v>
      </c>
      <c r="AC220" s="135">
        <v>43872</v>
      </c>
      <c r="AD220" s="14" t="s">
        <v>1081</v>
      </c>
      <c r="AE220" s="24" t="e">
        <f>VLOOKUP(F220,Stakeholders!E:K,7,0)</f>
        <v>#N/A</v>
      </c>
      <c r="AF220" s="14"/>
      <c r="AG220" s="14"/>
      <c r="AH220" s="24" t="s">
        <v>82</v>
      </c>
      <c r="AI220" s="14"/>
      <c r="AJ220" s="14"/>
      <c r="AK220" s="14"/>
      <c r="AL220" s="14"/>
      <c r="AM220" s="14"/>
      <c r="AN220" s="14"/>
      <c r="AO220" s="14"/>
      <c r="AP220" s="14"/>
      <c r="AQ220" s="14"/>
      <c r="AR220" s="14"/>
      <c r="AS220" s="14"/>
      <c r="AT220" s="14"/>
      <c r="AU220" s="14"/>
      <c r="AV220" s="14"/>
      <c r="AW220" s="14"/>
    </row>
    <row r="221" spans="1:49" ht="13">
      <c r="A221" s="133">
        <v>2009</v>
      </c>
      <c r="B221" s="22" t="s">
        <v>8</v>
      </c>
      <c r="C221" s="29" t="s">
        <v>606</v>
      </c>
      <c r="D221" s="29" t="s">
        <v>1851</v>
      </c>
      <c r="E221" s="29" t="e">
        <v>#N/A</v>
      </c>
      <c r="F221" s="29"/>
      <c r="G221" s="29">
        <f>COUNTIF(Stakeholders!$E$2:$E960,F221)</f>
        <v>0</v>
      </c>
      <c r="H221" s="29" t="s">
        <v>1854</v>
      </c>
      <c r="I221" s="151" t="s">
        <v>1855</v>
      </c>
      <c r="J221" s="29" t="s">
        <v>67</v>
      </c>
      <c r="K221" s="29"/>
      <c r="L221" s="29"/>
      <c r="M221" s="29"/>
      <c r="N221" s="29"/>
      <c r="O221" s="29"/>
      <c r="P221" s="29"/>
      <c r="Q221" s="29"/>
      <c r="R221" s="29"/>
      <c r="S221" s="29"/>
      <c r="T221" s="29"/>
      <c r="U221" s="29"/>
      <c r="V221" s="29"/>
      <c r="W221" s="29" t="s">
        <v>67</v>
      </c>
      <c r="X221" s="29"/>
      <c r="Y221" s="29"/>
      <c r="Z221" s="29"/>
      <c r="AA221" s="29"/>
      <c r="AB221" s="29" t="s">
        <v>1752</v>
      </c>
      <c r="AC221" s="136">
        <v>43873</v>
      </c>
      <c r="AD221" s="29" t="s">
        <v>1083</v>
      </c>
      <c r="AE221" s="34" t="e">
        <f>VLOOKUP(F221,Stakeholders!E:K,7,0)</f>
        <v>#N/A</v>
      </c>
      <c r="AF221" s="29"/>
      <c r="AG221" s="29"/>
      <c r="AH221" s="34" t="s">
        <v>82</v>
      </c>
      <c r="AI221" s="29"/>
      <c r="AJ221" s="29"/>
      <c r="AK221" s="29"/>
      <c r="AL221" s="29"/>
      <c r="AM221" s="29"/>
      <c r="AN221" s="29"/>
      <c r="AO221" s="29"/>
      <c r="AP221" s="29"/>
      <c r="AQ221" s="29"/>
      <c r="AR221" s="29"/>
      <c r="AS221" s="29"/>
      <c r="AT221" s="29"/>
      <c r="AU221" s="29"/>
      <c r="AV221" s="29"/>
      <c r="AW221" s="29"/>
    </row>
    <row r="222" spans="1:49" ht="13">
      <c r="A222" s="132">
        <v>2014</v>
      </c>
      <c r="B222" s="12" t="s">
        <v>8</v>
      </c>
      <c r="C222" s="14" t="s">
        <v>61</v>
      </c>
      <c r="D222" s="14" t="s">
        <v>1851</v>
      </c>
      <c r="E222" s="14" t="e">
        <v>#N/A</v>
      </c>
      <c r="F222" s="14"/>
      <c r="G222" s="14">
        <f>COUNTIF(Stakeholders!$E$2:$E960,F222)</f>
        <v>0</v>
      </c>
      <c r="H222" s="14" t="s">
        <v>1856</v>
      </c>
      <c r="I222" s="152" t="s">
        <v>1857</v>
      </c>
      <c r="J222" s="14" t="s">
        <v>67</v>
      </c>
      <c r="K222" s="14"/>
      <c r="L222" s="14"/>
      <c r="M222" s="14"/>
      <c r="N222" s="14"/>
      <c r="O222" s="14"/>
      <c r="P222" s="14"/>
      <c r="Q222" s="14"/>
      <c r="R222" s="14"/>
      <c r="S222" s="14"/>
      <c r="T222" s="14"/>
      <c r="U222" s="14"/>
      <c r="V222" s="14"/>
      <c r="W222" s="14" t="s">
        <v>67</v>
      </c>
      <c r="X222" s="14"/>
      <c r="Y222" s="14"/>
      <c r="Z222" s="14"/>
      <c r="AA222" s="14"/>
      <c r="AB222" s="14" t="s">
        <v>1752</v>
      </c>
      <c r="AC222" s="135">
        <v>43874</v>
      </c>
      <c r="AD222" s="14" t="s">
        <v>1087</v>
      </c>
      <c r="AE222" s="24" t="e">
        <f>VLOOKUP(F222,Stakeholders!E:K,7,0)</f>
        <v>#N/A</v>
      </c>
      <c r="AF222" s="14"/>
      <c r="AG222" s="14"/>
      <c r="AH222" s="24" t="s">
        <v>82</v>
      </c>
      <c r="AI222" s="14"/>
      <c r="AJ222" s="14"/>
      <c r="AK222" s="14"/>
      <c r="AL222" s="14"/>
      <c r="AM222" s="14"/>
      <c r="AN222" s="14"/>
      <c r="AO222" s="14"/>
      <c r="AP222" s="14"/>
      <c r="AQ222" s="14"/>
      <c r="AR222" s="14"/>
      <c r="AS222" s="14"/>
      <c r="AT222" s="14"/>
      <c r="AU222" s="14"/>
      <c r="AV222" s="14"/>
      <c r="AW222" s="14"/>
    </row>
    <row r="223" spans="1:49" ht="13">
      <c r="A223" s="133">
        <v>2015</v>
      </c>
      <c r="B223" s="22" t="s">
        <v>8</v>
      </c>
      <c r="C223" s="29" t="s">
        <v>1858</v>
      </c>
      <c r="D223" s="29" t="s">
        <v>1851</v>
      </c>
      <c r="E223" s="29" t="e">
        <v>#N/A</v>
      </c>
      <c r="F223" s="29"/>
      <c r="G223" s="29">
        <f>COUNTIF(Stakeholders!$E$2:$E960,F223)</f>
        <v>0</v>
      </c>
      <c r="H223" s="29" t="s">
        <v>1859</v>
      </c>
      <c r="I223" s="151" t="s">
        <v>1860</v>
      </c>
      <c r="J223" s="29" t="s">
        <v>67</v>
      </c>
      <c r="K223" s="29"/>
      <c r="L223" s="29"/>
      <c r="M223" s="29"/>
      <c r="N223" s="29"/>
      <c r="O223" s="29"/>
      <c r="P223" s="29"/>
      <c r="Q223" s="29"/>
      <c r="R223" s="29"/>
      <c r="S223" s="29"/>
      <c r="T223" s="29"/>
      <c r="U223" s="29"/>
      <c r="V223" s="29"/>
      <c r="W223" s="29" t="s">
        <v>67</v>
      </c>
      <c r="X223" s="29"/>
      <c r="Y223" s="29"/>
      <c r="Z223" s="29"/>
      <c r="AA223" s="29"/>
      <c r="AB223" s="29" t="s">
        <v>1752</v>
      </c>
      <c r="AC223" s="136">
        <v>43875</v>
      </c>
      <c r="AD223" s="29" t="s">
        <v>1088</v>
      </c>
      <c r="AE223" s="34" t="e">
        <f>VLOOKUP(F223,Stakeholders!E:K,7,0)</f>
        <v>#N/A</v>
      </c>
      <c r="AF223" s="29"/>
      <c r="AG223" s="29"/>
      <c r="AH223" s="34" t="s">
        <v>82</v>
      </c>
      <c r="AI223" s="29"/>
      <c r="AJ223" s="29"/>
      <c r="AK223" s="29"/>
      <c r="AL223" s="29"/>
      <c r="AM223" s="29"/>
      <c r="AN223" s="29"/>
      <c r="AO223" s="29"/>
      <c r="AP223" s="29"/>
      <c r="AQ223" s="29"/>
      <c r="AR223" s="29"/>
      <c r="AS223" s="29"/>
      <c r="AT223" s="29"/>
      <c r="AU223" s="29"/>
      <c r="AV223" s="29"/>
      <c r="AW223" s="29"/>
    </row>
    <row r="224" spans="1:49" ht="13">
      <c r="A224" s="132">
        <v>2016</v>
      </c>
      <c r="B224" s="12" t="s">
        <v>8</v>
      </c>
      <c r="C224" s="14" t="s">
        <v>61</v>
      </c>
      <c r="D224" s="14" t="s">
        <v>1851</v>
      </c>
      <c r="E224" s="14" t="e">
        <v>#N/A</v>
      </c>
      <c r="F224" s="14"/>
      <c r="G224" s="14">
        <f>COUNTIF(Stakeholders!$E$2:$E960,F224)</f>
        <v>0</v>
      </c>
      <c r="H224" s="14" t="s">
        <v>1861</v>
      </c>
      <c r="I224" s="152" t="s">
        <v>1862</v>
      </c>
      <c r="J224" s="14" t="s">
        <v>67</v>
      </c>
      <c r="K224" s="14"/>
      <c r="L224" s="14"/>
      <c r="M224" s="14"/>
      <c r="N224" s="14"/>
      <c r="O224" s="14"/>
      <c r="P224" s="14"/>
      <c r="Q224" s="14"/>
      <c r="R224" s="14"/>
      <c r="S224" s="14"/>
      <c r="T224" s="14"/>
      <c r="U224" s="14"/>
      <c r="V224" s="14"/>
      <c r="W224" s="14" t="s">
        <v>67</v>
      </c>
      <c r="X224" s="14"/>
      <c r="Y224" s="14"/>
      <c r="Z224" s="14"/>
      <c r="AA224" s="14"/>
      <c r="AB224" s="14" t="s">
        <v>1752</v>
      </c>
      <c r="AC224" s="135">
        <v>43876</v>
      </c>
      <c r="AD224" s="14" t="s">
        <v>1089</v>
      </c>
      <c r="AE224" s="24" t="e">
        <f>VLOOKUP(F224,Stakeholders!E:K,7,0)</f>
        <v>#N/A</v>
      </c>
      <c r="AF224" s="14"/>
      <c r="AG224" s="14"/>
      <c r="AH224" s="24" t="s">
        <v>82</v>
      </c>
      <c r="AI224" s="14"/>
      <c r="AJ224" s="14"/>
      <c r="AK224" s="14"/>
      <c r="AL224" s="14"/>
      <c r="AM224" s="14"/>
      <c r="AN224" s="14"/>
      <c r="AO224" s="14"/>
      <c r="AP224" s="14"/>
      <c r="AQ224" s="14"/>
      <c r="AR224" s="14"/>
      <c r="AS224" s="14"/>
      <c r="AT224" s="14"/>
      <c r="AU224" s="14"/>
      <c r="AV224" s="14"/>
      <c r="AW224" s="14"/>
    </row>
    <row r="225" spans="1:49" ht="13">
      <c r="A225" s="133">
        <v>2018</v>
      </c>
      <c r="B225" s="22" t="s">
        <v>8</v>
      </c>
      <c r="C225" s="29" t="s">
        <v>61</v>
      </c>
      <c r="D225" s="29" t="s">
        <v>1851</v>
      </c>
      <c r="E225" s="29" t="e">
        <v>#N/A</v>
      </c>
      <c r="F225" s="29"/>
      <c r="G225" s="29">
        <f>COUNTIF(Stakeholders!$E$2:$E960,F225)</f>
        <v>0</v>
      </c>
      <c r="H225" s="29" t="s">
        <v>1863</v>
      </c>
      <c r="I225" s="151" t="s">
        <v>1864</v>
      </c>
      <c r="J225" s="29" t="s">
        <v>67</v>
      </c>
      <c r="K225" s="29"/>
      <c r="L225" s="29"/>
      <c r="M225" s="29"/>
      <c r="N225" s="29"/>
      <c r="O225" s="29"/>
      <c r="P225" s="29"/>
      <c r="Q225" s="29"/>
      <c r="R225" s="29"/>
      <c r="S225" s="29"/>
      <c r="T225" s="29"/>
      <c r="U225" s="29"/>
      <c r="V225" s="29"/>
      <c r="W225" s="29" t="s">
        <v>67</v>
      </c>
      <c r="X225" s="29"/>
      <c r="Y225" s="29"/>
      <c r="Z225" s="29"/>
      <c r="AA225" s="29"/>
      <c r="AB225" s="29" t="s">
        <v>1752</v>
      </c>
      <c r="AC225" s="136">
        <v>43877</v>
      </c>
      <c r="AD225" s="29" t="s">
        <v>1090</v>
      </c>
      <c r="AE225" s="34" t="e">
        <f>VLOOKUP(F225,Stakeholders!E:K,7,0)</f>
        <v>#N/A</v>
      </c>
      <c r="AF225" s="29"/>
      <c r="AG225" s="29"/>
      <c r="AH225" s="34" t="s">
        <v>82</v>
      </c>
      <c r="AI225" s="29"/>
      <c r="AJ225" s="29"/>
      <c r="AK225" s="29"/>
      <c r="AL225" s="29"/>
      <c r="AM225" s="29"/>
      <c r="AN225" s="29"/>
      <c r="AO225" s="29"/>
      <c r="AP225" s="29"/>
      <c r="AQ225" s="29"/>
      <c r="AR225" s="29"/>
      <c r="AS225" s="29"/>
      <c r="AT225" s="29"/>
      <c r="AU225" s="29"/>
      <c r="AV225" s="29"/>
      <c r="AW225" s="29"/>
    </row>
    <row r="226" spans="1:49" ht="13">
      <c r="A226" s="132">
        <v>2018</v>
      </c>
      <c r="B226" s="12" t="s">
        <v>8</v>
      </c>
      <c r="C226" s="14" t="s">
        <v>61</v>
      </c>
      <c r="D226" s="14" t="s">
        <v>1851</v>
      </c>
      <c r="E226" s="14" t="e">
        <v>#N/A</v>
      </c>
      <c r="F226" s="14"/>
      <c r="G226" s="14">
        <f>COUNTIF(Stakeholders!$E$2:$E960,F226)</f>
        <v>0</v>
      </c>
      <c r="H226" s="14" t="s">
        <v>1865</v>
      </c>
      <c r="I226" s="152" t="s">
        <v>1866</v>
      </c>
      <c r="J226" s="14" t="s">
        <v>67</v>
      </c>
      <c r="K226" s="14"/>
      <c r="L226" s="14"/>
      <c r="M226" s="14"/>
      <c r="N226" s="14"/>
      <c r="O226" s="14"/>
      <c r="P226" s="14"/>
      <c r="Q226" s="14"/>
      <c r="R226" s="14"/>
      <c r="S226" s="14"/>
      <c r="T226" s="14"/>
      <c r="U226" s="14"/>
      <c r="V226" s="14"/>
      <c r="W226" s="14" t="s">
        <v>67</v>
      </c>
      <c r="X226" s="14"/>
      <c r="Y226" s="14"/>
      <c r="Z226" s="14"/>
      <c r="AA226" s="14"/>
      <c r="AB226" s="14" t="s">
        <v>1752</v>
      </c>
      <c r="AC226" s="135">
        <v>43878</v>
      </c>
      <c r="AD226" s="14" t="s">
        <v>1091</v>
      </c>
      <c r="AE226" s="24" t="e">
        <f>VLOOKUP(F226,Stakeholders!E:K,7,0)</f>
        <v>#N/A</v>
      </c>
      <c r="AF226" s="14"/>
      <c r="AG226" s="14"/>
      <c r="AH226" s="24" t="s">
        <v>82</v>
      </c>
      <c r="AI226" s="14"/>
      <c r="AJ226" s="14"/>
      <c r="AK226" s="14"/>
      <c r="AL226" s="14"/>
      <c r="AM226" s="14"/>
      <c r="AN226" s="14"/>
      <c r="AO226" s="14"/>
      <c r="AP226" s="14"/>
      <c r="AQ226" s="14"/>
      <c r="AR226" s="14"/>
      <c r="AS226" s="14"/>
      <c r="AT226" s="14"/>
      <c r="AU226" s="14"/>
      <c r="AV226" s="14"/>
      <c r="AW226" s="14"/>
    </row>
    <row r="227" spans="1:49" ht="13">
      <c r="A227" s="133">
        <v>2014</v>
      </c>
      <c r="B227" s="22" t="s">
        <v>8</v>
      </c>
      <c r="C227" s="29" t="s">
        <v>607</v>
      </c>
      <c r="D227" s="29" t="s">
        <v>1867</v>
      </c>
      <c r="E227" s="29" t="e">
        <v>#N/A</v>
      </c>
      <c r="F227" s="29"/>
      <c r="G227" s="29">
        <f>COUNTIF(Stakeholders!$E$2:$E960,F227)</f>
        <v>0</v>
      </c>
      <c r="H227" s="29" t="s">
        <v>1868</v>
      </c>
      <c r="I227" s="151" t="s">
        <v>1869</v>
      </c>
      <c r="J227" s="29" t="s">
        <v>67</v>
      </c>
      <c r="K227" s="29"/>
      <c r="L227" s="29"/>
      <c r="M227" s="29"/>
      <c r="N227" s="29"/>
      <c r="O227" s="29"/>
      <c r="P227" s="29"/>
      <c r="Q227" s="29"/>
      <c r="R227" s="29"/>
      <c r="S227" s="29"/>
      <c r="T227" s="29"/>
      <c r="U227" s="29"/>
      <c r="V227" s="29"/>
      <c r="W227" s="29" t="s">
        <v>67</v>
      </c>
      <c r="X227" s="29"/>
      <c r="Y227" s="29"/>
      <c r="Z227" s="29"/>
      <c r="AA227" s="29"/>
      <c r="AB227" s="29" t="s">
        <v>1752</v>
      </c>
      <c r="AC227" s="136">
        <v>43879</v>
      </c>
      <c r="AD227" s="29" t="s">
        <v>1092</v>
      </c>
      <c r="AE227" s="34" t="e">
        <f>VLOOKUP(F227,Stakeholders!E:K,7,0)</f>
        <v>#N/A</v>
      </c>
      <c r="AF227" s="29"/>
      <c r="AG227" s="29"/>
      <c r="AH227" s="34" t="s">
        <v>82</v>
      </c>
      <c r="AI227" s="29"/>
      <c r="AJ227" s="29"/>
      <c r="AK227" s="29"/>
      <c r="AL227" s="29"/>
      <c r="AM227" s="29"/>
      <c r="AN227" s="29"/>
      <c r="AO227" s="29"/>
      <c r="AP227" s="29"/>
      <c r="AQ227" s="29"/>
      <c r="AR227" s="29"/>
      <c r="AS227" s="29"/>
      <c r="AT227" s="29"/>
      <c r="AU227" s="29"/>
      <c r="AV227" s="29"/>
      <c r="AW227" s="29"/>
    </row>
    <row r="228" spans="1:49" ht="13">
      <c r="A228" s="132">
        <v>2015</v>
      </c>
      <c r="B228" s="12" t="s">
        <v>8</v>
      </c>
      <c r="C228" s="14" t="s">
        <v>1870</v>
      </c>
      <c r="D228" s="14" t="s">
        <v>1867</v>
      </c>
      <c r="E228" s="14" t="e">
        <v>#N/A</v>
      </c>
      <c r="F228" s="14"/>
      <c r="G228" s="14">
        <f>COUNTIF(Stakeholders!$E$2:$E960,F228)</f>
        <v>0</v>
      </c>
      <c r="H228" s="14" t="s">
        <v>1871</v>
      </c>
      <c r="I228" s="152" t="s">
        <v>1872</v>
      </c>
      <c r="J228" s="14" t="s">
        <v>67</v>
      </c>
      <c r="K228" s="14"/>
      <c r="L228" s="14"/>
      <c r="M228" s="14"/>
      <c r="N228" s="14"/>
      <c r="O228" s="14"/>
      <c r="P228" s="14"/>
      <c r="Q228" s="14"/>
      <c r="R228" s="14"/>
      <c r="S228" s="14"/>
      <c r="T228" s="14"/>
      <c r="U228" s="14"/>
      <c r="V228" s="14"/>
      <c r="W228" s="14" t="s">
        <v>67</v>
      </c>
      <c r="X228" s="14"/>
      <c r="Y228" s="14"/>
      <c r="Z228" s="14"/>
      <c r="AA228" s="14"/>
      <c r="AB228" s="14" t="s">
        <v>1752</v>
      </c>
      <c r="AC228" s="135">
        <v>43880</v>
      </c>
      <c r="AD228" s="14" t="s">
        <v>1093</v>
      </c>
      <c r="AE228" s="24" t="e">
        <f>VLOOKUP(F228,Stakeholders!E:K,7,0)</f>
        <v>#N/A</v>
      </c>
      <c r="AF228" s="14"/>
      <c r="AG228" s="14"/>
      <c r="AH228" s="24" t="s">
        <v>82</v>
      </c>
      <c r="AI228" s="14"/>
      <c r="AJ228" s="14"/>
      <c r="AK228" s="14"/>
      <c r="AL228" s="14"/>
      <c r="AM228" s="14"/>
      <c r="AN228" s="14"/>
      <c r="AO228" s="14"/>
      <c r="AP228" s="14"/>
      <c r="AQ228" s="14"/>
      <c r="AR228" s="14"/>
      <c r="AS228" s="14"/>
      <c r="AT228" s="14"/>
      <c r="AU228" s="14"/>
      <c r="AV228" s="14"/>
      <c r="AW228" s="14"/>
    </row>
    <row r="229" spans="1:49" ht="13">
      <c r="A229" s="133">
        <v>2005</v>
      </c>
      <c r="B229" s="22" t="s">
        <v>8</v>
      </c>
      <c r="C229" s="29" t="s">
        <v>607</v>
      </c>
      <c r="D229" s="29" t="s">
        <v>1873</v>
      </c>
      <c r="E229" s="29" t="e">
        <v>#N/A</v>
      </c>
      <c r="F229" s="29"/>
      <c r="G229" s="29">
        <f>COUNTIF(Stakeholders!$E$2:$E960,F229)</f>
        <v>0</v>
      </c>
      <c r="H229" s="29" t="s">
        <v>1874</v>
      </c>
      <c r="I229" s="151" t="s">
        <v>1875</v>
      </c>
      <c r="J229" s="29" t="s">
        <v>67</v>
      </c>
      <c r="K229" s="29"/>
      <c r="L229" s="29"/>
      <c r="M229" s="29"/>
      <c r="N229" s="29"/>
      <c r="O229" s="29"/>
      <c r="P229" s="29"/>
      <c r="Q229" s="29"/>
      <c r="R229" s="29"/>
      <c r="S229" s="29"/>
      <c r="T229" s="29"/>
      <c r="U229" s="29"/>
      <c r="V229" s="29"/>
      <c r="W229" s="29" t="s">
        <v>67</v>
      </c>
      <c r="X229" s="29"/>
      <c r="Y229" s="29"/>
      <c r="Z229" s="29"/>
      <c r="AA229" s="29"/>
      <c r="AB229" s="29" t="s">
        <v>1752</v>
      </c>
      <c r="AC229" s="136">
        <v>43881</v>
      </c>
      <c r="AD229" s="29" t="s">
        <v>1095</v>
      </c>
      <c r="AE229" s="34" t="e">
        <f>VLOOKUP(F229,Stakeholders!E:K,7,0)</f>
        <v>#N/A</v>
      </c>
      <c r="AF229" s="29"/>
      <c r="AG229" s="29"/>
      <c r="AH229" s="34" t="s">
        <v>82</v>
      </c>
      <c r="AI229" s="29"/>
      <c r="AJ229" s="29"/>
      <c r="AK229" s="29"/>
      <c r="AL229" s="29"/>
      <c r="AM229" s="29"/>
      <c r="AN229" s="29"/>
      <c r="AO229" s="29"/>
      <c r="AP229" s="29"/>
      <c r="AQ229" s="29"/>
      <c r="AR229" s="29"/>
      <c r="AS229" s="29"/>
      <c r="AT229" s="29"/>
      <c r="AU229" s="29"/>
      <c r="AV229" s="29"/>
      <c r="AW229" s="29"/>
    </row>
    <row r="230" spans="1:49" ht="13">
      <c r="A230" s="132">
        <v>2013</v>
      </c>
      <c r="B230" s="12" t="s">
        <v>8</v>
      </c>
      <c r="C230" s="14" t="s">
        <v>1873</v>
      </c>
      <c r="D230" s="14" t="s">
        <v>1873</v>
      </c>
      <c r="E230" s="14" t="e">
        <v>#N/A</v>
      </c>
      <c r="F230" s="14"/>
      <c r="G230" s="14">
        <f>COUNTIF(Stakeholders!$E$2:$E960,F230)</f>
        <v>0</v>
      </c>
      <c r="H230" s="14" t="s">
        <v>1876</v>
      </c>
      <c r="I230" s="152" t="s">
        <v>1877</v>
      </c>
      <c r="J230" s="14" t="s">
        <v>67</v>
      </c>
      <c r="K230" s="14"/>
      <c r="L230" s="14"/>
      <c r="M230" s="14"/>
      <c r="N230" s="14"/>
      <c r="O230" s="14"/>
      <c r="P230" s="14"/>
      <c r="Q230" s="14"/>
      <c r="R230" s="14"/>
      <c r="S230" s="14"/>
      <c r="T230" s="14"/>
      <c r="U230" s="14"/>
      <c r="V230" s="14"/>
      <c r="W230" s="14" t="s">
        <v>67</v>
      </c>
      <c r="X230" s="14"/>
      <c r="Y230" s="14"/>
      <c r="Z230" s="14"/>
      <c r="AA230" s="14"/>
      <c r="AB230" s="14" t="s">
        <v>1752</v>
      </c>
      <c r="AC230" s="135">
        <v>43882</v>
      </c>
      <c r="AD230" s="14" t="s">
        <v>1096</v>
      </c>
      <c r="AE230" s="24" t="e">
        <f>VLOOKUP(F230,Stakeholders!E:K,7,0)</f>
        <v>#N/A</v>
      </c>
      <c r="AF230" s="14"/>
      <c r="AG230" s="14"/>
      <c r="AH230" s="24" t="s">
        <v>82</v>
      </c>
      <c r="AI230" s="14"/>
      <c r="AJ230" s="14"/>
      <c r="AK230" s="14"/>
      <c r="AL230" s="14"/>
      <c r="AM230" s="14"/>
      <c r="AN230" s="14"/>
      <c r="AO230" s="14"/>
      <c r="AP230" s="14"/>
      <c r="AQ230" s="14"/>
      <c r="AR230" s="14"/>
      <c r="AS230" s="14"/>
      <c r="AT230" s="14"/>
      <c r="AU230" s="14"/>
      <c r="AV230" s="14"/>
      <c r="AW230" s="14"/>
    </row>
    <row r="231" spans="1:49" ht="13">
      <c r="A231" s="133">
        <v>2016</v>
      </c>
      <c r="B231" s="22" t="s">
        <v>8</v>
      </c>
      <c r="C231" s="29" t="s">
        <v>1873</v>
      </c>
      <c r="D231" s="29" t="s">
        <v>1873</v>
      </c>
      <c r="E231" s="29" t="e">
        <v>#N/A</v>
      </c>
      <c r="F231" s="29"/>
      <c r="G231" s="29">
        <f>COUNTIF(Stakeholders!$E$2:$E960,F231)</f>
        <v>0</v>
      </c>
      <c r="H231" s="29" t="s">
        <v>1878</v>
      </c>
      <c r="I231" s="151" t="s">
        <v>1879</v>
      </c>
      <c r="J231" s="29" t="s">
        <v>67</v>
      </c>
      <c r="K231" s="29"/>
      <c r="L231" s="29"/>
      <c r="M231" s="29"/>
      <c r="N231" s="29"/>
      <c r="O231" s="29"/>
      <c r="P231" s="29"/>
      <c r="Q231" s="29"/>
      <c r="R231" s="29"/>
      <c r="S231" s="29"/>
      <c r="T231" s="29"/>
      <c r="U231" s="29"/>
      <c r="V231" s="29"/>
      <c r="W231" s="29" t="s">
        <v>67</v>
      </c>
      <c r="X231" s="29"/>
      <c r="Y231" s="29"/>
      <c r="Z231" s="29"/>
      <c r="AA231" s="29"/>
      <c r="AB231" s="29" t="s">
        <v>1752</v>
      </c>
      <c r="AC231" s="136">
        <v>43883</v>
      </c>
      <c r="AD231" s="29" t="s">
        <v>1098</v>
      </c>
      <c r="AE231" s="34" t="e">
        <f>VLOOKUP(F231,Stakeholders!E:K,7,0)</f>
        <v>#N/A</v>
      </c>
      <c r="AF231" s="29"/>
      <c r="AG231" s="29"/>
      <c r="AH231" s="34" t="s">
        <v>82</v>
      </c>
      <c r="AI231" s="29"/>
      <c r="AJ231" s="29"/>
      <c r="AK231" s="29"/>
      <c r="AL231" s="29"/>
      <c r="AM231" s="29"/>
      <c r="AN231" s="29"/>
      <c r="AO231" s="29"/>
      <c r="AP231" s="29"/>
      <c r="AQ231" s="29"/>
      <c r="AR231" s="29"/>
      <c r="AS231" s="29"/>
      <c r="AT231" s="29"/>
      <c r="AU231" s="29"/>
      <c r="AV231" s="29"/>
      <c r="AW231" s="29"/>
    </row>
    <row r="232" spans="1:49" ht="13">
      <c r="A232" s="132">
        <v>2004</v>
      </c>
      <c r="B232" s="12" t="s">
        <v>8</v>
      </c>
      <c r="C232" s="14" t="s">
        <v>1880</v>
      </c>
      <c r="D232" s="14" t="s">
        <v>1880</v>
      </c>
      <c r="E232" s="14" t="e">
        <v>#N/A</v>
      </c>
      <c r="F232" s="14"/>
      <c r="G232" s="14">
        <f>COUNTIF(Stakeholders!$E$2:$E960,F232)</f>
        <v>0</v>
      </c>
      <c r="H232" s="14" t="s">
        <v>1881</v>
      </c>
      <c r="I232" s="152" t="s">
        <v>1882</v>
      </c>
      <c r="J232" s="14" t="s">
        <v>67</v>
      </c>
      <c r="K232" s="14"/>
      <c r="L232" s="14"/>
      <c r="M232" s="14"/>
      <c r="N232" s="14"/>
      <c r="O232" s="14"/>
      <c r="P232" s="14"/>
      <c r="Q232" s="14"/>
      <c r="R232" s="14"/>
      <c r="S232" s="14"/>
      <c r="T232" s="14"/>
      <c r="U232" s="14"/>
      <c r="V232" s="14"/>
      <c r="W232" s="14" t="s">
        <v>67</v>
      </c>
      <c r="X232" s="14"/>
      <c r="Y232" s="14"/>
      <c r="Z232" s="14"/>
      <c r="AA232" s="14"/>
      <c r="AB232" s="14" t="s">
        <v>1752</v>
      </c>
      <c r="AC232" s="135">
        <v>43884</v>
      </c>
      <c r="AD232" s="14" t="s">
        <v>1099</v>
      </c>
      <c r="AE232" s="24" t="e">
        <f>VLOOKUP(F232,Stakeholders!E:K,7,0)</f>
        <v>#N/A</v>
      </c>
      <c r="AF232" s="14"/>
      <c r="AG232" s="14"/>
      <c r="AH232" s="24" t="s">
        <v>82</v>
      </c>
      <c r="AI232" s="14"/>
      <c r="AJ232" s="14"/>
      <c r="AK232" s="14"/>
      <c r="AL232" s="14"/>
      <c r="AM232" s="14"/>
      <c r="AN232" s="14"/>
      <c r="AO232" s="14"/>
      <c r="AP232" s="14"/>
      <c r="AQ232" s="14"/>
      <c r="AR232" s="14"/>
      <c r="AS232" s="14"/>
      <c r="AT232" s="14"/>
      <c r="AU232" s="14"/>
      <c r="AV232" s="14"/>
      <c r="AW232" s="14"/>
    </row>
    <row r="233" spans="1:49" ht="13">
      <c r="A233" s="133">
        <v>2005</v>
      </c>
      <c r="B233" s="22" t="s">
        <v>8</v>
      </c>
      <c r="C233" s="29" t="s">
        <v>1880</v>
      </c>
      <c r="D233" s="29" t="s">
        <v>1880</v>
      </c>
      <c r="E233" s="29" t="e">
        <v>#N/A</v>
      </c>
      <c r="F233" s="29"/>
      <c r="G233" s="29">
        <f>COUNTIF(Stakeholders!$E$2:$E960,F233)</f>
        <v>0</v>
      </c>
      <c r="H233" s="29" t="s">
        <v>1883</v>
      </c>
      <c r="I233" s="151" t="s">
        <v>1884</v>
      </c>
      <c r="J233" s="29" t="s">
        <v>67</v>
      </c>
      <c r="K233" s="29"/>
      <c r="L233" s="29"/>
      <c r="M233" s="29"/>
      <c r="N233" s="29"/>
      <c r="O233" s="29"/>
      <c r="P233" s="29"/>
      <c r="Q233" s="29"/>
      <c r="R233" s="29"/>
      <c r="S233" s="29"/>
      <c r="T233" s="29"/>
      <c r="U233" s="29"/>
      <c r="V233" s="29"/>
      <c r="W233" s="29" t="s">
        <v>67</v>
      </c>
      <c r="X233" s="29"/>
      <c r="Y233" s="29"/>
      <c r="Z233" s="29"/>
      <c r="AA233" s="29"/>
      <c r="AB233" s="29" t="s">
        <v>1752</v>
      </c>
      <c r="AC233" s="136">
        <v>43885</v>
      </c>
      <c r="AD233" s="29" t="s">
        <v>1100</v>
      </c>
      <c r="AE233" s="34" t="e">
        <f>VLOOKUP(F233,Stakeholders!E:K,7,0)</f>
        <v>#N/A</v>
      </c>
      <c r="AF233" s="29"/>
      <c r="AG233" s="29"/>
      <c r="AH233" s="34" t="s">
        <v>82</v>
      </c>
      <c r="AI233" s="29"/>
      <c r="AJ233" s="29"/>
      <c r="AK233" s="29"/>
      <c r="AL233" s="29"/>
      <c r="AM233" s="29"/>
      <c r="AN233" s="29"/>
      <c r="AO233" s="29"/>
      <c r="AP233" s="29"/>
      <c r="AQ233" s="29"/>
      <c r="AR233" s="29"/>
      <c r="AS233" s="29"/>
      <c r="AT233" s="29"/>
      <c r="AU233" s="29"/>
      <c r="AV233" s="29"/>
      <c r="AW233" s="29"/>
    </row>
    <row r="234" spans="1:49" ht="13">
      <c r="A234" s="132">
        <v>2005</v>
      </c>
      <c r="B234" s="12" t="s">
        <v>8</v>
      </c>
      <c r="C234" s="14" t="s">
        <v>1880</v>
      </c>
      <c r="D234" s="14" t="s">
        <v>1880</v>
      </c>
      <c r="E234" s="14" t="e">
        <v>#N/A</v>
      </c>
      <c r="F234" s="14"/>
      <c r="G234" s="14">
        <f>COUNTIF(Stakeholders!$E$2:$E960,F234)</f>
        <v>0</v>
      </c>
      <c r="H234" s="14" t="s">
        <v>1885</v>
      </c>
      <c r="I234" s="152" t="s">
        <v>1886</v>
      </c>
      <c r="J234" s="14" t="s">
        <v>67</v>
      </c>
      <c r="K234" s="14"/>
      <c r="L234" s="14"/>
      <c r="M234" s="14"/>
      <c r="N234" s="14"/>
      <c r="O234" s="14"/>
      <c r="P234" s="14"/>
      <c r="Q234" s="14"/>
      <c r="R234" s="14"/>
      <c r="S234" s="14"/>
      <c r="T234" s="14"/>
      <c r="U234" s="14"/>
      <c r="V234" s="14"/>
      <c r="W234" s="14" t="s">
        <v>67</v>
      </c>
      <c r="X234" s="14"/>
      <c r="Y234" s="14"/>
      <c r="Z234" s="14"/>
      <c r="AA234" s="14"/>
      <c r="AB234" s="14" t="s">
        <v>1752</v>
      </c>
      <c r="AC234" s="135">
        <v>43886</v>
      </c>
      <c r="AD234" s="14" t="s">
        <v>1101</v>
      </c>
      <c r="AE234" s="24" t="e">
        <f>VLOOKUP(F234,Stakeholders!E:K,7,0)</f>
        <v>#N/A</v>
      </c>
      <c r="AF234" s="14"/>
      <c r="AG234" s="14"/>
      <c r="AH234" s="24" t="s">
        <v>82</v>
      </c>
      <c r="AI234" s="14"/>
      <c r="AJ234" s="14"/>
      <c r="AK234" s="14"/>
      <c r="AL234" s="14"/>
      <c r="AM234" s="14"/>
      <c r="AN234" s="14"/>
      <c r="AO234" s="14"/>
      <c r="AP234" s="14"/>
      <c r="AQ234" s="14"/>
      <c r="AR234" s="14"/>
      <c r="AS234" s="14"/>
      <c r="AT234" s="14"/>
      <c r="AU234" s="14"/>
      <c r="AV234" s="14"/>
      <c r="AW234" s="14"/>
    </row>
    <row r="235" spans="1:49" ht="13">
      <c r="A235" s="133">
        <v>2016</v>
      </c>
      <c r="B235" s="22" t="s">
        <v>8</v>
      </c>
      <c r="C235" s="29" t="s">
        <v>1880</v>
      </c>
      <c r="D235" s="29" t="s">
        <v>1880</v>
      </c>
      <c r="E235" s="29" t="e">
        <v>#N/A</v>
      </c>
      <c r="F235" s="29"/>
      <c r="G235" s="29">
        <f>COUNTIF(Stakeholders!$E$2:$E960,F235)</f>
        <v>0</v>
      </c>
      <c r="H235" s="29" t="s">
        <v>1887</v>
      </c>
      <c r="I235" s="151" t="s">
        <v>1888</v>
      </c>
      <c r="J235" s="29" t="s">
        <v>67</v>
      </c>
      <c r="K235" s="29"/>
      <c r="L235" s="29"/>
      <c r="M235" s="29"/>
      <c r="N235" s="29"/>
      <c r="O235" s="29"/>
      <c r="P235" s="29"/>
      <c r="Q235" s="29"/>
      <c r="R235" s="29"/>
      <c r="S235" s="29"/>
      <c r="T235" s="29"/>
      <c r="U235" s="29"/>
      <c r="V235" s="29"/>
      <c r="W235" s="29" t="s">
        <v>67</v>
      </c>
      <c r="X235" s="29"/>
      <c r="Y235" s="29"/>
      <c r="Z235" s="29"/>
      <c r="AA235" s="29"/>
      <c r="AB235" s="29" t="s">
        <v>1752</v>
      </c>
      <c r="AC235" s="136">
        <v>43887</v>
      </c>
      <c r="AD235" s="29" t="s">
        <v>1103</v>
      </c>
      <c r="AE235" s="34" t="e">
        <f>VLOOKUP(F235,Stakeholders!E:K,7,0)</f>
        <v>#N/A</v>
      </c>
      <c r="AF235" s="29"/>
      <c r="AG235" s="29"/>
      <c r="AH235" s="34" t="s">
        <v>82</v>
      </c>
      <c r="AI235" s="29"/>
      <c r="AJ235" s="29"/>
      <c r="AK235" s="29"/>
      <c r="AL235" s="29"/>
      <c r="AM235" s="29"/>
      <c r="AN235" s="29"/>
      <c r="AO235" s="29"/>
      <c r="AP235" s="29"/>
      <c r="AQ235" s="29"/>
      <c r="AR235" s="29"/>
      <c r="AS235" s="29"/>
      <c r="AT235" s="29"/>
      <c r="AU235" s="29"/>
      <c r="AV235" s="29"/>
      <c r="AW235" s="29"/>
    </row>
    <row r="236" spans="1:49" ht="13">
      <c r="A236" s="132">
        <v>2000</v>
      </c>
      <c r="B236" s="12" t="s">
        <v>8</v>
      </c>
      <c r="C236" s="14" t="s">
        <v>1889</v>
      </c>
      <c r="D236" s="14" t="s">
        <v>1889</v>
      </c>
      <c r="E236" s="14" t="e">
        <v>#N/A</v>
      </c>
      <c r="F236" s="14"/>
      <c r="G236" s="14">
        <f>COUNTIF(Stakeholders!$E$2:$E960,F236)</f>
        <v>0</v>
      </c>
      <c r="H236" s="14" t="s">
        <v>1890</v>
      </c>
      <c r="I236" s="152" t="s">
        <v>1891</v>
      </c>
      <c r="J236" s="14" t="s">
        <v>67</v>
      </c>
      <c r="K236" s="14"/>
      <c r="L236" s="14"/>
      <c r="M236" s="14"/>
      <c r="N236" s="14"/>
      <c r="O236" s="14"/>
      <c r="P236" s="14"/>
      <c r="Q236" s="14"/>
      <c r="R236" s="14"/>
      <c r="S236" s="14"/>
      <c r="T236" s="14"/>
      <c r="U236" s="14"/>
      <c r="V236" s="14"/>
      <c r="W236" s="14" t="s">
        <v>67</v>
      </c>
      <c r="X236" s="14"/>
      <c r="Y236" s="14"/>
      <c r="Z236" s="14"/>
      <c r="AA236" s="14"/>
      <c r="AB236" s="14" t="s">
        <v>1752</v>
      </c>
      <c r="AC236" s="135">
        <v>43888</v>
      </c>
      <c r="AD236" s="14" t="s">
        <v>1104</v>
      </c>
      <c r="AE236" s="24" t="e">
        <f>VLOOKUP(F236,Stakeholders!E:K,7,0)</f>
        <v>#N/A</v>
      </c>
      <c r="AF236" s="14"/>
      <c r="AG236" s="14"/>
      <c r="AH236" s="24" t="s">
        <v>82</v>
      </c>
      <c r="AI236" s="14"/>
      <c r="AJ236" s="14"/>
      <c r="AK236" s="14"/>
      <c r="AL236" s="14"/>
      <c r="AM236" s="14"/>
      <c r="AN236" s="14"/>
      <c r="AO236" s="14"/>
      <c r="AP236" s="14"/>
      <c r="AQ236" s="14"/>
      <c r="AR236" s="14"/>
      <c r="AS236" s="14"/>
      <c r="AT236" s="14"/>
      <c r="AU236" s="14"/>
      <c r="AV236" s="14"/>
      <c r="AW236" s="14"/>
    </row>
    <row r="237" spans="1:49" ht="13">
      <c r="A237" s="133">
        <v>2011</v>
      </c>
      <c r="B237" s="22" t="s">
        <v>8</v>
      </c>
      <c r="C237" s="29" t="s">
        <v>1889</v>
      </c>
      <c r="D237" s="29" t="s">
        <v>1889</v>
      </c>
      <c r="E237" s="29" t="e">
        <v>#N/A</v>
      </c>
      <c r="F237" s="29"/>
      <c r="G237" s="29">
        <f>COUNTIF(Stakeholders!$E$2:$E960,F237)</f>
        <v>0</v>
      </c>
      <c r="H237" s="29" t="s">
        <v>1892</v>
      </c>
      <c r="I237" s="151" t="s">
        <v>1893</v>
      </c>
      <c r="J237" s="29" t="s">
        <v>67</v>
      </c>
      <c r="K237" s="29"/>
      <c r="L237" s="29"/>
      <c r="M237" s="29"/>
      <c r="N237" s="29"/>
      <c r="O237" s="29"/>
      <c r="P237" s="29"/>
      <c r="Q237" s="29"/>
      <c r="R237" s="29"/>
      <c r="S237" s="29"/>
      <c r="T237" s="29"/>
      <c r="U237" s="29"/>
      <c r="V237" s="29"/>
      <c r="W237" s="29" t="s">
        <v>67</v>
      </c>
      <c r="X237" s="29"/>
      <c r="Y237" s="29"/>
      <c r="Z237" s="29"/>
      <c r="AA237" s="29"/>
      <c r="AB237" s="29" t="s">
        <v>1752</v>
      </c>
      <c r="AC237" s="136">
        <v>43889</v>
      </c>
      <c r="AD237" s="29" t="s">
        <v>1105</v>
      </c>
      <c r="AE237" s="34" t="e">
        <f>VLOOKUP(F237,Stakeholders!E:K,7,0)</f>
        <v>#N/A</v>
      </c>
      <c r="AF237" s="29"/>
      <c r="AG237" s="29"/>
      <c r="AH237" s="34" t="s">
        <v>82</v>
      </c>
      <c r="AI237" s="29"/>
      <c r="AJ237" s="29"/>
      <c r="AK237" s="29"/>
      <c r="AL237" s="29"/>
      <c r="AM237" s="29"/>
      <c r="AN237" s="29"/>
      <c r="AO237" s="29"/>
      <c r="AP237" s="29"/>
      <c r="AQ237" s="29"/>
      <c r="AR237" s="29"/>
      <c r="AS237" s="29"/>
      <c r="AT237" s="29"/>
      <c r="AU237" s="29"/>
      <c r="AV237" s="29"/>
      <c r="AW237" s="29"/>
    </row>
    <row r="238" spans="1:49" ht="13">
      <c r="A238" s="132">
        <v>2018</v>
      </c>
      <c r="B238" s="12" t="s">
        <v>8</v>
      </c>
      <c r="C238" s="14" t="s">
        <v>1889</v>
      </c>
      <c r="D238" s="14" t="s">
        <v>1889</v>
      </c>
      <c r="E238" s="14" t="e">
        <v>#N/A</v>
      </c>
      <c r="F238" s="14"/>
      <c r="G238" s="14">
        <f>COUNTIF(Stakeholders!$E$2:$E960,F238)</f>
        <v>0</v>
      </c>
      <c r="H238" s="14" t="s">
        <v>1894</v>
      </c>
      <c r="I238" s="152" t="s">
        <v>1895</v>
      </c>
      <c r="J238" s="14" t="s">
        <v>67</v>
      </c>
      <c r="K238" s="14"/>
      <c r="L238" s="14"/>
      <c r="M238" s="14"/>
      <c r="N238" s="14"/>
      <c r="O238" s="14"/>
      <c r="P238" s="14"/>
      <c r="Q238" s="14"/>
      <c r="R238" s="14"/>
      <c r="S238" s="14"/>
      <c r="T238" s="14"/>
      <c r="U238" s="14"/>
      <c r="V238" s="14"/>
      <c r="W238" s="14" t="s">
        <v>67</v>
      </c>
      <c r="X238" s="14"/>
      <c r="Y238" s="14"/>
      <c r="Z238" s="14"/>
      <c r="AA238" s="14"/>
      <c r="AB238" s="14" t="s">
        <v>1752</v>
      </c>
      <c r="AC238" s="135">
        <v>43890</v>
      </c>
      <c r="AD238" s="14" t="s">
        <v>1106</v>
      </c>
      <c r="AE238" s="24" t="e">
        <f>VLOOKUP(F238,Stakeholders!E:K,7,0)</f>
        <v>#N/A</v>
      </c>
      <c r="AF238" s="14"/>
      <c r="AG238" s="14"/>
      <c r="AH238" s="24" t="s">
        <v>82</v>
      </c>
      <c r="AI238" s="14"/>
      <c r="AJ238" s="14"/>
      <c r="AK238" s="14"/>
      <c r="AL238" s="14"/>
      <c r="AM238" s="14"/>
      <c r="AN238" s="14"/>
      <c r="AO238" s="14"/>
      <c r="AP238" s="14"/>
      <c r="AQ238" s="14"/>
      <c r="AR238" s="14"/>
      <c r="AS238" s="14"/>
      <c r="AT238" s="14"/>
      <c r="AU238" s="14"/>
      <c r="AV238" s="14"/>
      <c r="AW238" s="14"/>
    </row>
    <row r="239" spans="1:49" ht="13">
      <c r="A239" s="133">
        <v>2001</v>
      </c>
      <c r="B239" s="22" t="s">
        <v>8</v>
      </c>
      <c r="C239" s="29" t="s">
        <v>1896</v>
      </c>
      <c r="D239" s="29" t="s">
        <v>1896</v>
      </c>
      <c r="E239" s="29" t="e">
        <v>#N/A</v>
      </c>
      <c r="F239" s="29"/>
      <c r="G239" s="29">
        <f>COUNTIF(Stakeholders!$E$2:$E960,F239)</f>
        <v>0</v>
      </c>
      <c r="H239" s="29" t="s">
        <v>1897</v>
      </c>
      <c r="I239" s="151" t="s">
        <v>1898</v>
      </c>
      <c r="J239" s="29" t="s">
        <v>67</v>
      </c>
      <c r="K239" s="29"/>
      <c r="L239" s="29"/>
      <c r="M239" s="29"/>
      <c r="N239" s="29"/>
      <c r="O239" s="29"/>
      <c r="P239" s="29"/>
      <c r="Q239" s="29"/>
      <c r="R239" s="29"/>
      <c r="S239" s="29"/>
      <c r="T239" s="29"/>
      <c r="U239" s="29"/>
      <c r="V239" s="29"/>
      <c r="W239" s="29" t="s">
        <v>67</v>
      </c>
      <c r="X239" s="29"/>
      <c r="Y239" s="29"/>
      <c r="Z239" s="29"/>
      <c r="AA239" s="29"/>
      <c r="AB239" s="29" t="s">
        <v>1752</v>
      </c>
      <c r="AC239" s="136">
        <v>43891</v>
      </c>
      <c r="AD239" s="29" t="s">
        <v>1107</v>
      </c>
      <c r="AE239" s="34" t="e">
        <f>VLOOKUP(F239,Stakeholders!E:K,7,0)</f>
        <v>#N/A</v>
      </c>
      <c r="AF239" s="29"/>
      <c r="AG239" s="29"/>
      <c r="AH239" s="34" t="s">
        <v>82</v>
      </c>
      <c r="AI239" s="29"/>
      <c r="AJ239" s="29"/>
      <c r="AK239" s="29"/>
      <c r="AL239" s="29"/>
      <c r="AM239" s="29"/>
      <c r="AN239" s="29"/>
      <c r="AO239" s="29"/>
      <c r="AP239" s="29"/>
      <c r="AQ239" s="29"/>
      <c r="AR239" s="29"/>
      <c r="AS239" s="29"/>
      <c r="AT239" s="29"/>
      <c r="AU239" s="29"/>
      <c r="AV239" s="29"/>
      <c r="AW239" s="29"/>
    </row>
    <row r="240" spans="1:49" ht="13">
      <c r="A240" s="132">
        <v>2009</v>
      </c>
      <c r="B240" s="12" t="s">
        <v>8</v>
      </c>
      <c r="C240" s="14" t="s">
        <v>1793</v>
      </c>
      <c r="D240" s="14" t="s">
        <v>1793</v>
      </c>
      <c r="E240" s="14" t="e">
        <v>#N/A</v>
      </c>
      <c r="F240" s="14"/>
      <c r="G240" s="14">
        <f>COUNTIF(Stakeholders!$E$2:$E960,F240)</f>
        <v>0</v>
      </c>
      <c r="H240" s="14" t="s">
        <v>1899</v>
      </c>
      <c r="I240" s="152" t="s">
        <v>1900</v>
      </c>
      <c r="J240" s="14" t="s">
        <v>67</v>
      </c>
      <c r="K240" s="14"/>
      <c r="L240" s="14"/>
      <c r="M240" s="14"/>
      <c r="N240" s="14"/>
      <c r="O240" s="14"/>
      <c r="P240" s="14"/>
      <c r="Q240" s="14"/>
      <c r="R240" s="14"/>
      <c r="S240" s="14"/>
      <c r="T240" s="14"/>
      <c r="U240" s="14"/>
      <c r="V240" s="14"/>
      <c r="W240" s="14" t="s">
        <v>67</v>
      </c>
      <c r="X240" s="14"/>
      <c r="Y240" s="14"/>
      <c r="Z240" s="14"/>
      <c r="AA240" s="14"/>
      <c r="AB240" s="14" t="s">
        <v>1752</v>
      </c>
      <c r="AC240" s="135">
        <v>43892</v>
      </c>
      <c r="AD240" s="14" t="s">
        <v>1108</v>
      </c>
      <c r="AE240" s="24" t="e">
        <f>VLOOKUP(F240,Stakeholders!E:K,7,0)</f>
        <v>#N/A</v>
      </c>
      <c r="AF240" s="14"/>
      <c r="AG240" s="14"/>
      <c r="AH240" s="24" t="s">
        <v>82</v>
      </c>
      <c r="AI240" s="14"/>
      <c r="AJ240" s="14"/>
      <c r="AK240" s="14"/>
      <c r="AL240" s="14"/>
      <c r="AM240" s="14"/>
      <c r="AN240" s="14"/>
      <c r="AO240" s="14"/>
      <c r="AP240" s="14"/>
      <c r="AQ240" s="14"/>
      <c r="AR240" s="14"/>
      <c r="AS240" s="14"/>
      <c r="AT240" s="14"/>
      <c r="AU240" s="14"/>
      <c r="AV240" s="14"/>
      <c r="AW240" s="14"/>
    </row>
    <row r="241" spans="1:49" ht="13">
      <c r="A241" s="133">
        <v>2010</v>
      </c>
      <c r="B241" s="22" t="s">
        <v>8</v>
      </c>
      <c r="C241" s="29" t="s">
        <v>1793</v>
      </c>
      <c r="D241" s="29" t="s">
        <v>1793</v>
      </c>
      <c r="E241" s="29" t="e">
        <v>#N/A</v>
      </c>
      <c r="F241" s="29"/>
      <c r="G241" s="29">
        <f>COUNTIF(Stakeholders!$E$2:$E960,F241)</f>
        <v>0</v>
      </c>
      <c r="H241" s="29" t="s">
        <v>1901</v>
      </c>
      <c r="I241" s="151" t="s">
        <v>1902</v>
      </c>
      <c r="J241" s="29" t="s">
        <v>67</v>
      </c>
      <c r="K241" s="29"/>
      <c r="L241" s="29"/>
      <c r="M241" s="29"/>
      <c r="N241" s="29"/>
      <c r="O241" s="29"/>
      <c r="P241" s="29"/>
      <c r="Q241" s="29"/>
      <c r="R241" s="29"/>
      <c r="S241" s="29"/>
      <c r="T241" s="29"/>
      <c r="U241" s="29"/>
      <c r="V241" s="29"/>
      <c r="W241" s="29" t="s">
        <v>67</v>
      </c>
      <c r="X241" s="29"/>
      <c r="Y241" s="29"/>
      <c r="Z241" s="29"/>
      <c r="AA241" s="29"/>
      <c r="AB241" s="29" t="s">
        <v>1752</v>
      </c>
      <c r="AC241" s="136">
        <v>43893</v>
      </c>
      <c r="AD241" s="29" t="s">
        <v>1109</v>
      </c>
      <c r="AE241" s="34" t="e">
        <f>VLOOKUP(F241,Stakeholders!E:K,7,0)</f>
        <v>#N/A</v>
      </c>
      <c r="AF241" s="29"/>
      <c r="AG241" s="29"/>
      <c r="AH241" s="34" t="s">
        <v>82</v>
      </c>
      <c r="AI241" s="29"/>
      <c r="AJ241" s="29"/>
      <c r="AK241" s="29"/>
      <c r="AL241" s="29"/>
      <c r="AM241" s="29"/>
      <c r="AN241" s="29"/>
      <c r="AO241" s="29"/>
      <c r="AP241" s="29"/>
      <c r="AQ241" s="29"/>
      <c r="AR241" s="29"/>
      <c r="AS241" s="29"/>
      <c r="AT241" s="29"/>
      <c r="AU241" s="29"/>
      <c r="AV241" s="29"/>
      <c r="AW241" s="29"/>
    </row>
    <row r="242" spans="1:49" ht="13">
      <c r="A242" s="132">
        <v>2018</v>
      </c>
      <c r="B242" s="12" t="s">
        <v>8</v>
      </c>
      <c r="C242" s="14" t="s">
        <v>1793</v>
      </c>
      <c r="D242" s="14" t="s">
        <v>1846</v>
      </c>
      <c r="E242" s="14" t="e">
        <v>#N/A</v>
      </c>
      <c r="F242" s="14"/>
      <c r="G242" s="14">
        <f>COUNTIF(Stakeholders!$E$2:$E960,F242)</f>
        <v>0</v>
      </c>
      <c r="H242" s="14" t="s">
        <v>1903</v>
      </c>
      <c r="I242" s="152" t="s">
        <v>1904</v>
      </c>
      <c r="J242" s="14" t="s">
        <v>67</v>
      </c>
      <c r="K242" s="14"/>
      <c r="L242" s="14"/>
      <c r="M242" s="14"/>
      <c r="N242" s="14"/>
      <c r="O242" s="14"/>
      <c r="P242" s="14"/>
      <c r="Q242" s="14"/>
      <c r="R242" s="14"/>
      <c r="S242" s="14"/>
      <c r="T242" s="14"/>
      <c r="U242" s="14"/>
      <c r="V242" s="14"/>
      <c r="W242" s="14" t="s">
        <v>67</v>
      </c>
      <c r="X242" s="14"/>
      <c r="Y242" s="14"/>
      <c r="Z242" s="14"/>
      <c r="AA242" s="14"/>
      <c r="AB242" s="14" t="s">
        <v>1752</v>
      </c>
      <c r="AC242" s="135">
        <v>43894</v>
      </c>
      <c r="AD242" s="14" t="s">
        <v>697</v>
      </c>
      <c r="AE242" s="24" t="e">
        <f>VLOOKUP(F242,Stakeholders!E:K,7,0)</f>
        <v>#N/A</v>
      </c>
      <c r="AF242" s="14"/>
      <c r="AG242" s="14"/>
      <c r="AH242" s="24" t="s">
        <v>82</v>
      </c>
      <c r="AI242" s="14"/>
      <c r="AJ242" s="14"/>
      <c r="AK242" s="14"/>
      <c r="AL242" s="14"/>
      <c r="AM242" s="14"/>
      <c r="AN242" s="14"/>
      <c r="AO242" s="14"/>
      <c r="AP242" s="14"/>
      <c r="AQ242" s="14"/>
      <c r="AR242" s="14"/>
      <c r="AS242" s="14"/>
      <c r="AT242" s="14"/>
      <c r="AU242" s="14"/>
      <c r="AV242" s="14"/>
      <c r="AW242" s="14"/>
    </row>
    <row r="243" spans="1:49" ht="13">
      <c r="A243" s="133">
        <v>2013</v>
      </c>
      <c r="B243" s="22" t="s">
        <v>8</v>
      </c>
      <c r="C243" s="29" t="s">
        <v>1905</v>
      </c>
      <c r="D243" s="29" t="s">
        <v>1905</v>
      </c>
      <c r="E243" s="29" t="e">
        <v>#N/A</v>
      </c>
      <c r="F243" s="29"/>
      <c r="G243" s="29">
        <f>COUNTIF(Stakeholders!$E$2:$E960,F243)</f>
        <v>0</v>
      </c>
      <c r="H243" s="29" t="s">
        <v>1906</v>
      </c>
      <c r="I243" s="151" t="s">
        <v>1907</v>
      </c>
      <c r="J243" s="29" t="s">
        <v>67</v>
      </c>
      <c r="K243" s="29"/>
      <c r="L243" s="29"/>
      <c r="M243" s="29"/>
      <c r="N243" s="29"/>
      <c r="O243" s="29"/>
      <c r="P243" s="29"/>
      <c r="Q243" s="29"/>
      <c r="R243" s="29"/>
      <c r="S243" s="29"/>
      <c r="T243" s="29"/>
      <c r="U243" s="29"/>
      <c r="V243" s="29"/>
      <c r="W243" s="29" t="s">
        <v>67</v>
      </c>
      <c r="X243" s="29"/>
      <c r="Y243" s="29"/>
      <c r="Z243" s="29"/>
      <c r="AA243" s="29"/>
      <c r="AB243" s="29" t="s">
        <v>1752</v>
      </c>
      <c r="AC243" s="136">
        <v>43895</v>
      </c>
      <c r="AD243" s="29" t="s">
        <v>1110</v>
      </c>
      <c r="AE243" s="34" t="e">
        <f>VLOOKUP(F243,Stakeholders!E:K,7,0)</f>
        <v>#N/A</v>
      </c>
      <c r="AF243" s="29"/>
      <c r="AG243" s="29"/>
      <c r="AH243" s="34" t="s">
        <v>82</v>
      </c>
      <c r="AI243" s="29"/>
      <c r="AJ243" s="29"/>
      <c r="AK243" s="29"/>
      <c r="AL243" s="29"/>
      <c r="AM243" s="29"/>
      <c r="AN243" s="29"/>
      <c r="AO243" s="29"/>
      <c r="AP243" s="29"/>
      <c r="AQ243" s="29"/>
      <c r="AR243" s="29"/>
      <c r="AS243" s="29"/>
      <c r="AT243" s="29"/>
      <c r="AU243" s="29"/>
      <c r="AV243" s="29"/>
      <c r="AW243" s="29"/>
    </row>
    <row r="244" spans="1:49" ht="13">
      <c r="A244" s="132">
        <v>2017</v>
      </c>
      <c r="B244" s="12" t="s">
        <v>8</v>
      </c>
      <c r="C244" s="14" t="s">
        <v>73</v>
      </c>
      <c r="D244" s="14" t="s">
        <v>1908</v>
      </c>
      <c r="E244" s="14" t="e">
        <v>#N/A</v>
      </c>
      <c r="F244" s="14"/>
      <c r="G244" s="14">
        <f>COUNTIF(Stakeholders!$E$2:$E960,F244)</f>
        <v>0</v>
      </c>
      <c r="H244" s="14" t="s">
        <v>1909</v>
      </c>
      <c r="I244" s="152" t="s">
        <v>1910</v>
      </c>
      <c r="J244" s="14" t="s">
        <v>67</v>
      </c>
      <c r="K244" s="14"/>
      <c r="L244" s="14"/>
      <c r="M244" s="14"/>
      <c r="N244" s="14"/>
      <c r="O244" s="14"/>
      <c r="P244" s="14"/>
      <c r="Q244" s="14"/>
      <c r="R244" s="14"/>
      <c r="S244" s="14"/>
      <c r="T244" s="14"/>
      <c r="U244" s="14"/>
      <c r="V244" s="14"/>
      <c r="W244" s="14" t="s">
        <v>67</v>
      </c>
      <c r="X244" s="14"/>
      <c r="Y244" s="14"/>
      <c r="Z244" s="14"/>
      <c r="AA244" s="14"/>
      <c r="AB244" s="14" t="s">
        <v>1752</v>
      </c>
      <c r="AC244" s="135">
        <v>43896</v>
      </c>
      <c r="AD244" s="14" t="s">
        <v>1111</v>
      </c>
      <c r="AE244" s="24" t="e">
        <f>VLOOKUP(F244,Stakeholders!E:K,7,0)</f>
        <v>#N/A</v>
      </c>
      <c r="AF244" s="14"/>
      <c r="AG244" s="14"/>
      <c r="AH244" s="24" t="s">
        <v>82</v>
      </c>
      <c r="AI244" s="14"/>
      <c r="AJ244" s="14"/>
      <c r="AK244" s="14"/>
      <c r="AL244" s="14"/>
      <c r="AM244" s="14"/>
      <c r="AN244" s="14"/>
      <c r="AO244" s="14"/>
      <c r="AP244" s="14"/>
      <c r="AQ244" s="14"/>
      <c r="AR244" s="14"/>
      <c r="AS244" s="14"/>
      <c r="AT244" s="14"/>
      <c r="AU244" s="14"/>
      <c r="AV244" s="14"/>
      <c r="AW244" s="14"/>
    </row>
    <row r="245" spans="1:49" ht="13">
      <c r="A245" s="133">
        <v>2017</v>
      </c>
      <c r="B245" s="22" t="s">
        <v>8</v>
      </c>
      <c r="C245" s="29" t="s">
        <v>1905</v>
      </c>
      <c r="D245" s="29" t="s">
        <v>1905</v>
      </c>
      <c r="E245" s="29" t="e">
        <v>#N/A</v>
      </c>
      <c r="F245" s="29"/>
      <c r="G245" s="29">
        <f>COUNTIF(Stakeholders!$E$2:$E960,F245)</f>
        <v>0</v>
      </c>
      <c r="H245" s="29" t="s">
        <v>1911</v>
      </c>
      <c r="I245" s="151" t="s">
        <v>1912</v>
      </c>
      <c r="J245" s="29" t="s">
        <v>67</v>
      </c>
      <c r="K245" s="29"/>
      <c r="L245" s="29"/>
      <c r="M245" s="29"/>
      <c r="N245" s="29"/>
      <c r="O245" s="29"/>
      <c r="P245" s="29"/>
      <c r="Q245" s="29"/>
      <c r="R245" s="29"/>
      <c r="S245" s="29"/>
      <c r="T245" s="29"/>
      <c r="U245" s="29"/>
      <c r="V245" s="29"/>
      <c r="W245" s="29" t="s">
        <v>67</v>
      </c>
      <c r="X245" s="29"/>
      <c r="Y245" s="29"/>
      <c r="Z245" s="29"/>
      <c r="AA245" s="29"/>
      <c r="AB245" s="29" t="s">
        <v>1752</v>
      </c>
      <c r="AC245" s="136">
        <v>43897</v>
      </c>
      <c r="AD245" s="29" t="s">
        <v>1112</v>
      </c>
      <c r="AE245" s="34" t="e">
        <f>VLOOKUP(F245,Stakeholders!E:K,7,0)</f>
        <v>#N/A</v>
      </c>
      <c r="AF245" s="29"/>
      <c r="AG245" s="29"/>
      <c r="AH245" s="34" t="s">
        <v>82</v>
      </c>
      <c r="AI245" s="29"/>
      <c r="AJ245" s="29"/>
      <c r="AK245" s="29"/>
      <c r="AL245" s="29"/>
      <c r="AM245" s="29"/>
      <c r="AN245" s="29"/>
      <c r="AO245" s="29"/>
      <c r="AP245" s="29"/>
      <c r="AQ245" s="29"/>
      <c r="AR245" s="29"/>
      <c r="AS245" s="29"/>
      <c r="AT245" s="29"/>
      <c r="AU245" s="29"/>
      <c r="AV245" s="29"/>
      <c r="AW245" s="29"/>
    </row>
    <row r="246" spans="1:49" ht="13">
      <c r="A246" s="132">
        <v>2017</v>
      </c>
      <c r="B246" s="12" t="s">
        <v>8</v>
      </c>
      <c r="C246" s="14" t="s">
        <v>1905</v>
      </c>
      <c r="D246" s="14" t="s">
        <v>1905</v>
      </c>
      <c r="E246" s="14" t="e">
        <v>#N/A</v>
      </c>
      <c r="F246" s="14"/>
      <c r="G246" s="14">
        <f>COUNTIF(Stakeholders!$E$2:$E960,F246)</f>
        <v>0</v>
      </c>
      <c r="H246" s="14" t="s">
        <v>1913</v>
      </c>
      <c r="I246" s="152" t="s">
        <v>1914</v>
      </c>
      <c r="J246" s="14" t="s">
        <v>67</v>
      </c>
      <c r="K246" s="14"/>
      <c r="L246" s="14"/>
      <c r="M246" s="14"/>
      <c r="N246" s="14"/>
      <c r="O246" s="14"/>
      <c r="P246" s="14"/>
      <c r="Q246" s="14"/>
      <c r="R246" s="14"/>
      <c r="S246" s="14"/>
      <c r="T246" s="14"/>
      <c r="U246" s="14"/>
      <c r="V246" s="14"/>
      <c r="W246" s="14" t="s">
        <v>67</v>
      </c>
      <c r="X246" s="14"/>
      <c r="Y246" s="14"/>
      <c r="Z246" s="14"/>
      <c r="AA246" s="14"/>
      <c r="AB246" s="14" t="s">
        <v>1752</v>
      </c>
      <c r="AC246" s="135">
        <v>43898</v>
      </c>
      <c r="AD246" s="14" t="s">
        <v>1113</v>
      </c>
      <c r="AE246" s="24" t="e">
        <f>VLOOKUP(F246,Stakeholders!E:K,7,0)</f>
        <v>#N/A</v>
      </c>
      <c r="AF246" s="14"/>
      <c r="AG246" s="14"/>
      <c r="AH246" s="24" t="s">
        <v>82</v>
      </c>
      <c r="AI246" s="14"/>
      <c r="AJ246" s="14"/>
      <c r="AK246" s="14"/>
      <c r="AL246" s="14"/>
      <c r="AM246" s="14"/>
      <c r="AN246" s="14"/>
      <c r="AO246" s="14"/>
      <c r="AP246" s="14"/>
      <c r="AQ246" s="14"/>
      <c r="AR246" s="14"/>
      <c r="AS246" s="14"/>
      <c r="AT246" s="14"/>
      <c r="AU246" s="14"/>
      <c r="AV246" s="14"/>
      <c r="AW246" s="14"/>
    </row>
    <row r="247" spans="1:49" ht="13">
      <c r="A247" s="133">
        <v>2016</v>
      </c>
      <c r="B247" s="22" t="s">
        <v>8</v>
      </c>
      <c r="C247" s="29" t="s">
        <v>1915</v>
      </c>
      <c r="D247" s="29" t="s">
        <v>1915</v>
      </c>
      <c r="E247" s="29" t="e">
        <v>#N/A</v>
      </c>
      <c r="F247" s="29"/>
      <c r="G247" s="29">
        <f>COUNTIF(Stakeholders!$E$2:$E960,F247)</f>
        <v>0</v>
      </c>
      <c r="H247" s="29" t="s">
        <v>1916</v>
      </c>
      <c r="I247" s="151" t="s">
        <v>1917</v>
      </c>
      <c r="J247" s="29" t="s">
        <v>67</v>
      </c>
      <c r="K247" s="29"/>
      <c r="L247" s="29"/>
      <c r="M247" s="29"/>
      <c r="N247" s="29"/>
      <c r="O247" s="29"/>
      <c r="P247" s="29"/>
      <c r="Q247" s="29"/>
      <c r="R247" s="29"/>
      <c r="S247" s="29"/>
      <c r="T247" s="29"/>
      <c r="U247" s="29"/>
      <c r="V247" s="29"/>
      <c r="W247" s="29" t="s">
        <v>67</v>
      </c>
      <c r="X247" s="29"/>
      <c r="Y247" s="29"/>
      <c r="Z247" s="29"/>
      <c r="AA247" s="29"/>
      <c r="AB247" s="29" t="s">
        <v>1752</v>
      </c>
      <c r="AC247" s="136">
        <v>43899</v>
      </c>
      <c r="AD247" s="29" t="s">
        <v>1115</v>
      </c>
      <c r="AE247" s="34" t="e">
        <f>VLOOKUP(F247,Stakeholders!E:K,7,0)</f>
        <v>#N/A</v>
      </c>
      <c r="AF247" s="29"/>
      <c r="AG247" s="29"/>
      <c r="AH247" s="34" t="s">
        <v>82</v>
      </c>
      <c r="AI247" s="29"/>
      <c r="AJ247" s="29"/>
      <c r="AK247" s="29"/>
      <c r="AL247" s="29"/>
      <c r="AM247" s="29"/>
      <c r="AN247" s="29"/>
      <c r="AO247" s="29"/>
      <c r="AP247" s="29"/>
      <c r="AQ247" s="29"/>
      <c r="AR247" s="29"/>
      <c r="AS247" s="29"/>
      <c r="AT247" s="29"/>
      <c r="AU247" s="29"/>
      <c r="AV247" s="29"/>
      <c r="AW247" s="29"/>
    </row>
    <row r="248" spans="1:49" ht="13">
      <c r="A248" s="132">
        <v>2016</v>
      </c>
      <c r="B248" s="12" t="s">
        <v>8</v>
      </c>
      <c r="C248" s="14" t="s">
        <v>1915</v>
      </c>
      <c r="D248" s="14" t="s">
        <v>1915</v>
      </c>
      <c r="E248" s="14" t="e">
        <v>#N/A</v>
      </c>
      <c r="F248" s="14"/>
      <c r="G248" s="14">
        <f>COUNTIF(Stakeholders!$E$2:$E960,F248)</f>
        <v>0</v>
      </c>
      <c r="H248" s="14" t="s">
        <v>1918</v>
      </c>
      <c r="I248" s="152" t="s">
        <v>1919</v>
      </c>
      <c r="J248" s="14" t="s">
        <v>67</v>
      </c>
      <c r="K248" s="14"/>
      <c r="L248" s="14"/>
      <c r="M248" s="14"/>
      <c r="N248" s="14"/>
      <c r="O248" s="14"/>
      <c r="P248" s="14"/>
      <c r="Q248" s="14"/>
      <c r="R248" s="14"/>
      <c r="S248" s="14"/>
      <c r="T248" s="14"/>
      <c r="U248" s="14"/>
      <c r="V248" s="14"/>
      <c r="W248" s="14" t="s">
        <v>67</v>
      </c>
      <c r="X248" s="14"/>
      <c r="Y248" s="14"/>
      <c r="Z248" s="14"/>
      <c r="AA248" s="14"/>
      <c r="AB248" s="14" t="s">
        <v>1752</v>
      </c>
      <c r="AC248" s="135">
        <v>43900</v>
      </c>
      <c r="AD248" s="14" t="s">
        <v>1116</v>
      </c>
      <c r="AE248" s="24" t="e">
        <f>VLOOKUP(F248,Stakeholders!E:K,7,0)</f>
        <v>#N/A</v>
      </c>
      <c r="AF248" s="14"/>
      <c r="AG248" s="14"/>
      <c r="AH248" s="24" t="s">
        <v>82</v>
      </c>
      <c r="AI248" s="14"/>
      <c r="AJ248" s="14"/>
      <c r="AK248" s="14"/>
      <c r="AL248" s="14"/>
      <c r="AM248" s="14"/>
      <c r="AN248" s="14"/>
      <c r="AO248" s="14"/>
      <c r="AP248" s="14"/>
      <c r="AQ248" s="14"/>
      <c r="AR248" s="14"/>
      <c r="AS248" s="14"/>
      <c r="AT248" s="14"/>
      <c r="AU248" s="14"/>
      <c r="AV248" s="14"/>
      <c r="AW248" s="14"/>
    </row>
    <row r="249" spans="1:49" ht="13">
      <c r="A249" s="133">
        <v>2016</v>
      </c>
      <c r="B249" s="22" t="s">
        <v>8</v>
      </c>
      <c r="C249" s="29" t="s">
        <v>1915</v>
      </c>
      <c r="D249" s="29" t="s">
        <v>1915</v>
      </c>
      <c r="E249" s="29" t="e">
        <v>#N/A</v>
      </c>
      <c r="F249" s="29"/>
      <c r="G249" s="29">
        <f>COUNTIF(Stakeholders!$E$2:$E960,F249)</f>
        <v>0</v>
      </c>
      <c r="H249" s="29" t="s">
        <v>1920</v>
      </c>
      <c r="I249" s="151" t="s">
        <v>1921</v>
      </c>
      <c r="J249" s="29" t="s">
        <v>67</v>
      </c>
      <c r="K249" s="29"/>
      <c r="L249" s="29"/>
      <c r="M249" s="29"/>
      <c r="N249" s="29"/>
      <c r="O249" s="29"/>
      <c r="P249" s="29"/>
      <c r="Q249" s="29"/>
      <c r="R249" s="29"/>
      <c r="S249" s="29"/>
      <c r="T249" s="29"/>
      <c r="U249" s="29"/>
      <c r="V249" s="29"/>
      <c r="W249" s="29" t="s">
        <v>67</v>
      </c>
      <c r="X249" s="29"/>
      <c r="Y249" s="29"/>
      <c r="Z249" s="29"/>
      <c r="AA249" s="29"/>
      <c r="AB249" s="29" t="s">
        <v>1752</v>
      </c>
      <c r="AC249" s="136">
        <v>43901</v>
      </c>
      <c r="AD249" s="29" t="s">
        <v>1118</v>
      </c>
      <c r="AE249" s="34" t="e">
        <f>VLOOKUP(F249,Stakeholders!E:K,7,0)</f>
        <v>#N/A</v>
      </c>
      <c r="AF249" s="29"/>
      <c r="AG249" s="29"/>
      <c r="AH249" s="34" t="s">
        <v>82</v>
      </c>
      <c r="AI249" s="29"/>
      <c r="AJ249" s="29"/>
      <c r="AK249" s="29"/>
      <c r="AL249" s="29"/>
      <c r="AM249" s="29"/>
      <c r="AN249" s="29"/>
      <c r="AO249" s="29"/>
      <c r="AP249" s="29"/>
      <c r="AQ249" s="29"/>
      <c r="AR249" s="29"/>
      <c r="AS249" s="29"/>
      <c r="AT249" s="29"/>
      <c r="AU249" s="29"/>
      <c r="AV249" s="29"/>
      <c r="AW249" s="29"/>
    </row>
    <row r="250" spans="1:49" ht="13">
      <c r="A250" s="132">
        <v>2013</v>
      </c>
      <c r="B250" s="12" t="s">
        <v>8</v>
      </c>
      <c r="C250" s="14" t="s">
        <v>607</v>
      </c>
      <c r="D250" s="14" t="s">
        <v>1922</v>
      </c>
      <c r="E250" s="14" t="e">
        <v>#N/A</v>
      </c>
      <c r="F250" s="14"/>
      <c r="G250" s="14">
        <f>COUNTIF(Stakeholders!$E$2:$E960,F250)</f>
        <v>0</v>
      </c>
      <c r="H250" s="14" t="s">
        <v>1923</v>
      </c>
      <c r="I250" s="152" t="s">
        <v>1924</v>
      </c>
      <c r="J250" s="14" t="s">
        <v>67</v>
      </c>
      <c r="K250" s="14"/>
      <c r="L250" s="14"/>
      <c r="M250" s="14"/>
      <c r="N250" s="14"/>
      <c r="O250" s="14"/>
      <c r="P250" s="14"/>
      <c r="Q250" s="14"/>
      <c r="R250" s="14"/>
      <c r="S250" s="14"/>
      <c r="T250" s="14"/>
      <c r="U250" s="14"/>
      <c r="V250" s="14"/>
      <c r="W250" s="14" t="s">
        <v>67</v>
      </c>
      <c r="X250" s="14"/>
      <c r="Y250" s="14"/>
      <c r="Z250" s="14"/>
      <c r="AA250" s="14"/>
      <c r="AB250" s="14" t="s">
        <v>1752</v>
      </c>
      <c r="AC250" s="135">
        <v>43902</v>
      </c>
      <c r="AD250" s="14" t="s">
        <v>1119</v>
      </c>
      <c r="AE250" s="24" t="e">
        <f>VLOOKUP(F250,Stakeholders!E:K,7,0)</f>
        <v>#N/A</v>
      </c>
      <c r="AF250" s="14"/>
      <c r="AG250" s="14"/>
      <c r="AH250" s="24" t="s">
        <v>82</v>
      </c>
      <c r="AI250" s="14"/>
      <c r="AJ250" s="14"/>
      <c r="AK250" s="14"/>
      <c r="AL250" s="14"/>
      <c r="AM250" s="14"/>
      <c r="AN250" s="14"/>
      <c r="AO250" s="14"/>
      <c r="AP250" s="14"/>
      <c r="AQ250" s="14"/>
      <c r="AR250" s="14"/>
      <c r="AS250" s="14"/>
      <c r="AT250" s="14"/>
      <c r="AU250" s="14"/>
      <c r="AV250" s="14"/>
      <c r="AW250" s="14"/>
    </row>
    <row r="251" spans="1:49" ht="13">
      <c r="A251" s="133">
        <v>2014</v>
      </c>
      <c r="B251" s="22" t="s">
        <v>8</v>
      </c>
      <c r="C251" s="29" t="s">
        <v>1925</v>
      </c>
      <c r="D251" s="29" t="s">
        <v>1926</v>
      </c>
      <c r="E251" s="29" t="e">
        <v>#N/A</v>
      </c>
      <c r="F251" s="29"/>
      <c r="G251" s="29">
        <f>COUNTIF(Stakeholders!$E$2:$E960,F251)</f>
        <v>0</v>
      </c>
      <c r="H251" s="29" t="s">
        <v>1927</v>
      </c>
      <c r="I251" s="151" t="s">
        <v>1928</v>
      </c>
      <c r="J251" s="29" t="s">
        <v>67</v>
      </c>
      <c r="K251" s="29"/>
      <c r="L251" s="29"/>
      <c r="M251" s="29"/>
      <c r="N251" s="29"/>
      <c r="O251" s="29"/>
      <c r="P251" s="29"/>
      <c r="Q251" s="29"/>
      <c r="R251" s="29"/>
      <c r="S251" s="29"/>
      <c r="T251" s="29"/>
      <c r="U251" s="29"/>
      <c r="V251" s="29"/>
      <c r="W251" s="29" t="s">
        <v>67</v>
      </c>
      <c r="X251" s="29"/>
      <c r="Y251" s="29"/>
      <c r="Z251" s="29"/>
      <c r="AA251" s="29"/>
      <c r="AB251" s="29" t="s">
        <v>1752</v>
      </c>
      <c r="AC251" s="136">
        <v>43903</v>
      </c>
      <c r="AD251" s="29" t="s">
        <v>1120</v>
      </c>
      <c r="AE251" s="34" t="e">
        <f>VLOOKUP(F251,Stakeholders!E:K,7,0)</f>
        <v>#N/A</v>
      </c>
      <c r="AF251" s="29"/>
      <c r="AG251" s="29"/>
      <c r="AH251" s="34" t="s">
        <v>82</v>
      </c>
      <c r="AI251" s="29"/>
      <c r="AJ251" s="29"/>
      <c r="AK251" s="29"/>
      <c r="AL251" s="29"/>
      <c r="AM251" s="29"/>
      <c r="AN251" s="29"/>
      <c r="AO251" s="29"/>
      <c r="AP251" s="29"/>
      <c r="AQ251" s="29"/>
      <c r="AR251" s="29"/>
      <c r="AS251" s="29"/>
      <c r="AT251" s="29"/>
      <c r="AU251" s="29"/>
      <c r="AV251" s="29"/>
      <c r="AW251" s="29"/>
    </row>
    <row r="252" spans="1:49" ht="13">
      <c r="A252" s="132">
        <v>2015</v>
      </c>
      <c r="B252" s="12" t="s">
        <v>8</v>
      </c>
      <c r="C252" s="14" t="s">
        <v>1929</v>
      </c>
      <c r="D252" s="14" t="s">
        <v>1922</v>
      </c>
      <c r="E252" s="14" t="e">
        <v>#N/A</v>
      </c>
      <c r="F252" s="14"/>
      <c r="G252" s="14">
        <f>COUNTIF(Stakeholders!$E$2:$E960,F252)</f>
        <v>0</v>
      </c>
      <c r="H252" s="14" t="s">
        <v>1930</v>
      </c>
      <c r="I252" s="152" t="s">
        <v>1931</v>
      </c>
      <c r="J252" s="14" t="s">
        <v>67</v>
      </c>
      <c r="K252" s="14"/>
      <c r="L252" s="14"/>
      <c r="M252" s="14"/>
      <c r="N252" s="14"/>
      <c r="O252" s="14"/>
      <c r="P252" s="14"/>
      <c r="Q252" s="14"/>
      <c r="R252" s="14"/>
      <c r="S252" s="14"/>
      <c r="T252" s="14"/>
      <c r="U252" s="14"/>
      <c r="V252" s="14"/>
      <c r="W252" s="14" t="s">
        <v>67</v>
      </c>
      <c r="X252" s="14"/>
      <c r="Y252" s="14"/>
      <c r="Z252" s="14"/>
      <c r="AA252" s="14"/>
      <c r="AB252" s="14" t="s">
        <v>1752</v>
      </c>
      <c r="AC252" s="135">
        <v>43904</v>
      </c>
      <c r="AD252" s="14" t="s">
        <v>1121</v>
      </c>
      <c r="AE252" s="24" t="e">
        <f>VLOOKUP(F252,Stakeholders!E:K,7,0)</f>
        <v>#N/A</v>
      </c>
      <c r="AF252" s="14"/>
      <c r="AG252" s="14"/>
      <c r="AH252" s="24" t="s">
        <v>82</v>
      </c>
      <c r="AI252" s="14"/>
      <c r="AJ252" s="14"/>
      <c r="AK252" s="14"/>
      <c r="AL252" s="14"/>
      <c r="AM252" s="14"/>
      <c r="AN252" s="14"/>
      <c r="AO252" s="14"/>
      <c r="AP252" s="14"/>
      <c r="AQ252" s="14"/>
      <c r="AR252" s="14"/>
      <c r="AS252" s="14"/>
      <c r="AT252" s="14"/>
      <c r="AU252" s="14"/>
      <c r="AV252" s="14"/>
      <c r="AW252" s="14"/>
    </row>
    <row r="253" spans="1:49" ht="13">
      <c r="A253" s="133">
        <v>2015</v>
      </c>
      <c r="B253" s="22" t="s">
        <v>8</v>
      </c>
      <c r="C253" s="29" t="s">
        <v>1932</v>
      </c>
      <c r="D253" s="29" t="s">
        <v>1922</v>
      </c>
      <c r="E253" s="29" t="e">
        <v>#N/A</v>
      </c>
      <c r="F253" s="29"/>
      <c r="G253" s="29">
        <f>COUNTIF(Stakeholders!$E$2:$E960,F253)</f>
        <v>0</v>
      </c>
      <c r="H253" s="29" t="s">
        <v>1933</v>
      </c>
      <c r="I253" s="151" t="s">
        <v>1934</v>
      </c>
      <c r="J253" s="29" t="s">
        <v>67</v>
      </c>
      <c r="K253" s="29"/>
      <c r="L253" s="29"/>
      <c r="M253" s="29"/>
      <c r="N253" s="29"/>
      <c r="O253" s="29"/>
      <c r="P253" s="29"/>
      <c r="Q253" s="29"/>
      <c r="R253" s="29"/>
      <c r="S253" s="29"/>
      <c r="T253" s="29"/>
      <c r="U253" s="29"/>
      <c r="V253" s="29"/>
      <c r="W253" s="29" t="s">
        <v>67</v>
      </c>
      <c r="X253" s="29"/>
      <c r="Y253" s="29"/>
      <c r="Z253" s="29"/>
      <c r="AA253" s="29"/>
      <c r="AB253" s="29" t="s">
        <v>1752</v>
      </c>
      <c r="AC253" s="136">
        <v>43905</v>
      </c>
      <c r="AD253" s="29" t="s">
        <v>1122</v>
      </c>
      <c r="AE253" s="34" t="e">
        <f>VLOOKUP(F253,Stakeholders!E:K,7,0)</f>
        <v>#N/A</v>
      </c>
      <c r="AF253" s="29"/>
      <c r="AG253" s="29"/>
      <c r="AH253" s="34" t="s">
        <v>82</v>
      </c>
      <c r="AI253" s="29"/>
      <c r="AJ253" s="29"/>
      <c r="AK253" s="29"/>
      <c r="AL253" s="29"/>
      <c r="AM253" s="29"/>
      <c r="AN253" s="29"/>
      <c r="AO253" s="29"/>
      <c r="AP253" s="29"/>
      <c r="AQ253" s="29"/>
      <c r="AR253" s="29"/>
      <c r="AS253" s="29"/>
      <c r="AT253" s="29"/>
      <c r="AU253" s="29"/>
      <c r="AV253" s="29"/>
      <c r="AW253" s="29"/>
    </row>
    <row r="254" spans="1:49" ht="13">
      <c r="A254" s="132">
        <v>2017</v>
      </c>
      <c r="B254" s="12" t="s">
        <v>8</v>
      </c>
      <c r="C254" s="14" t="s">
        <v>1932</v>
      </c>
      <c r="D254" s="14" t="s">
        <v>1922</v>
      </c>
      <c r="E254" s="14" t="e">
        <v>#N/A</v>
      </c>
      <c r="F254" s="14"/>
      <c r="G254" s="14">
        <f>COUNTIF(Stakeholders!$E$2:$E960,F254)</f>
        <v>0</v>
      </c>
      <c r="H254" s="14" t="s">
        <v>1935</v>
      </c>
      <c r="I254" s="152" t="s">
        <v>1936</v>
      </c>
      <c r="J254" s="14" t="s">
        <v>67</v>
      </c>
      <c r="K254" s="14"/>
      <c r="L254" s="14"/>
      <c r="M254" s="14"/>
      <c r="N254" s="14"/>
      <c r="O254" s="14"/>
      <c r="P254" s="14"/>
      <c r="Q254" s="14"/>
      <c r="R254" s="14"/>
      <c r="S254" s="14"/>
      <c r="T254" s="14"/>
      <c r="U254" s="14"/>
      <c r="V254" s="14"/>
      <c r="W254" s="14" t="s">
        <v>67</v>
      </c>
      <c r="X254" s="14"/>
      <c r="Y254" s="14"/>
      <c r="Z254" s="14"/>
      <c r="AA254" s="14"/>
      <c r="AB254" s="14" t="s">
        <v>1752</v>
      </c>
      <c r="AC254" s="135">
        <v>43906</v>
      </c>
      <c r="AD254" s="14" t="s">
        <v>1123</v>
      </c>
      <c r="AE254" s="24" t="e">
        <f>VLOOKUP(F254,Stakeholders!E:K,7,0)</f>
        <v>#N/A</v>
      </c>
      <c r="AF254" s="14"/>
      <c r="AG254" s="14"/>
      <c r="AH254" s="24" t="s">
        <v>82</v>
      </c>
      <c r="AI254" s="14"/>
      <c r="AJ254" s="14"/>
      <c r="AK254" s="14"/>
      <c r="AL254" s="14"/>
      <c r="AM254" s="14"/>
      <c r="AN254" s="14"/>
      <c r="AO254" s="14"/>
      <c r="AP254" s="14"/>
      <c r="AQ254" s="14"/>
      <c r="AR254" s="14"/>
      <c r="AS254" s="14"/>
      <c r="AT254" s="14"/>
      <c r="AU254" s="14"/>
      <c r="AV254" s="14"/>
      <c r="AW254" s="14"/>
    </row>
    <row r="255" spans="1:49" ht="13">
      <c r="A255" s="133">
        <v>1989</v>
      </c>
      <c r="B255" s="22" t="s">
        <v>8</v>
      </c>
      <c r="C255" s="29" t="s">
        <v>73</v>
      </c>
      <c r="D255" s="29" t="s">
        <v>1937</v>
      </c>
      <c r="E255" s="29" t="e">
        <v>#N/A</v>
      </c>
      <c r="F255" s="29"/>
      <c r="G255" s="29">
        <f>COUNTIF(Stakeholders!$E$2:$E960,F255)</f>
        <v>0</v>
      </c>
      <c r="H255" s="29" t="s">
        <v>1938</v>
      </c>
      <c r="I255" s="151" t="s">
        <v>1939</v>
      </c>
      <c r="J255" s="29" t="s">
        <v>67</v>
      </c>
      <c r="K255" s="29"/>
      <c r="L255" s="29"/>
      <c r="M255" s="29"/>
      <c r="N255" s="29"/>
      <c r="O255" s="29"/>
      <c r="P255" s="29"/>
      <c r="Q255" s="29"/>
      <c r="R255" s="29"/>
      <c r="S255" s="29"/>
      <c r="T255" s="29"/>
      <c r="U255" s="29"/>
      <c r="V255" s="29"/>
      <c r="W255" s="29" t="s">
        <v>67</v>
      </c>
      <c r="X255" s="29"/>
      <c r="Y255" s="29"/>
      <c r="Z255" s="29"/>
      <c r="AA255" s="29"/>
      <c r="AB255" s="29" t="s">
        <v>1752</v>
      </c>
      <c r="AC255" s="136">
        <v>43907</v>
      </c>
      <c r="AD255" s="29" t="s">
        <v>1124</v>
      </c>
      <c r="AE255" s="34" t="e">
        <f>VLOOKUP(F255,Stakeholders!E:K,7,0)</f>
        <v>#N/A</v>
      </c>
      <c r="AF255" s="29"/>
      <c r="AG255" s="29"/>
      <c r="AH255" s="34" t="s">
        <v>82</v>
      </c>
      <c r="AI255" s="29"/>
      <c r="AJ255" s="29"/>
      <c r="AK255" s="29"/>
      <c r="AL255" s="29"/>
      <c r="AM255" s="29"/>
      <c r="AN255" s="29"/>
      <c r="AO255" s="29"/>
      <c r="AP255" s="29"/>
      <c r="AQ255" s="29"/>
      <c r="AR255" s="29"/>
      <c r="AS255" s="29"/>
      <c r="AT255" s="29"/>
      <c r="AU255" s="29"/>
      <c r="AV255" s="29"/>
      <c r="AW255" s="29"/>
    </row>
    <row r="256" spans="1:49" ht="13">
      <c r="A256" s="132">
        <v>1993</v>
      </c>
      <c r="B256" s="12" t="s">
        <v>8</v>
      </c>
      <c r="C256" s="14" t="s">
        <v>73</v>
      </c>
      <c r="D256" s="14" t="s">
        <v>1940</v>
      </c>
      <c r="E256" s="14" t="e">
        <v>#N/A</v>
      </c>
      <c r="F256" s="14"/>
      <c r="G256" s="14">
        <f>COUNTIF(Stakeholders!$E$2:$E960,F256)</f>
        <v>0</v>
      </c>
      <c r="H256" s="14" t="s">
        <v>1941</v>
      </c>
      <c r="I256" s="152" t="s">
        <v>1942</v>
      </c>
      <c r="J256" s="14" t="s">
        <v>67</v>
      </c>
      <c r="K256" s="14"/>
      <c r="L256" s="14"/>
      <c r="M256" s="14"/>
      <c r="N256" s="14"/>
      <c r="O256" s="14"/>
      <c r="P256" s="14"/>
      <c r="Q256" s="14"/>
      <c r="R256" s="14"/>
      <c r="S256" s="14"/>
      <c r="T256" s="14"/>
      <c r="U256" s="14"/>
      <c r="V256" s="14"/>
      <c r="W256" s="14" t="s">
        <v>67</v>
      </c>
      <c r="X256" s="14"/>
      <c r="Y256" s="14"/>
      <c r="Z256" s="14"/>
      <c r="AA256" s="14"/>
      <c r="AB256" s="14" t="s">
        <v>1752</v>
      </c>
      <c r="AC256" s="135">
        <v>43908</v>
      </c>
      <c r="AD256" s="14" t="s">
        <v>1125</v>
      </c>
      <c r="AE256" s="24" t="e">
        <f>VLOOKUP(F256,Stakeholders!E:K,7,0)</f>
        <v>#N/A</v>
      </c>
      <c r="AF256" s="14"/>
      <c r="AG256" s="14"/>
      <c r="AH256" s="24" t="s">
        <v>82</v>
      </c>
      <c r="AI256" s="14"/>
      <c r="AJ256" s="14"/>
      <c r="AK256" s="14"/>
      <c r="AL256" s="14"/>
      <c r="AM256" s="14"/>
      <c r="AN256" s="14"/>
      <c r="AO256" s="14"/>
      <c r="AP256" s="14"/>
      <c r="AQ256" s="14"/>
      <c r="AR256" s="14"/>
      <c r="AS256" s="14"/>
      <c r="AT256" s="14"/>
      <c r="AU256" s="14"/>
      <c r="AV256" s="14"/>
      <c r="AW256" s="14"/>
    </row>
    <row r="257" spans="1:49" ht="13">
      <c r="A257" s="133">
        <v>2007</v>
      </c>
      <c r="B257" s="22" t="s">
        <v>8</v>
      </c>
      <c r="C257" s="29" t="s">
        <v>607</v>
      </c>
      <c r="D257" s="29" t="s">
        <v>1943</v>
      </c>
      <c r="E257" s="29" t="e">
        <v>#N/A</v>
      </c>
      <c r="F257" s="29"/>
      <c r="G257" s="29">
        <f>COUNTIF(Stakeholders!$E$2:$E960,F257)</f>
        <v>0</v>
      </c>
      <c r="H257" s="29" t="s">
        <v>1944</v>
      </c>
      <c r="I257" s="151" t="s">
        <v>1945</v>
      </c>
      <c r="J257" s="29" t="s">
        <v>67</v>
      </c>
      <c r="K257" s="29"/>
      <c r="L257" s="29"/>
      <c r="M257" s="29"/>
      <c r="N257" s="29"/>
      <c r="O257" s="29"/>
      <c r="P257" s="29"/>
      <c r="Q257" s="29"/>
      <c r="R257" s="29"/>
      <c r="S257" s="29"/>
      <c r="T257" s="29"/>
      <c r="U257" s="29"/>
      <c r="V257" s="29"/>
      <c r="W257" s="29" t="s">
        <v>67</v>
      </c>
      <c r="X257" s="29"/>
      <c r="Y257" s="29"/>
      <c r="Z257" s="29"/>
      <c r="AA257" s="29"/>
      <c r="AB257" s="29" t="s">
        <v>1752</v>
      </c>
      <c r="AC257" s="136">
        <v>43909</v>
      </c>
      <c r="AD257" s="29" t="s">
        <v>743</v>
      </c>
      <c r="AE257" s="34" t="e">
        <f>VLOOKUP(F257,Stakeholders!E:K,7,0)</f>
        <v>#N/A</v>
      </c>
      <c r="AF257" s="29"/>
      <c r="AG257" s="29"/>
      <c r="AH257" s="34" t="s">
        <v>82</v>
      </c>
      <c r="AI257" s="29"/>
      <c r="AJ257" s="29"/>
      <c r="AK257" s="29"/>
      <c r="AL257" s="29"/>
      <c r="AM257" s="29"/>
      <c r="AN257" s="29"/>
      <c r="AO257" s="29"/>
      <c r="AP257" s="29"/>
      <c r="AQ257" s="29"/>
      <c r="AR257" s="29"/>
      <c r="AS257" s="29"/>
      <c r="AT257" s="29"/>
      <c r="AU257" s="29"/>
      <c r="AV257" s="29"/>
      <c r="AW257" s="29"/>
    </row>
    <row r="258" spans="1:49" ht="13">
      <c r="A258" s="132">
        <v>1978</v>
      </c>
      <c r="B258" s="12" t="s">
        <v>8</v>
      </c>
      <c r="C258" s="14" t="s">
        <v>73</v>
      </c>
      <c r="D258" s="14" t="s">
        <v>1946</v>
      </c>
      <c r="E258" s="14" t="e">
        <v>#N/A</v>
      </c>
      <c r="F258" s="14"/>
      <c r="G258" s="14">
        <f>COUNTIF(Stakeholders!$E$2:$E960,F258)</f>
        <v>0</v>
      </c>
      <c r="H258" s="14" t="s">
        <v>1947</v>
      </c>
      <c r="I258" s="152" t="s">
        <v>1948</v>
      </c>
      <c r="J258" s="14" t="s">
        <v>67</v>
      </c>
      <c r="K258" s="14"/>
      <c r="L258" s="14"/>
      <c r="M258" s="14"/>
      <c r="N258" s="14"/>
      <c r="O258" s="14"/>
      <c r="P258" s="14"/>
      <c r="Q258" s="14"/>
      <c r="R258" s="14"/>
      <c r="S258" s="14"/>
      <c r="T258" s="14"/>
      <c r="U258" s="14"/>
      <c r="V258" s="14"/>
      <c r="W258" s="14" t="s">
        <v>67</v>
      </c>
      <c r="X258" s="14"/>
      <c r="Y258" s="14"/>
      <c r="Z258" s="14"/>
      <c r="AA258" s="14"/>
      <c r="AB258" s="14" t="s">
        <v>1752</v>
      </c>
      <c r="AC258" s="135">
        <v>43910</v>
      </c>
      <c r="AD258" s="14" t="s">
        <v>1130</v>
      </c>
      <c r="AE258" s="24" t="e">
        <f>VLOOKUP(F258,Stakeholders!E:K,7,0)</f>
        <v>#N/A</v>
      </c>
      <c r="AF258" s="14"/>
      <c r="AG258" s="14"/>
      <c r="AH258" s="24" t="s">
        <v>82</v>
      </c>
      <c r="AI258" s="14"/>
      <c r="AJ258" s="14"/>
      <c r="AK258" s="14"/>
      <c r="AL258" s="14"/>
      <c r="AM258" s="14"/>
      <c r="AN258" s="14"/>
      <c r="AO258" s="14"/>
      <c r="AP258" s="14"/>
      <c r="AQ258" s="14"/>
      <c r="AR258" s="14"/>
      <c r="AS258" s="14"/>
      <c r="AT258" s="14"/>
      <c r="AU258" s="14"/>
      <c r="AV258" s="14"/>
      <c r="AW258" s="14"/>
    </row>
    <row r="259" spans="1:49" ht="13">
      <c r="A259" s="133">
        <v>2012</v>
      </c>
      <c r="B259" s="22" t="s">
        <v>8</v>
      </c>
      <c r="C259" s="29" t="s">
        <v>1949</v>
      </c>
      <c r="D259" s="29" t="s">
        <v>1949</v>
      </c>
      <c r="E259" s="29" t="e">
        <v>#N/A</v>
      </c>
      <c r="F259" s="29"/>
      <c r="G259" s="29">
        <f>COUNTIF(Stakeholders!$E$2:$E960,F259)</f>
        <v>0</v>
      </c>
      <c r="H259" s="29" t="s">
        <v>1950</v>
      </c>
      <c r="I259" s="151" t="s">
        <v>1951</v>
      </c>
      <c r="J259" s="29" t="s">
        <v>67</v>
      </c>
      <c r="K259" s="29"/>
      <c r="L259" s="29"/>
      <c r="M259" s="29"/>
      <c r="N259" s="29"/>
      <c r="O259" s="29"/>
      <c r="P259" s="29"/>
      <c r="Q259" s="29"/>
      <c r="R259" s="29"/>
      <c r="S259" s="29"/>
      <c r="T259" s="29"/>
      <c r="U259" s="29"/>
      <c r="V259" s="29"/>
      <c r="W259" s="29" t="s">
        <v>67</v>
      </c>
      <c r="X259" s="29"/>
      <c r="Y259" s="29"/>
      <c r="Z259" s="29"/>
      <c r="AA259" s="29"/>
      <c r="AB259" s="29" t="s">
        <v>1752</v>
      </c>
      <c r="AC259" s="136">
        <v>43911</v>
      </c>
      <c r="AD259" s="29" t="s">
        <v>1131</v>
      </c>
      <c r="AE259" s="34" t="e">
        <f>VLOOKUP(F259,Stakeholders!E:K,7,0)</f>
        <v>#N/A</v>
      </c>
      <c r="AF259" s="29"/>
      <c r="AG259" s="29"/>
      <c r="AH259" s="34" t="s">
        <v>82</v>
      </c>
      <c r="AI259" s="29"/>
      <c r="AJ259" s="29"/>
      <c r="AK259" s="29"/>
      <c r="AL259" s="29"/>
      <c r="AM259" s="29"/>
      <c r="AN259" s="29"/>
      <c r="AO259" s="29"/>
      <c r="AP259" s="29"/>
      <c r="AQ259" s="29"/>
      <c r="AR259" s="29"/>
      <c r="AS259" s="29"/>
      <c r="AT259" s="29"/>
      <c r="AU259" s="29"/>
      <c r="AV259" s="29"/>
      <c r="AW259" s="29"/>
    </row>
    <row r="260" spans="1:49" ht="13">
      <c r="A260" s="132">
        <v>2017</v>
      </c>
      <c r="B260" s="12" t="s">
        <v>8</v>
      </c>
      <c r="C260" s="14" t="s">
        <v>1952</v>
      </c>
      <c r="D260" s="14" t="s">
        <v>1952</v>
      </c>
      <c r="E260" s="14" t="e">
        <v>#N/A</v>
      </c>
      <c r="F260" s="14"/>
      <c r="G260" s="14">
        <f>COUNTIF(Stakeholders!$E$2:$E960,F260)</f>
        <v>0</v>
      </c>
      <c r="H260" s="14" t="s">
        <v>1953</v>
      </c>
      <c r="I260" s="152" t="s">
        <v>1954</v>
      </c>
      <c r="J260" s="14" t="s">
        <v>67</v>
      </c>
      <c r="K260" s="14"/>
      <c r="L260" s="14"/>
      <c r="M260" s="14"/>
      <c r="N260" s="14"/>
      <c r="O260" s="14"/>
      <c r="P260" s="14"/>
      <c r="Q260" s="14"/>
      <c r="R260" s="14"/>
      <c r="S260" s="14"/>
      <c r="T260" s="14"/>
      <c r="U260" s="14"/>
      <c r="V260" s="14"/>
      <c r="W260" s="14" t="s">
        <v>67</v>
      </c>
      <c r="X260" s="14"/>
      <c r="Y260" s="14"/>
      <c r="Z260" s="14"/>
      <c r="AA260" s="14"/>
      <c r="AB260" s="14" t="s">
        <v>1752</v>
      </c>
      <c r="AC260" s="135">
        <v>43912</v>
      </c>
      <c r="AD260" s="14" t="s">
        <v>1132</v>
      </c>
      <c r="AE260" s="24" t="e">
        <f>VLOOKUP(F260,Stakeholders!E:K,7,0)</f>
        <v>#N/A</v>
      </c>
      <c r="AF260" s="14"/>
      <c r="AG260" s="14"/>
      <c r="AH260" s="24" t="s">
        <v>82</v>
      </c>
      <c r="AI260" s="14"/>
      <c r="AJ260" s="14"/>
      <c r="AK260" s="14"/>
      <c r="AL260" s="14"/>
      <c r="AM260" s="14"/>
      <c r="AN260" s="14"/>
      <c r="AO260" s="14"/>
      <c r="AP260" s="14"/>
      <c r="AQ260" s="14"/>
      <c r="AR260" s="14"/>
      <c r="AS260" s="14"/>
      <c r="AT260" s="14"/>
      <c r="AU260" s="14"/>
      <c r="AV260" s="14"/>
      <c r="AW260" s="14"/>
    </row>
    <row r="261" spans="1:49" ht="13">
      <c r="A261" s="133">
        <v>2006</v>
      </c>
      <c r="B261" s="22" t="s">
        <v>8</v>
      </c>
      <c r="C261" s="29" t="s">
        <v>1955</v>
      </c>
      <c r="D261" s="29" t="s">
        <v>1955</v>
      </c>
      <c r="E261" s="29" t="e">
        <v>#N/A</v>
      </c>
      <c r="F261" s="29"/>
      <c r="G261" s="29">
        <f>COUNTIF(Stakeholders!$E$2:$E960,F261)</f>
        <v>0</v>
      </c>
      <c r="H261" s="29" t="s">
        <v>1956</v>
      </c>
      <c r="I261" s="151" t="s">
        <v>1957</v>
      </c>
      <c r="J261" s="29" t="s">
        <v>67</v>
      </c>
      <c r="K261" s="29"/>
      <c r="L261" s="29"/>
      <c r="M261" s="29"/>
      <c r="N261" s="29"/>
      <c r="O261" s="29"/>
      <c r="P261" s="29"/>
      <c r="Q261" s="29"/>
      <c r="R261" s="29"/>
      <c r="S261" s="29"/>
      <c r="T261" s="29"/>
      <c r="U261" s="29"/>
      <c r="V261" s="29"/>
      <c r="W261" s="29" t="s">
        <v>67</v>
      </c>
      <c r="X261" s="29"/>
      <c r="Y261" s="29"/>
      <c r="Z261" s="29"/>
      <c r="AA261" s="29"/>
      <c r="AB261" s="29" t="s">
        <v>1752</v>
      </c>
      <c r="AC261" s="136">
        <v>43913</v>
      </c>
      <c r="AD261" s="29" t="s">
        <v>1133</v>
      </c>
      <c r="AE261" s="34" t="e">
        <f>VLOOKUP(F261,Stakeholders!E:K,7,0)</f>
        <v>#N/A</v>
      </c>
      <c r="AF261" s="29"/>
      <c r="AG261" s="29"/>
      <c r="AH261" s="34" t="s">
        <v>82</v>
      </c>
      <c r="AI261" s="29"/>
      <c r="AJ261" s="29"/>
      <c r="AK261" s="29"/>
      <c r="AL261" s="29"/>
      <c r="AM261" s="29"/>
      <c r="AN261" s="29"/>
      <c r="AO261" s="29"/>
      <c r="AP261" s="29"/>
      <c r="AQ261" s="29"/>
      <c r="AR261" s="29"/>
      <c r="AS261" s="29"/>
      <c r="AT261" s="29"/>
      <c r="AU261" s="29"/>
      <c r="AV261" s="29"/>
      <c r="AW261" s="29"/>
    </row>
    <row r="262" spans="1:49" ht="13">
      <c r="A262" s="132">
        <v>2006</v>
      </c>
      <c r="B262" s="12" t="s">
        <v>8</v>
      </c>
      <c r="C262" s="14" t="s">
        <v>1955</v>
      </c>
      <c r="D262" s="14" t="s">
        <v>1955</v>
      </c>
      <c r="E262" s="14" t="e">
        <v>#N/A</v>
      </c>
      <c r="F262" s="14"/>
      <c r="G262" s="14">
        <f>COUNTIF(Stakeholders!$E$2:$E960,F262)</f>
        <v>0</v>
      </c>
      <c r="H262" s="14" t="s">
        <v>1958</v>
      </c>
      <c r="I262" s="152" t="s">
        <v>1959</v>
      </c>
      <c r="J262" s="14" t="s">
        <v>67</v>
      </c>
      <c r="K262" s="14"/>
      <c r="L262" s="14"/>
      <c r="M262" s="14"/>
      <c r="N262" s="14"/>
      <c r="O262" s="14"/>
      <c r="P262" s="14"/>
      <c r="Q262" s="14"/>
      <c r="R262" s="14"/>
      <c r="S262" s="14"/>
      <c r="T262" s="14"/>
      <c r="U262" s="14"/>
      <c r="V262" s="14"/>
      <c r="W262" s="14" t="s">
        <v>67</v>
      </c>
      <c r="X262" s="14"/>
      <c r="Y262" s="14"/>
      <c r="Z262" s="14"/>
      <c r="AA262" s="14"/>
      <c r="AB262" s="14" t="s">
        <v>1752</v>
      </c>
      <c r="AC262" s="135">
        <v>43914</v>
      </c>
      <c r="AD262" s="14" t="s">
        <v>1134</v>
      </c>
      <c r="AE262" s="24" t="e">
        <f>VLOOKUP(F262,Stakeholders!E:K,7,0)</f>
        <v>#N/A</v>
      </c>
      <c r="AF262" s="14"/>
      <c r="AG262" s="14"/>
      <c r="AH262" s="24" t="s">
        <v>82</v>
      </c>
      <c r="AI262" s="14"/>
      <c r="AJ262" s="14"/>
      <c r="AK262" s="14"/>
      <c r="AL262" s="14"/>
      <c r="AM262" s="14"/>
      <c r="AN262" s="14"/>
      <c r="AO262" s="14"/>
      <c r="AP262" s="14"/>
      <c r="AQ262" s="14"/>
      <c r="AR262" s="14"/>
      <c r="AS262" s="14"/>
      <c r="AT262" s="14"/>
      <c r="AU262" s="14"/>
      <c r="AV262" s="14"/>
      <c r="AW262" s="14"/>
    </row>
    <row r="263" spans="1:49" ht="13">
      <c r="A263" s="133">
        <v>2006</v>
      </c>
      <c r="B263" s="22" t="s">
        <v>8</v>
      </c>
      <c r="C263" s="29" t="s">
        <v>1955</v>
      </c>
      <c r="D263" s="29" t="s">
        <v>1955</v>
      </c>
      <c r="E263" s="29" t="e">
        <v>#N/A</v>
      </c>
      <c r="F263" s="29"/>
      <c r="G263" s="29">
        <f>COUNTIF(Stakeholders!$E$2:$E960,F263)</f>
        <v>0</v>
      </c>
      <c r="H263" s="29" t="s">
        <v>1960</v>
      </c>
      <c r="I263" s="151" t="s">
        <v>1961</v>
      </c>
      <c r="J263" s="29" t="s">
        <v>67</v>
      </c>
      <c r="K263" s="29"/>
      <c r="L263" s="29"/>
      <c r="M263" s="29"/>
      <c r="N263" s="29"/>
      <c r="O263" s="29"/>
      <c r="P263" s="29"/>
      <c r="Q263" s="29"/>
      <c r="R263" s="29"/>
      <c r="S263" s="29"/>
      <c r="T263" s="29"/>
      <c r="U263" s="29"/>
      <c r="V263" s="29"/>
      <c r="W263" s="29" t="s">
        <v>67</v>
      </c>
      <c r="X263" s="29"/>
      <c r="Y263" s="29"/>
      <c r="Z263" s="29"/>
      <c r="AA263" s="29"/>
      <c r="AB263" s="29" t="s">
        <v>1752</v>
      </c>
      <c r="AC263" s="136">
        <v>43915</v>
      </c>
      <c r="AD263" s="29" t="s">
        <v>1135</v>
      </c>
      <c r="AE263" s="34" t="e">
        <f>VLOOKUP(F263,Stakeholders!E:K,7,0)</f>
        <v>#N/A</v>
      </c>
      <c r="AF263" s="29"/>
      <c r="AG263" s="29"/>
      <c r="AH263" s="34" t="s">
        <v>82</v>
      </c>
      <c r="AI263" s="29"/>
      <c r="AJ263" s="29"/>
      <c r="AK263" s="29"/>
      <c r="AL263" s="29"/>
      <c r="AM263" s="29"/>
      <c r="AN263" s="29"/>
      <c r="AO263" s="29"/>
      <c r="AP263" s="29"/>
      <c r="AQ263" s="29"/>
      <c r="AR263" s="29"/>
      <c r="AS263" s="29"/>
      <c r="AT263" s="29"/>
      <c r="AU263" s="29"/>
      <c r="AV263" s="29"/>
      <c r="AW263" s="29"/>
    </row>
    <row r="264" spans="1:49" ht="13">
      <c r="A264" s="132">
        <v>2006</v>
      </c>
      <c r="B264" s="12" t="s">
        <v>8</v>
      </c>
      <c r="C264" s="14" t="s">
        <v>1955</v>
      </c>
      <c r="D264" s="14" t="s">
        <v>1955</v>
      </c>
      <c r="E264" s="14" t="e">
        <v>#N/A</v>
      </c>
      <c r="F264" s="14"/>
      <c r="G264" s="14">
        <f>COUNTIF(Stakeholders!$E$2:$E960,F264)</f>
        <v>0</v>
      </c>
      <c r="H264" s="14" t="s">
        <v>1962</v>
      </c>
      <c r="I264" s="152" t="s">
        <v>1963</v>
      </c>
      <c r="J264" s="14" t="s">
        <v>67</v>
      </c>
      <c r="K264" s="14"/>
      <c r="L264" s="14"/>
      <c r="M264" s="14"/>
      <c r="N264" s="14"/>
      <c r="O264" s="14"/>
      <c r="P264" s="14"/>
      <c r="Q264" s="14"/>
      <c r="R264" s="14"/>
      <c r="S264" s="14"/>
      <c r="T264" s="14"/>
      <c r="U264" s="14"/>
      <c r="V264" s="14"/>
      <c r="W264" s="14" t="s">
        <v>67</v>
      </c>
      <c r="X264" s="14"/>
      <c r="Y264" s="14"/>
      <c r="Z264" s="14"/>
      <c r="AA264" s="14"/>
      <c r="AB264" s="14" t="s">
        <v>1752</v>
      </c>
      <c r="AC264" s="135">
        <v>43916</v>
      </c>
      <c r="AD264" s="14" t="s">
        <v>1136</v>
      </c>
      <c r="AE264" s="24" t="e">
        <f>VLOOKUP(F264,Stakeholders!E:K,7,0)</f>
        <v>#N/A</v>
      </c>
      <c r="AF264" s="14"/>
      <c r="AG264" s="14"/>
      <c r="AH264" s="24" t="s">
        <v>82</v>
      </c>
      <c r="AI264" s="14"/>
      <c r="AJ264" s="14"/>
      <c r="AK264" s="14"/>
      <c r="AL264" s="14"/>
      <c r="AM264" s="14"/>
      <c r="AN264" s="14"/>
      <c r="AO264" s="14"/>
      <c r="AP264" s="14"/>
      <c r="AQ264" s="14"/>
      <c r="AR264" s="14"/>
      <c r="AS264" s="14"/>
      <c r="AT264" s="14"/>
      <c r="AU264" s="14"/>
      <c r="AV264" s="14"/>
      <c r="AW264" s="14"/>
    </row>
    <row r="265" spans="1:49" ht="13">
      <c r="A265" s="133">
        <v>2006</v>
      </c>
      <c r="B265" s="22" t="s">
        <v>8</v>
      </c>
      <c r="C265" s="29" t="s">
        <v>1955</v>
      </c>
      <c r="D265" s="29" t="s">
        <v>1955</v>
      </c>
      <c r="E265" s="29" t="e">
        <v>#N/A</v>
      </c>
      <c r="F265" s="29"/>
      <c r="G265" s="29">
        <f>COUNTIF(Stakeholders!$E$2:$E960,F265)</f>
        <v>0</v>
      </c>
      <c r="H265" s="29" t="s">
        <v>1964</v>
      </c>
      <c r="I265" s="151" t="s">
        <v>1965</v>
      </c>
      <c r="J265" s="29" t="s">
        <v>67</v>
      </c>
      <c r="K265" s="29"/>
      <c r="L265" s="29"/>
      <c r="M265" s="29"/>
      <c r="N265" s="29"/>
      <c r="O265" s="29"/>
      <c r="P265" s="29"/>
      <c r="Q265" s="29"/>
      <c r="R265" s="29"/>
      <c r="S265" s="29"/>
      <c r="T265" s="29"/>
      <c r="U265" s="29"/>
      <c r="V265" s="29"/>
      <c r="W265" s="29" t="s">
        <v>67</v>
      </c>
      <c r="X265" s="29"/>
      <c r="Y265" s="29"/>
      <c r="Z265" s="29"/>
      <c r="AA265" s="29"/>
      <c r="AB265" s="29" t="s">
        <v>1752</v>
      </c>
      <c r="AC265" s="136">
        <v>43917</v>
      </c>
      <c r="AD265" s="29" t="s">
        <v>1139</v>
      </c>
      <c r="AE265" s="34" t="e">
        <f>VLOOKUP(F265,Stakeholders!E:K,7,0)</f>
        <v>#N/A</v>
      </c>
      <c r="AF265" s="29"/>
      <c r="AG265" s="29"/>
      <c r="AH265" s="34" t="s">
        <v>82</v>
      </c>
      <c r="AI265" s="29"/>
      <c r="AJ265" s="29"/>
      <c r="AK265" s="29"/>
      <c r="AL265" s="29"/>
      <c r="AM265" s="29"/>
      <c r="AN265" s="29"/>
      <c r="AO265" s="29"/>
      <c r="AP265" s="29"/>
      <c r="AQ265" s="29"/>
      <c r="AR265" s="29"/>
      <c r="AS265" s="29"/>
      <c r="AT265" s="29"/>
      <c r="AU265" s="29"/>
      <c r="AV265" s="29"/>
      <c r="AW265" s="29"/>
    </row>
    <row r="266" spans="1:49" ht="13">
      <c r="A266" s="132">
        <v>2007</v>
      </c>
      <c r="B266" s="12" t="s">
        <v>8</v>
      </c>
      <c r="C266" s="14" t="s">
        <v>1966</v>
      </c>
      <c r="D266" s="14" t="s">
        <v>1966</v>
      </c>
      <c r="E266" s="14" t="e">
        <v>#N/A</v>
      </c>
      <c r="F266" s="14"/>
      <c r="G266" s="14">
        <f>COUNTIF(Stakeholders!$E$2:$E960,F266)</f>
        <v>0</v>
      </c>
      <c r="H266" s="14" t="s">
        <v>1967</v>
      </c>
      <c r="I266" s="152" t="s">
        <v>1968</v>
      </c>
      <c r="J266" s="14" t="s">
        <v>67</v>
      </c>
      <c r="K266" s="14"/>
      <c r="L266" s="14"/>
      <c r="M266" s="14"/>
      <c r="N266" s="14"/>
      <c r="O266" s="14"/>
      <c r="P266" s="14"/>
      <c r="Q266" s="14"/>
      <c r="R266" s="14"/>
      <c r="S266" s="14"/>
      <c r="T266" s="14"/>
      <c r="U266" s="14"/>
      <c r="V266" s="14"/>
      <c r="W266" s="14" t="s">
        <v>67</v>
      </c>
      <c r="X266" s="14"/>
      <c r="Y266" s="14"/>
      <c r="Z266" s="14"/>
      <c r="AA266" s="14"/>
      <c r="AB266" s="14" t="s">
        <v>1752</v>
      </c>
      <c r="AC266" s="135">
        <v>43918</v>
      </c>
      <c r="AD266" s="14" t="s">
        <v>1141</v>
      </c>
      <c r="AE266" s="24" t="e">
        <f>VLOOKUP(F266,Stakeholders!E:K,7,0)</f>
        <v>#N/A</v>
      </c>
      <c r="AF266" s="14"/>
      <c r="AG266" s="14"/>
      <c r="AH266" s="24" t="s">
        <v>82</v>
      </c>
      <c r="AI266" s="14"/>
      <c r="AJ266" s="14"/>
      <c r="AK266" s="14"/>
      <c r="AL266" s="14"/>
      <c r="AM266" s="14"/>
      <c r="AN266" s="14"/>
      <c r="AO266" s="14"/>
      <c r="AP266" s="14"/>
      <c r="AQ266" s="14"/>
      <c r="AR266" s="14"/>
      <c r="AS266" s="14"/>
      <c r="AT266" s="14"/>
      <c r="AU266" s="14"/>
      <c r="AV266" s="14"/>
      <c r="AW266" s="14"/>
    </row>
    <row r="267" spans="1:49" ht="13">
      <c r="A267" s="133">
        <v>2015</v>
      </c>
      <c r="B267" s="22" t="s">
        <v>8</v>
      </c>
      <c r="C267" s="29" t="s">
        <v>1969</v>
      </c>
      <c r="D267" s="29" t="s">
        <v>1969</v>
      </c>
      <c r="E267" s="29" t="e">
        <v>#N/A</v>
      </c>
      <c r="F267" s="29"/>
      <c r="G267" s="29">
        <f>COUNTIF(Stakeholders!$E$2:$E960,F267)</f>
        <v>0</v>
      </c>
      <c r="H267" s="29" t="s">
        <v>1970</v>
      </c>
      <c r="I267" s="151" t="s">
        <v>1971</v>
      </c>
      <c r="J267" s="29" t="s">
        <v>67</v>
      </c>
      <c r="K267" s="29"/>
      <c r="L267" s="29"/>
      <c r="M267" s="29"/>
      <c r="N267" s="29"/>
      <c r="O267" s="29"/>
      <c r="P267" s="29"/>
      <c r="Q267" s="29"/>
      <c r="R267" s="29"/>
      <c r="S267" s="29"/>
      <c r="T267" s="29"/>
      <c r="U267" s="29"/>
      <c r="V267" s="29"/>
      <c r="W267" s="29" t="s">
        <v>67</v>
      </c>
      <c r="X267" s="29"/>
      <c r="Y267" s="29"/>
      <c r="Z267" s="29"/>
      <c r="AA267" s="29"/>
      <c r="AB267" s="29" t="s">
        <v>1752</v>
      </c>
      <c r="AC267" s="136">
        <v>43919</v>
      </c>
      <c r="AD267" s="29" t="s">
        <v>1142</v>
      </c>
      <c r="AE267" s="34" t="e">
        <f>VLOOKUP(F267,Stakeholders!E:K,7,0)</f>
        <v>#N/A</v>
      </c>
      <c r="AF267" s="29"/>
      <c r="AG267" s="29"/>
      <c r="AH267" s="34" t="s">
        <v>82</v>
      </c>
      <c r="AI267" s="29"/>
      <c r="AJ267" s="29"/>
      <c r="AK267" s="29"/>
      <c r="AL267" s="29"/>
      <c r="AM267" s="29"/>
      <c r="AN267" s="29"/>
      <c r="AO267" s="29"/>
      <c r="AP267" s="29"/>
      <c r="AQ267" s="29"/>
      <c r="AR267" s="29"/>
      <c r="AS267" s="29"/>
      <c r="AT267" s="29"/>
      <c r="AU267" s="29"/>
      <c r="AV267" s="29"/>
      <c r="AW267" s="29"/>
    </row>
    <row r="268" spans="1:49" ht="13">
      <c r="A268" s="132">
        <v>2014</v>
      </c>
      <c r="B268" s="12" t="s">
        <v>8</v>
      </c>
      <c r="C268" s="14" t="s">
        <v>73</v>
      </c>
      <c r="D268" s="14" t="s">
        <v>1972</v>
      </c>
      <c r="E268" s="14" t="e">
        <v>#N/A</v>
      </c>
      <c r="F268" s="14"/>
      <c r="G268" s="14">
        <f>COUNTIF(Stakeholders!$E$2:$E960,F268)</f>
        <v>0</v>
      </c>
      <c r="H268" s="14" t="s">
        <v>1973</v>
      </c>
      <c r="I268" s="152" t="s">
        <v>1974</v>
      </c>
      <c r="J268" s="14" t="s">
        <v>67</v>
      </c>
      <c r="K268" s="14"/>
      <c r="L268" s="14"/>
      <c r="M268" s="14"/>
      <c r="N268" s="14"/>
      <c r="O268" s="14"/>
      <c r="P268" s="14"/>
      <c r="Q268" s="14"/>
      <c r="R268" s="14"/>
      <c r="S268" s="14"/>
      <c r="T268" s="14"/>
      <c r="U268" s="14"/>
      <c r="V268" s="14"/>
      <c r="W268" s="14" t="s">
        <v>67</v>
      </c>
      <c r="X268" s="14"/>
      <c r="Y268" s="14"/>
      <c r="Z268" s="14"/>
      <c r="AA268" s="14"/>
      <c r="AB268" s="14" t="s">
        <v>1752</v>
      </c>
      <c r="AC268" s="135">
        <v>43920</v>
      </c>
      <c r="AD268" s="14" t="s">
        <v>1143</v>
      </c>
      <c r="AE268" s="24" t="e">
        <f>VLOOKUP(F268,Stakeholders!E:K,7,0)</f>
        <v>#N/A</v>
      </c>
      <c r="AF268" s="14"/>
      <c r="AG268" s="14"/>
      <c r="AH268" s="24" t="s">
        <v>82</v>
      </c>
      <c r="AI268" s="14"/>
      <c r="AJ268" s="14"/>
      <c r="AK268" s="14"/>
      <c r="AL268" s="14"/>
      <c r="AM268" s="14"/>
      <c r="AN268" s="14"/>
      <c r="AO268" s="14"/>
      <c r="AP268" s="14"/>
      <c r="AQ268" s="14"/>
      <c r="AR268" s="14"/>
      <c r="AS268" s="14"/>
      <c r="AT268" s="14"/>
      <c r="AU268" s="14"/>
      <c r="AV268" s="14"/>
      <c r="AW268" s="14"/>
    </row>
    <row r="269" spans="1:49" ht="13">
      <c r="A269" s="133">
        <v>2000</v>
      </c>
      <c r="B269" s="22" t="s">
        <v>8</v>
      </c>
      <c r="C269" s="29" t="s">
        <v>1975</v>
      </c>
      <c r="D269" s="29" t="s">
        <v>1975</v>
      </c>
      <c r="E269" s="29" t="e">
        <v>#N/A</v>
      </c>
      <c r="F269" s="29"/>
      <c r="G269" s="29">
        <f>COUNTIF(Stakeholders!$E$2:$E960,F269)</f>
        <v>0</v>
      </c>
      <c r="H269" s="29" t="s">
        <v>1976</v>
      </c>
      <c r="I269" s="151" t="s">
        <v>1977</v>
      </c>
      <c r="J269" s="29" t="s">
        <v>67</v>
      </c>
      <c r="K269" s="29"/>
      <c r="L269" s="29"/>
      <c r="M269" s="29"/>
      <c r="N269" s="29"/>
      <c r="O269" s="29"/>
      <c r="P269" s="29"/>
      <c r="Q269" s="29"/>
      <c r="R269" s="29"/>
      <c r="S269" s="29"/>
      <c r="T269" s="29"/>
      <c r="U269" s="29"/>
      <c r="V269" s="29"/>
      <c r="W269" s="29" t="s">
        <v>67</v>
      </c>
      <c r="X269" s="29"/>
      <c r="Y269" s="29"/>
      <c r="Z269" s="29"/>
      <c r="AA269" s="29"/>
      <c r="AB269" s="29" t="s">
        <v>1752</v>
      </c>
      <c r="AC269" s="136">
        <v>43921</v>
      </c>
      <c r="AD269" s="29" t="s">
        <v>1144</v>
      </c>
      <c r="AE269" s="34" t="e">
        <f>VLOOKUP(F269,Stakeholders!E:K,7,0)</f>
        <v>#N/A</v>
      </c>
      <c r="AF269" s="29"/>
      <c r="AG269" s="29"/>
      <c r="AH269" s="34" t="s">
        <v>82</v>
      </c>
      <c r="AI269" s="29"/>
      <c r="AJ269" s="29"/>
      <c r="AK269" s="29"/>
      <c r="AL269" s="29"/>
      <c r="AM269" s="29"/>
      <c r="AN269" s="29"/>
      <c r="AO269" s="29"/>
      <c r="AP269" s="29"/>
      <c r="AQ269" s="29"/>
      <c r="AR269" s="29"/>
      <c r="AS269" s="29"/>
      <c r="AT269" s="29"/>
      <c r="AU269" s="29"/>
      <c r="AV269" s="29"/>
      <c r="AW269" s="29"/>
    </row>
    <row r="270" spans="1:49" ht="13">
      <c r="A270" s="132">
        <v>2017</v>
      </c>
      <c r="B270" s="12" t="s">
        <v>8</v>
      </c>
      <c r="C270" s="14" t="s">
        <v>349</v>
      </c>
      <c r="D270" s="14" t="s">
        <v>1978</v>
      </c>
      <c r="E270" s="14" t="e">
        <v>#N/A</v>
      </c>
      <c r="F270" s="14"/>
      <c r="G270" s="14">
        <f>COUNTIF(Stakeholders!$E$2:$E960,F270)</f>
        <v>0</v>
      </c>
      <c r="H270" s="14" t="s">
        <v>1979</v>
      </c>
      <c r="I270" s="152" t="s">
        <v>1980</v>
      </c>
      <c r="J270" s="14" t="s">
        <v>67</v>
      </c>
      <c r="K270" s="14"/>
      <c r="L270" s="14"/>
      <c r="M270" s="14"/>
      <c r="N270" s="14"/>
      <c r="O270" s="14"/>
      <c r="P270" s="14"/>
      <c r="Q270" s="14"/>
      <c r="R270" s="14"/>
      <c r="S270" s="14"/>
      <c r="T270" s="14"/>
      <c r="U270" s="14"/>
      <c r="V270" s="14"/>
      <c r="W270" s="14" t="s">
        <v>67</v>
      </c>
      <c r="X270" s="14"/>
      <c r="Y270" s="14"/>
      <c r="Z270" s="14"/>
      <c r="AA270" s="14"/>
      <c r="AB270" s="14" t="s">
        <v>1752</v>
      </c>
      <c r="AC270" s="135">
        <v>43922</v>
      </c>
      <c r="AD270" s="14" t="s">
        <v>744</v>
      </c>
      <c r="AE270" s="24" t="e">
        <f>VLOOKUP(F270,Stakeholders!E:K,7,0)</f>
        <v>#N/A</v>
      </c>
      <c r="AF270" s="14"/>
      <c r="AG270" s="14"/>
      <c r="AH270" s="24" t="s">
        <v>82</v>
      </c>
      <c r="AI270" s="14"/>
      <c r="AJ270" s="14"/>
      <c r="AK270" s="14"/>
      <c r="AL270" s="14"/>
      <c r="AM270" s="14"/>
      <c r="AN270" s="14"/>
      <c r="AO270" s="14"/>
      <c r="AP270" s="14"/>
      <c r="AQ270" s="14"/>
      <c r="AR270" s="14"/>
      <c r="AS270" s="14"/>
      <c r="AT270" s="14"/>
      <c r="AU270" s="14"/>
      <c r="AV270" s="14"/>
      <c r="AW270" s="14"/>
    </row>
    <row r="271" spans="1:49" ht="13">
      <c r="A271" s="133">
        <v>2004</v>
      </c>
      <c r="B271" s="22" t="s">
        <v>8</v>
      </c>
      <c r="C271" s="29" t="s">
        <v>1981</v>
      </c>
      <c r="D271" s="29" t="s">
        <v>1981</v>
      </c>
      <c r="E271" s="29" t="e">
        <v>#N/A</v>
      </c>
      <c r="F271" s="29"/>
      <c r="G271" s="29">
        <f>COUNTIF(Stakeholders!$E$2:$E960,F271)</f>
        <v>0</v>
      </c>
      <c r="H271" s="29" t="s">
        <v>1982</v>
      </c>
      <c r="I271" s="151" t="s">
        <v>1983</v>
      </c>
      <c r="J271" s="29" t="s">
        <v>67</v>
      </c>
      <c r="K271" s="29"/>
      <c r="L271" s="29"/>
      <c r="M271" s="29"/>
      <c r="N271" s="29"/>
      <c r="O271" s="29"/>
      <c r="P271" s="29"/>
      <c r="Q271" s="29"/>
      <c r="R271" s="29"/>
      <c r="S271" s="29"/>
      <c r="T271" s="29"/>
      <c r="U271" s="29"/>
      <c r="V271" s="29"/>
      <c r="W271" s="29" t="s">
        <v>67</v>
      </c>
      <c r="X271" s="29"/>
      <c r="Y271" s="29"/>
      <c r="Z271" s="29"/>
      <c r="AA271" s="29"/>
      <c r="AB271" s="29" t="s">
        <v>1752</v>
      </c>
      <c r="AC271" s="136">
        <v>43923</v>
      </c>
      <c r="AD271" s="29" t="s">
        <v>1145</v>
      </c>
      <c r="AE271" s="34" t="e">
        <f>VLOOKUP(F271,Stakeholders!E:K,7,0)</f>
        <v>#N/A</v>
      </c>
      <c r="AF271" s="29"/>
      <c r="AG271" s="29"/>
      <c r="AH271" s="34" t="s">
        <v>82</v>
      </c>
      <c r="AI271" s="29"/>
      <c r="AJ271" s="29"/>
      <c r="AK271" s="29"/>
      <c r="AL271" s="29"/>
      <c r="AM271" s="29"/>
      <c r="AN271" s="29"/>
      <c r="AO271" s="29"/>
      <c r="AP271" s="29"/>
      <c r="AQ271" s="29"/>
      <c r="AR271" s="29"/>
      <c r="AS271" s="29"/>
      <c r="AT271" s="29"/>
      <c r="AU271" s="29"/>
      <c r="AV271" s="29"/>
      <c r="AW271" s="29"/>
    </row>
    <row r="272" spans="1:49" ht="13">
      <c r="A272" s="132">
        <v>2000</v>
      </c>
      <c r="B272" s="12" t="s">
        <v>8</v>
      </c>
      <c r="C272" s="14" t="s">
        <v>1984</v>
      </c>
      <c r="D272" s="14" t="s">
        <v>1984</v>
      </c>
      <c r="E272" s="14" t="e">
        <v>#N/A</v>
      </c>
      <c r="F272" s="14"/>
      <c r="G272" s="14">
        <f>COUNTIF(Stakeholders!$E$2:$E960,F272)</f>
        <v>0</v>
      </c>
      <c r="H272" s="14" t="s">
        <v>1985</v>
      </c>
      <c r="I272" s="152" t="s">
        <v>1986</v>
      </c>
      <c r="J272" s="14" t="s">
        <v>67</v>
      </c>
      <c r="K272" s="14"/>
      <c r="L272" s="14"/>
      <c r="M272" s="14"/>
      <c r="N272" s="14"/>
      <c r="O272" s="14"/>
      <c r="P272" s="14"/>
      <c r="Q272" s="14"/>
      <c r="R272" s="14"/>
      <c r="S272" s="14"/>
      <c r="T272" s="14"/>
      <c r="U272" s="14"/>
      <c r="V272" s="14"/>
      <c r="W272" s="14" t="s">
        <v>67</v>
      </c>
      <c r="X272" s="14"/>
      <c r="Y272" s="14"/>
      <c r="Z272" s="14"/>
      <c r="AA272" s="14"/>
      <c r="AB272" s="14" t="s">
        <v>1752</v>
      </c>
      <c r="AC272" s="135">
        <v>43924</v>
      </c>
      <c r="AD272" s="14" t="s">
        <v>1146</v>
      </c>
      <c r="AE272" s="24" t="e">
        <f>VLOOKUP(F272,Stakeholders!E:K,7,0)</f>
        <v>#N/A</v>
      </c>
      <c r="AF272" s="14"/>
      <c r="AG272" s="14"/>
      <c r="AH272" s="24" t="s">
        <v>82</v>
      </c>
      <c r="AI272" s="14"/>
      <c r="AJ272" s="14"/>
      <c r="AK272" s="14"/>
      <c r="AL272" s="14"/>
      <c r="AM272" s="14"/>
      <c r="AN272" s="14"/>
      <c r="AO272" s="14"/>
      <c r="AP272" s="14"/>
      <c r="AQ272" s="14"/>
      <c r="AR272" s="14"/>
      <c r="AS272" s="14"/>
      <c r="AT272" s="14"/>
      <c r="AU272" s="14"/>
      <c r="AV272" s="14"/>
      <c r="AW272" s="14"/>
    </row>
    <row r="273" spans="1:49" ht="13">
      <c r="A273" s="133">
        <v>2001</v>
      </c>
      <c r="B273" s="22" t="s">
        <v>8</v>
      </c>
      <c r="C273" s="29" t="s">
        <v>224</v>
      </c>
      <c r="D273" s="29" t="s">
        <v>1987</v>
      </c>
      <c r="E273" s="29" t="e">
        <v>#N/A</v>
      </c>
      <c r="F273" s="29"/>
      <c r="G273" s="29">
        <f>COUNTIF(Stakeholders!$E$2:$E960,F273)</f>
        <v>0</v>
      </c>
      <c r="H273" s="29" t="s">
        <v>1988</v>
      </c>
      <c r="I273" s="151" t="s">
        <v>1989</v>
      </c>
      <c r="J273" s="29" t="s">
        <v>67</v>
      </c>
      <c r="K273" s="29"/>
      <c r="L273" s="29"/>
      <c r="M273" s="29"/>
      <c r="N273" s="29"/>
      <c r="O273" s="29"/>
      <c r="P273" s="29"/>
      <c r="Q273" s="29"/>
      <c r="R273" s="29"/>
      <c r="S273" s="29"/>
      <c r="T273" s="29"/>
      <c r="U273" s="29"/>
      <c r="V273" s="29"/>
      <c r="W273" s="29" t="s">
        <v>67</v>
      </c>
      <c r="X273" s="29"/>
      <c r="Y273" s="29"/>
      <c r="Z273" s="29"/>
      <c r="AA273" s="29"/>
      <c r="AB273" s="29" t="s">
        <v>1752</v>
      </c>
      <c r="AC273" s="136">
        <v>43925</v>
      </c>
      <c r="AD273" s="29" t="s">
        <v>1147</v>
      </c>
      <c r="AE273" s="34" t="e">
        <f>VLOOKUP(F273,Stakeholders!E:K,7,0)</f>
        <v>#N/A</v>
      </c>
      <c r="AF273" s="29"/>
      <c r="AG273" s="29"/>
      <c r="AH273" s="34" t="s">
        <v>82</v>
      </c>
      <c r="AI273" s="29"/>
      <c r="AJ273" s="29"/>
      <c r="AK273" s="29"/>
      <c r="AL273" s="29"/>
      <c r="AM273" s="29"/>
      <c r="AN273" s="29"/>
      <c r="AO273" s="29"/>
      <c r="AP273" s="29"/>
      <c r="AQ273" s="29"/>
      <c r="AR273" s="29"/>
      <c r="AS273" s="29"/>
      <c r="AT273" s="29"/>
      <c r="AU273" s="29"/>
      <c r="AV273" s="29"/>
      <c r="AW273" s="29"/>
    </row>
    <row r="274" spans="1:49" ht="13">
      <c r="A274" s="132">
        <v>2001</v>
      </c>
      <c r="B274" s="12" t="s">
        <v>8</v>
      </c>
      <c r="C274" s="14" t="s">
        <v>224</v>
      </c>
      <c r="D274" s="14" t="s">
        <v>1990</v>
      </c>
      <c r="E274" s="14" t="e">
        <v>#N/A</v>
      </c>
      <c r="F274" s="14"/>
      <c r="G274" s="14">
        <f>COUNTIF(Stakeholders!$E$2:$E960,F274)</f>
        <v>0</v>
      </c>
      <c r="H274" s="14" t="s">
        <v>1991</v>
      </c>
      <c r="I274" s="152" t="s">
        <v>1992</v>
      </c>
      <c r="J274" s="14" t="s">
        <v>67</v>
      </c>
      <c r="K274" s="14"/>
      <c r="L274" s="14"/>
      <c r="M274" s="14"/>
      <c r="N274" s="14"/>
      <c r="O274" s="14"/>
      <c r="P274" s="14"/>
      <c r="Q274" s="14"/>
      <c r="R274" s="14"/>
      <c r="S274" s="14"/>
      <c r="T274" s="14"/>
      <c r="U274" s="14"/>
      <c r="V274" s="14"/>
      <c r="W274" s="14" t="s">
        <v>67</v>
      </c>
      <c r="X274" s="14"/>
      <c r="Y274" s="14"/>
      <c r="Z274" s="14"/>
      <c r="AA274" s="14"/>
      <c r="AB274" s="14" t="s">
        <v>1752</v>
      </c>
      <c r="AC274" s="135">
        <v>43926</v>
      </c>
      <c r="AD274" s="14" t="s">
        <v>1148</v>
      </c>
      <c r="AE274" s="24" t="e">
        <f>VLOOKUP(F274,Stakeholders!E:K,7,0)</f>
        <v>#N/A</v>
      </c>
      <c r="AF274" s="14"/>
      <c r="AG274" s="14"/>
      <c r="AH274" s="24" t="s">
        <v>82</v>
      </c>
      <c r="AI274" s="14"/>
      <c r="AJ274" s="14"/>
      <c r="AK274" s="14"/>
      <c r="AL274" s="14"/>
      <c r="AM274" s="14"/>
      <c r="AN274" s="14"/>
      <c r="AO274" s="14"/>
      <c r="AP274" s="14"/>
      <c r="AQ274" s="14"/>
      <c r="AR274" s="14"/>
      <c r="AS274" s="14"/>
      <c r="AT274" s="14"/>
      <c r="AU274" s="14"/>
      <c r="AV274" s="14"/>
      <c r="AW274" s="14"/>
    </row>
    <row r="275" spans="1:49" ht="13">
      <c r="A275" s="133">
        <v>2005</v>
      </c>
      <c r="B275" s="22" t="s">
        <v>8</v>
      </c>
      <c r="C275" s="29" t="s">
        <v>1981</v>
      </c>
      <c r="D275" s="29" t="s">
        <v>1981</v>
      </c>
      <c r="E275" s="29" t="e">
        <v>#N/A</v>
      </c>
      <c r="F275" s="29"/>
      <c r="G275" s="29">
        <f>COUNTIF(Stakeholders!$E$2:$E960,F275)</f>
        <v>0</v>
      </c>
      <c r="H275" s="29" t="s">
        <v>1993</v>
      </c>
      <c r="I275" s="151" t="s">
        <v>1994</v>
      </c>
      <c r="J275" s="29" t="s">
        <v>67</v>
      </c>
      <c r="K275" s="29"/>
      <c r="L275" s="29"/>
      <c r="M275" s="29"/>
      <c r="N275" s="29"/>
      <c r="O275" s="29"/>
      <c r="P275" s="29"/>
      <c r="Q275" s="29"/>
      <c r="R275" s="29"/>
      <c r="S275" s="29"/>
      <c r="T275" s="29"/>
      <c r="U275" s="29"/>
      <c r="V275" s="29"/>
      <c r="W275" s="29" t="s">
        <v>67</v>
      </c>
      <c r="X275" s="29"/>
      <c r="Y275" s="29"/>
      <c r="Z275" s="29"/>
      <c r="AA275" s="29"/>
      <c r="AB275" s="29" t="s">
        <v>1752</v>
      </c>
      <c r="AC275" s="136">
        <v>43927</v>
      </c>
      <c r="AD275" s="29" t="s">
        <v>1150</v>
      </c>
      <c r="AE275" s="34" t="e">
        <f>VLOOKUP(F275,Stakeholders!E:K,7,0)</f>
        <v>#N/A</v>
      </c>
      <c r="AF275" s="29"/>
      <c r="AG275" s="29"/>
      <c r="AH275" s="34" t="s">
        <v>82</v>
      </c>
      <c r="AI275" s="29"/>
      <c r="AJ275" s="29"/>
      <c r="AK275" s="29"/>
      <c r="AL275" s="29"/>
      <c r="AM275" s="29"/>
      <c r="AN275" s="29"/>
      <c r="AO275" s="29"/>
      <c r="AP275" s="29"/>
      <c r="AQ275" s="29"/>
      <c r="AR275" s="29"/>
      <c r="AS275" s="29"/>
      <c r="AT275" s="29"/>
      <c r="AU275" s="29"/>
      <c r="AV275" s="29"/>
      <c r="AW275" s="29"/>
    </row>
    <row r="276" spans="1:49" ht="13">
      <c r="A276" s="132">
        <v>2007</v>
      </c>
      <c r="B276" s="12" t="s">
        <v>8</v>
      </c>
      <c r="C276" s="14" t="s">
        <v>1995</v>
      </c>
      <c r="D276" s="14" t="s">
        <v>1995</v>
      </c>
      <c r="E276" s="14" t="e">
        <v>#N/A</v>
      </c>
      <c r="F276" s="14"/>
      <c r="G276" s="14">
        <f>COUNTIF(Stakeholders!$E$2:$E960,F276)</f>
        <v>0</v>
      </c>
      <c r="H276" s="14" t="s">
        <v>1996</v>
      </c>
      <c r="I276" s="152" t="s">
        <v>1997</v>
      </c>
      <c r="J276" s="14" t="s">
        <v>67</v>
      </c>
      <c r="K276" s="14"/>
      <c r="L276" s="14"/>
      <c r="M276" s="14"/>
      <c r="N276" s="14"/>
      <c r="O276" s="14"/>
      <c r="P276" s="14"/>
      <c r="Q276" s="14"/>
      <c r="R276" s="14"/>
      <c r="S276" s="14"/>
      <c r="T276" s="14"/>
      <c r="U276" s="14"/>
      <c r="V276" s="14"/>
      <c r="W276" s="14" t="s">
        <v>67</v>
      </c>
      <c r="X276" s="14"/>
      <c r="Y276" s="14"/>
      <c r="Z276" s="14"/>
      <c r="AA276" s="14"/>
      <c r="AB276" s="14" t="s">
        <v>1752</v>
      </c>
      <c r="AC276" s="135">
        <v>43928</v>
      </c>
      <c r="AD276" s="14" t="s">
        <v>1152</v>
      </c>
      <c r="AE276" s="24" t="e">
        <f>VLOOKUP(F276,Stakeholders!E:K,7,0)</f>
        <v>#N/A</v>
      </c>
      <c r="AF276" s="14"/>
      <c r="AG276" s="14"/>
      <c r="AH276" s="24" t="s">
        <v>82</v>
      </c>
      <c r="AI276" s="14"/>
      <c r="AJ276" s="14"/>
      <c r="AK276" s="14"/>
      <c r="AL276" s="14"/>
      <c r="AM276" s="14"/>
      <c r="AN276" s="14"/>
      <c r="AO276" s="14"/>
      <c r="AP276" s="14"/>
      <c r="AQ276" s="14"/>
      <c r="AR276" s="14"/>
      <c r="AS276" s="14"/>
      <c r="AT276" s="14"/>
      <c r="AU276" s="14"/>
      <c r="AV276" s="14"/>
      <c r="AW276" s="14"/>
    </row>
    <row r="277" spans="1:49" ht="13">
      <c r="A277" s="133">
        <v>2010</v>
      </c>
      <c r="B277" s="22" t="s">
        <v>8</v>
      </c>
      <c r="C277" s="29" t="s">
        <v>1990</v>
      </c>
      <c r="D277" s="29" t="s">
        <v>1990</v>
      </c>
      <c r="E277" s="29" t="e">
        <v>#N/A</v>
      </c>
      <c r="F277" s="29"/>
      <c r="G277" s="29">
        <f>COUNTIF(Stakeholders!$E$2:$E960,F277)</f>
        <v>0</v>
      </c>
      <c r="H277" s="29" t="s">
        <v>1998</v>
      </c>
      <c r="I277" s="151" t="s">
        <v>1999</v>
      </c>
      <c r="J277" s="29" t="s">
        <v>67</v>
      </c>
      <c r="K277" s="29"/>
      <c r="L277" s="29"/>
      <c r="M277" s="29"/>
      <c r="N277" s="29"/>
      <c r="O277" s="29"/>
      <c r="P277" s="29"/>
      <c r="Q277" s="29"/>
      <c r="R277" s="29"/>
      <c r="S277" s="29"/>
      <c r="T277" s="29"/>
      <c r="U277" s="29"/>
      <c r="V277" s="29"/>
      <c r="W277" s="29" t="s">
        <v>67</v>
      </c>
      <c r="X277" s="29"/>
      <c r="Y277" s="29"/>
      <c r="Z277" s="29"/>
      <c r="AA277" s="29"/>
      <c r="AB277" s="29" t="s">
        <v>1752</v>
      </c>
      <c r="AC277" s="136">
        <v>43929</v>
      </c>
      <c r="AD277" s="29" t="s">
        <v>1153</v>
      </c>
      <c r="AE277" s="34" t="e">
        <f>VLOOKUP(F277,Stakeholders!E:K,7,0)</f>
        <v>#N/A</v>
      </c>
      <c r="AF277" s="29"/>
      <c r="AG277" s="29"/>
      <c r="AH277" s="34" t="s">
        <v>82</v>
      </c>
      <c r="AI277" s="29"/>
      <c r="AJ277" s="29"/>
      <c r="AK277" s="29"/>
      <c r="AL277" s="29"/>
      <c r="AM277" s="29"/>
      <c r="AN277" s="29"/>
      <c r="AO277" s="29"/>
      <c r="AP277" s="29"/>
      <c r="AQ277" s="29"/>
      <c r="AR277" s="29"/>
      <c r="AS277" s="29"/>
      <c r="AT277" s="29"/>
      <c r="AU277" s="29"/>
      <c r="AV277" s="29"/>
      <c r="AW277" s="29"/>
    </row>
    <row r="278" spans="1:49" ht="13">
      <c r="A278" s="132">
        <v>2012</v>
      </c>
      <c r="B278" s="12" t="s">
        <v>8</v>
      </c>
      <c r="C278" s="14" t="s">
        <v>1984</v>
      </c>
      <c r="D278" s="14" t="s">
        <v>1984</v>
      </c>
      <c r="E278" s="14" t="e">
        <v>#N/A</v>
      </c>
      <c r="F278" s="14"/>
      <c r="G278" s="14">
        <f>COUNTIF(Stakeholders!$E$2:$E960,F278)</f>
        <v>0</v>
      </c>
      <c r="H278" s="14" t="s">
        <v>2000</v>
      </c>
      <c r="I278" s="152" t="s">
        <v>2001</v>
      </c>
      <c r="J278" s="14" t="s">
        <v>67</v>
      </c>
      <c r="K278" s="14"/>
      <c r="L278" s="14"/>
      <c r="M278" s="14"/>
      <c r="N278" s="14"/>
      <c r="O278" s="14"/>
      <c r="P278" s="14"/>
      <c r="Q278" s="14"/>
      <c r="R278" s="14"/>
      <c r="S278" s="14"/>
      <c r="T278" s="14"/>
      <c r="U278" s="14"/>
      <c r="V278" s="14"/>
      <c r="W278" s="14" t="s">
        <v>67</v>
      </c>
      <c r="X278" s="14"/>
      <c r="Y278" s="14"/>
      <c r="Z278" s="14"/>
      <c r="AA278" s="14"/>
      <c r="AB278" s="14" t="s">
        <v>1752</v>
      </c>
      <c r="AC278" s="135">
        <v>43930</v>
      </c>
      <c r="AD278" s="14" t="s">
        <v>1154</v>
      </c>
      <c r="AE278" s="24" t="e">
        <f>VLOOKUP(F278,Stakeholders!E:K,7,0)</f>
        <v>#N/A</v>
      </c>
      <c r="AF278" s="14"/>
      <c r="AG278" s="14"/>
      <c r="AH278" s="24" t="s">
        <v>82</v>
      </c>
      <c r="AI278" s="14"/>
      <c r="AJ278" s="14"/>
      <c r="AK278" s="14"/>
      <c r="AL278" s="14"/>
      <c r="AM278" s="14"/>
      <c r="AN278" s="14"/>
      <c r="AO278" s="14"/>
      <c r="AP278" s="14"/>
      <c r="AQ278" s="14"/>
      <c r="AR278" s="14"/>
      <c r="AS278" s="14"/>
      <c r="AT278" s="14"/>
      <c r="AU278" s="14"/>
      <c r="AV278" s="14"/>
      <c r="AW278" s="14"/>
    </row>
    <row r="279" spans="1:49" ht="13">
      <c r="A279" s="133">
        <v>2013</v>
      </c>
      <c r="B279" s="22" t="s">
        <v>8</v>
      </c>
      <c r="C279" s="29" t="s">
        <v>1981</v>
      </c>
      <c r="D279" s="29" t="s">
        <v>1981</v>
      </c>
      <c r="E279" s="29" t="e">
        <v>#N/A</v>
      </c>
      <c r="F279" s="29"/>
      <c r="G279" s="29">
        <f>COUNTIF(Stakeholders!$E$2:$E960,F279)</f>
        <v>0</v>
      </c>
      <c r="H279" s="29" t="s">
        <v>2002</v>
      </c>
      <c r="I279" s="151" t="s">
        <v>2003</v>
      </c>
      <c r="J279" s="29" t="s">
        <v>67</v>
      </c>
      <c r="K279" s="29"/>
      <c r="L279" s="29"/>
      <c r="M279" s="29"/>
      <c r="N279" s="29"/>
      <c r="O279" s="29"/>
      <c r="P279" s="29"/>
      <c r="Q279" s="29"/>
      <c r="R279" s="29"/>
      <c r="S279" s="29"/>
      <c r="T279" s="29"/>
      <c r="U279" s="29"/>
      <c r="V279" s="29"/>
      <c r="W279" s="29" t="s">
        <v>67</v>
      </c>
      <c r="X279" s="29"/>
      <c r="Y279" s="29"/>
      <c r="Z279" s="29"/>
      <c r="AA279" s="29"/>
      <c r="AB279" s="29" t="s">
        <v>1752</v>
      </c>
      <c r="AC279" s="136">
        <v>43931</v>
      </c>
      <c r="AD279" s="29" t="s">
        <v>1155</v>
      </c>
      <c r="AE279" s="34" t="e">
        <f>VLOOKUP(F279,Stakeholders!E:K,7,0)</f>
        <v>#N/A</v>
      </c>
      <c r="AF279" s="29"/>
      <c r="AG279" s="29"/>
      <c r="AH279" s="34" t="s">
        <v>82</v>
      </c>
      <c r="AI279" s="29"/>
      <c r="AJ279" s="29"/>
      <c r="AK279" s="29"/>
      <c r="AL279" s="29"/>
      <c r="AM279" s="29"/>
      <c r="AN279" s="29"/>
      <c r="AO279" s="29"/>
      <c r="AP279" s="29"/>
      <c r="AQ279" s="29"/>
      <c r="AR279" s="29"/>
      <c r="AS279" s="29"/>
      <c r="AT279" s="29"/>
      <c r="AU279" s="29"/>
      <c r="AV279" s="29"/>
      <c r="AW279" s="29"/>
    </row>
    <row r="280" spans="1:49" ht="13">
      <c r="A280" s="132">
        <v>2013</v>
      </c>
      <c r="B280" s="12" t="s">
        <v>8</v>
      </c>
      <c r="C280" s="14" t="s">
        <v>2004</v>
      </c>
      <c r="D280" s="14" t="s">
        <v>2004</v>
      </c>
      <c r="E280" s="14" t="e">
        <v>#N/A</v>
      </c>
      <c r="F280" s="14"/>
      <c r="G280" s="14">
        <f>COUNTIF(Stakeholders!$E$2:$E960,F280)</f>
        <v>0</v>
      </c>
      <c r="H280" s="14" t="s">
        <v>2005</v>
      </c>
      <c r="I280" s="152" t="s">
        <v>2006</v>
      </c>
      <c r="J280" s="14" t="s">
        <v>67</v>
      </c>
      <c r="K280" s="14"/>
      <c r="L280" s="14"/>
      <c r="M280" s="14"/>
      <c r="N280" s="14"/>
      <c r="O280" s="14"/>
      <c r="P280" s="14"/>
      <c r="Q280" s="14"/>
      <c r="R280" s="14"/>
      <c r="S280" s="14"/>
      <c r="T280" s="14"/>
      <c r="U280" s="14"/>
      <c r="V280" s="14"/>
      <c r="W280" s="14" t="s">
        <v>67</v>
      </c>
      <c r="X280" s="14"/>
      <c r="Y280" s="14"/>
      <c r="Z280" s="14"/>
      <c r="AA280" s="14"/>
      <c r="AB280" s="14" t="s">
        <v>1752</v>
      </c>
      <c r="AC280" s="135">
        <v>43932</v>
      </c>
      <c r="AD280" s="14" t="s">
        <v>1156</v>
      </c>
      <c r="AE280" s="24" t="e">
        <f>VLOOKUP(F280,Stakeholders!E:K,7,0)</f>
        <v>#N/A</v>
      </c>
      <c r="AF280" s="14"/>
      <c r="AG280" s="14"/>
      <c r="AH280" s="24" t="s">
        <v>82</v>
      </c>
      <c r="AI280" s="14"/>
      <c r="AJ280" s="14"/>
      <c r="AK280" s="14"/>
      <c r="AL280" s="14"/>
      <c r="AM280" s="14"/>
      <c r="AN280" s="14"/>
      <c r="AO280" s="14"/>
      <c r="AP280" s="14"/>
      <c r="AQ280" s="14"/>
      <c r="AR280" s="14"/>
      <c r="AS280" s="14"/>
      <c r="AT280" s="14"/>
      <c r="AU280" s="14"/>
      <c r="AV280" s="14"/>
      <c r="AW280" s="14"/>
    </row>
    <row r="281" spans="1:49" ht="13">
      <c r="A281" s="133">
        <v>2014</v>
      </c>
      <c r="B281" s="22" t="s">
        <v>8</v>
      </c>
      <c r="C281" s="29" t="s">
        <v>2007</v>
      </c>
      <c r="D281" s="29" t="s">
        <v>2007</v>
      </c>
      <c r="E281" s="29" t="e">
        <v>#N/A</v>
      </c>
      <c r="F281" s="29"/>
      <c r="G281" s="29">
        <f>COUNTIF(Stakeholders!$E$2:$E960,F281)</f>
        <v>0</v>
      </c>
      <c r="H281" s="29" t="s">
        <v>2008</v>
      </c>
      <c r="I281" s="151" t="s">
        <v>2009</v>
      </c>
      <c r="J281" s="29" t="s">
        <v>67</v>
      </c>
      <c r="K281" s="29"/>
      <c r="L281" s="29"/>
      <c r="M281" s="29"/>
      <c r="N281" s="29"/>
      <c r="O281" s="29"/>
      <c r="P281" s="29"/>
      <c r="Q281" s="29"/>
      <c r="R281" s="29"/>
      <c r="S281" s="29"/>
      <c r="T281" s="29"/>
      <c r="U281" s="29"/>
      <c r="V281" s="29"/>
      <c r="W281" s="29" t="s">
        <v>67</v>
      </c>
      <c r="X281" s="29"/>
      <c r="Y281" s="29"/>
      <c r="Z281" s="29"/>
      <c r="AA281" s="29"/>
      <c r="AB281" s="29" t="s">
        <v>1752</v>
      </c>
      <c r="AC281" s="136">
        <v>43933</v>
      </c>
      <c r="AD281" s="29" t="s">
        <v>1157</v>
      </c>
      <c r="AE281" s="34" t="e">
        <f>VLOOKUP(F281,Stakeholders!E:K,7,0)</f>
        <v>#N/A</v>
      </c>
      <c r="AF281" s="29"/>
      <c r="AG281" s="29"/>
      <c r="AH281" s="34" t="s">
        <v>82</v>
      </c>
      <c r="AI281" s="29"/>
      <c r="AJ281" s="29"/>
      <c r="AK281" s="29"/>
      <c r="AL281" s="29"/>
      <c r="AM281" s="29"/>
      <c r="AN281" s="29"/>
      <c r="AO281" s="29"/>
      <c r="AP281" s="29"/>
      <c r="AQ281" s="29"/>
      <c r="AR281" s="29"/>
      <c r="AS281" s="29"/>
      <c r="AT281" s="29"/>
      <c r="AU281" s="29"/>
      <c r="AV281" s="29"/>
      <c r="AW281" s="29"/>
    </row>
    <row r="282" spans="1:49" ht="13">
      <c r="A282" s="132">
        <v>2016</v>
      </c>
      <c r="B282" s="12" t="s">
        <v>8</v>
      </c>
      <c r="C282" s="14" t="s">
        <v>2010</v>
      </c>
      <c r="D282" s="14" t="s">
        <v>2010</v>
      </c>
      <c r="E282" s="14" t="e">
        <v>#N/A</v>
      </c>
      <c r="F282" s="14"/>
      <c r="G282" s="14">
        <f>COUNTIF(Stakeholders!$E$2:$E960,F282)</f>
        <v>0</v>
      </c>
      <c r="H282" s="14" t="s">
        <v>2011</v>
      </c>
      <c r="I282" s="152" t="s">
        <v>2012</v>
      </c>
      <c r="J282" s="14" t="s">
        <v>67</v>
      </c>
      <c r="K282" s="14"/>
      <c r="L282" s="14"/>
      <c r="M282" s="14"/>
      <c r="N282" s="14"/>
      <c r="O282" s="14"/>
      <c r="P282" s="14"/>
      <c r="Q282" s="14"/>
      <c r="R282" s="14"/>
      <c r="S282" s="14"/>
      <c r="T282" s="14"/>
      <c r="U282" s="14"/>
      <c r="V282" s="14"/>
      <c r="W282" s="14" t="s">
        <v>67</v>
      </c>
      <c r="X282" s="14"/>
      <c r="Y282" s="14"/>
      <c r="Z282" s="14"/>
      <c r="AA282" s="14"/>
      <c r="AB282" s="14" t="s">
        <v>1752</v>
      </c>
      <c r="AC282" s="135">
        <v>43934</v>
      </c>
      <c r="AD282" s="14" t="s">
        <v>1161</v>
      </c>
      <c r="AE282" s="24" t="e">
        <f>VLOOKUP(F282,Stakeholders!E:K,7,0)</f>
        <v>#N/A</v>
      </c>
      <c r="AF282" s="14"/>
      <c r="AG282" s="14"/>
      <c r="AH282" s="24" t="s">
        <v>82</v>
      </c>
      <c r="AI282" s="14"/>
      <c r="AJ282" s="14"/>
      <c r="AK282" s="14"/>
      <c r="AL282" s="14"/>
      <c r="AM282" s="14"/>
      <c r="AN282" s="14"/>
      <c r="AO282" s="14"/>
      <c r="AP282" s="14"/>
      <c r="AQ282" s="14"/>
      <c r="AR282" s="14"/>
      <c r="AS282" s="14"/>
      <c r="AT282" s="14"/>
      <c r="AU282" s="14"/>
      <c r="AV282" s="14"/>
      <c r="AW282" s="14"/>
    </row>
    <row r="283" spans="1:49" ht="13">
      <c r="A283" s="133">
        <v>2016</v>
      </c>
      <c r="B283" s="22" t="s">
        <v>8</v>
      </c>
      <c r="C283" s="29" t="s">
        <v>2004</v>
      </c>
      <c r="D283" s="29" t="s">
        <v>2004</v>
      </c>
      <c r="E283" s="29" t="e">
        <v>#N/A</v>
      </c>
      <c r="F283" s="29"/>
      <c r="G283" s="29">
        <f>COUNTIF(Stakeholders!$E$2:$E960,F283)</f>
        <v>0</v>
      </c>
      <c r="H283" s="29" t="s">
        <v>2013</v>
      </c>
      <c r="I283" s="151" t="s">
        <v>2014</v>
      </c>
      <c r="J283" s="29" t="s">
        <v>67</v>
      </c>
      <c r="K283" s="29"/>
      <c r="L283" s="29"/>
      <c r="M283" s="29"/>
      <c r="N283" s="29"/>
      <c r="O283" s="29"/>
      <c r="P283" s="29"/>
      <c r="Q283" s="29"/>
      <c r="R283" s="29"/>
      <c r="S283" s="29"/>
      <c r="T283" s="29"/>
      <c r="U283" s="29"/>
      <c r="V283" s="29"/>
      <c r="W283" s="29" t="s">
        <v>67</v>
      </c>
      <c r="X283" s="29"/>
      <c r="Y283" s="29"/>
      <c r="Z283" s="29"/>
      <c r="AA283" s="29"/>
      <c r="AB283" s="29" t="s">
        <v>1752</v>
      </c>
      <c r="AC283" s="136">
        <v>43935</v>
      </c>
      <c r="AD283" s="29" t="s">
        <v>1163</v>
      </c>
      <c r="AE283" s="34" t="e">
        <f>VLOOKUP(F283,Stakeholders!E:K,7,0)</f>
        <v>#N/A</v>
      </c>
      <c r="AF283" s="29"/>
      <c r="AG283" s="29"/>
      <c r="AH283" s="34" t="s">
        <v>82</v>
      </c>
      <c r="AI283" s="29"/>
      <c r="AJ283" s="29"/>
      <c r="AK283" s="29"/>
      <c r="AL283" s="29"/>
      <c r="AM283" s="29"/>
      <c r="AN283" s="29"/>
      <c r="AO283" s="29"/>
      <c r="AP283" s="29"/>
      <c r="AQ283" s="29"/>
      <c r="AR283" s="29"/>
      <c r="AS283" s="29"/>
      <c r="AT283" s="29"/>
      <c r="AU283" s="29"/>
      <c r="AV283" s="29"/>
      <c r="AW283" s="29"/>
    </row>
    <row r="284" spans="1:49" ht="13">
      <c r="A284" s="132">
        <v>2017</v>
      </c>
      <c r="B284" s="12" t="s">
        <v>8</v>
      </c>
      <c r="C284" s="14" t="s">
        <v>1981</v>
      </c>
      <c r="D284" s="14" t="s">
        <v>1981</v>
      </c>
      <c r="E284" s="14" t="e">
        <v>#N/A</v>
      </c>
      <c r="F284" s="14"/>
      <c r="G284" s="14">
        <f>COUNTIF(Stakeholders!$E$2:$E960,F284)</f>
        <v>0</v>
      </c>
      <c r="H284" s="14" t="s">
        <v>2015</v>
      </c>
      <c r="I284" s="152" t="s">
        <v>2016</v>
      </c>
      <c r="J284" s="14" t="s">
        <v>67</v>
      </c>
      <c r="K284" s="14"/>
      <c r="L284" s="14"/>
      <c r="M284" s="14"/>
      <c r="N284" s="14"/>
      <c r="O284" s="14"/>
      <c r="P284" s="14"/>
      <c r="Q284" s="14"/>
      <c r="R284" s="14"/>
      <c r="S284" s="14"/>
      <c r="T284" s="14"/>
      <c r="U284" s="14"/>
      <c r="V284" s="14"/>
      <c r="W284" s="14" t="s">
        <v>67</v>
      </c>
      <c r="X284" s="14"/>
      <c r="Y284" s="14"/>
      <c r="Z284" s="14"/>
      <c r="AA284" s="14"/>
      <c r="AB284" s="14" t="s">
        <v>1752</v>
      </c>
      <c r="AC284" s="135">
        <v>43936</v>
      </c>
      <c r="AD284" s="14" t="s">
        <v>1164</v>
      </c>
      <c r="AE284" s="24" t="e">
        <f>VLOOKUP(F284,Stakeholders!E:K,7,0)</f>
        <v>#N/A</v>
      </c>
      <c r="AF284" s="14"/>
      <c r="AG284" s="14"/>
      <c r="AH284" s="24" t="s">
        <v>82</v>
      </c>
      <c r="AI284" s="14"/>
      <c r="AJ284" s="14"/>
      <c r="AK284" s="14"/>
      <c r="AL284" s="14"/>
      <c r="AM284" s="14"/>
      <c r="AN284" s="14"/>
      <c r="AO284" s="14"/>
      <c r="AP284" s="14"/>
      <c r="AQ284" s="14"/>
      <c r="AR284" s="14"/>
      <c r="AS284" s="14"/>
      <c r="AT284" s="14"/>
      <c r="AU284" s="14"/>
      <c r="AV284" s="14"/>
      <c r="AW284" s="14"/>
    </row>
    <row r="285" spans="1:49" ht="13">
      <c r="A285" s="133">
        <v>2017</v>
      </c>
      <c r="B285" s="22" t="s">
        <v>8</v>
      </c>
      <c r="C285" s="29" t="s">
        <v>1995</v>
      </c>
      <c r="D285" s="29" t="s">
        <v>1995</v>
      </c>
      <c r="E285" s="29" t="e">
        <v>#N/A</v>
      </c>
      <c r="F285" s="29"/>
      <c r="G285" s="29">
        <f>COUNTIF(Stakeholders!$E$2:$E960,F285)</f>
        <v>0</v>
      </c>
      <c r="H285" s="29" t="s">
        <v>2017</v>
      </c>
      <c r="I285" s="151" t="s">
        <v>2018</v>
      </c>
      <c r="J285" s="29" t="s">
        <v>67</v>
      </c>
      <c r="K285" s="29"/>
      <c r="L285" s="29"/>
      <c r="M285" s="29"/>
      <c r="N285" s="29"/>
      <c r="O285" s="29"/>
      <c r="P285" s="29"/>
      <c r="Q285" s="29"/>
      <c r="R285" s="29"/>
      <c r="S285" s="29"/>
      <c r="T285" s="29"/>
      <c r="U285" s="29"/>
      <c r="V285" s="29"/>
      <c r="W285" s="29" t="s">
        <v>67</v>
      </c>
      <c r="X285" s="29"/>
      <c r="Y285" s="29"/>
      <c r="Z285" s="29"/>
      <c r="AA285" s="29"/>
      <c r="AB285" s="29" t="s">
        <v>1752</v>
      </c>
      <c r="AC285" s="136">
        <v>43937</v>
      </c>
      <c r="AD285" s="29" t="s">
        <v>1165</v>
      </c>
      <c r="AE285" s="34" t="e">
        <f>VLOOKUP(F285,Stakeholders!E:K,7,0)</f>
        <v>#N/A</v>
      </c>
      <c r="AF285" s="29"/>
      <c r="AG285" s="29"/>
      <c r="AH285" s="34" t="s">
        <v>82</v>
      </c>
      <c r="AI285" s="29"/>
      <c r="AJ285" s="29"/>
      <c r="AK285" s="29"/>
      <c r="AL285" s="29"/>
      <c r="AM285" s="29"/>
      <c r="AN285" s="29"/>
      <c r="AO285" s="29"/>
      <c r="AP285" s="29"/>
      <c r="AQ285" s="29"/>
      <c r="AR285" s="29"/>
      <c r="AS285" s="29"/>
      <c r="AT285" s="29"/>
      <c r="AU285" s="29"/>
      <c r="AV285" s="29"/>
      <c r="AW285" s="29"/>
    </row>
    <row r="286" spans="1:49" ht="13">
      <c r="A286" s="132">
        <v>2018</v>
      </c>
      <c r="B286" s="12" t="s">
        <v>8</v>
      </c>
      <c r="C286" s="14" t="s">
        <v>349</v>
      </c>
      <c r="D286" s="14" t="s">
        <v>1995</v>
      </c>
      <c r="E286" s="14" t="e">
        <v>#N/A</v>
      </c>
      <c r="F286" s="14"/>
      <c r="G286" s="14">
        <f>COUNTIF(Stakeholders!$E$2:$E960,F286)</f>
        <v>0</v>
      </c>
      <c r="H286" s="14" t="s">
        <v>2019</v>
      </c>
      <c r="I286" s="152" t="s">
        <v>2020</v>
      </c>
      <c r="J286" s="14" t="s">
        <v>67</v>
      </c>
      <c r="K286" s="14"/>
      <c r="L286" s="14"/>
      <c r="M286" s="14"/>
      <c r="N286" s="14"/>
      <c r="O286" s="14"/>
      <c r="P286" s="14"/>
      <c r="Q286" s="14"/>
      <c r="R286" s="14"/>
      <c r="S286" s="14"/>
      <c r="T286" s="14"/>
      <c r="U286" s="14"/>
      <c r="V286" s="14"/>
      <c r="W286" s="14" t="s">
        <v>67</v>
      </c>
      <c r="X286" s="14"/>
      <c r="Y286" s="14"/>
      <c r="Z286" s="14"/>
      <c r="AA286" s="14"/>
      <c r="AB286" s="14" t="s">
        <v>1752</v>
      </c>
      <c r="AC286" s="135">
        <v>43938</v>
      </c>
      <c r="AD286" s="14" t="s">
        <v>1166</v>
      </c>
      <c r="AE286" s="24" t="e">
        <f>VLOOKUP(F286,Stakeholders!E:K,7,0)</f>
        <v>#N/A</v>
      </c>
      <c r="AF286" s="14"/>
      <c r="AG286" s="14"/>
      <c r="AH286" s="24" t="s">
        <v>82</v>
      </c>
      <c r="AI286" s="14"/>
      <c r="AJ286" s="14"/>
      <c r="AK286" s="14"/>
      <c r="AL286" s="14"/>
      <c r="AM286" s="14"/>
      <c r="AN286" s="14"/>
      <c r="AO286" s="14"/>
      <c r="AP286" s="14"/>
      <c r="AQ286" s="14"/>
      <c r="AR286" s="14"/>
      <c r="AS286" s="14"/>
      <c r="AT286" s="14"/>
      <c r="AU286" s="14"/>
      <c r="AV286" s="14"/>
      <c r="AW286" s="14"/>
    </row>
    <row r="287" spans="1:49" ht="13">
      <c r="A287" s="133">
        <v>2018</v>
      </c>
      <c r="B287" s="22" t="s">
        <v>8</v>
      </c>
      <c r="C287" s="29" t="s">
        <v>2021</v>
      </c>
      <c r="D287" s="29" t="s">
        <v>1987</v>
      </c>
      <c r="E287" s="29" t="e">
        <v>#N/A</v>
      </c>
      <c r="F287" s="29"/>
      <c r="G287" s="29">
        <f>COUNTIF(Stakeholders!$E$2:$E960,F287)</f>
        <v>0</v>
      </c>
      <c r="H287" s="29" t="s">
        <v>2022</v>
      </c>
      <c r="I287" s="151" t="s">
        <v>2023</v>
      </c>
      <c r="J287" s="29" t="s">
        <v>67</v>
      </c>
      <c r="K287" s="29"/>
      <c r="L287" s="29"/>
      <c r="M287" s="29"/>
      <c r="N287" s="29"/>
      <c r="O287" s="29"/>
      <c r="P287" s="29"/>
      <c r="Q287" s="29"/>
      <c r="R287" s="29"/>
      <c r="S287" s="29"/>
      <c r="T287" s="29"/>
      <c r="U287" s="29"/>
      <c r="V287" s="29"/>
      <c r="W287" s="29" t="s">
        <v>67</v>
      </c>
      <c r="X287" s="29"/>
      <c r="Y287" s="29"/>
      <c r="Z287" s="29"/>
      <c r="AA287" s="29"/>
      <c r="AB287" s="29" t="s">
        <v>1752</v>
      </c>
      <c r="AC287" s="136">
        <v>43939</v>
      </c>
      <c r="AD287" s="29" t="s">
        <v>1168</v>
      </c>
      <c r="AE287" s="34" t="e">
        <f>VLOOKUP(F287,Stakeholders!E:K,7,0)</f>
        <v>#N/A</v>
      </c>
      <c r="AF287" s="29"/>
      <c r="AG287" s="29"/>
      <c r="AH287" s="34" t="s">
        <v>82</v>
      </c>
      <c r="AI287" s="29"/>
      <c r="AJ287" s="29"/>
      <c r="AK287" s="29"/>
      <c r="AL287" s="29"/>
      <c r="AM287" s="29"/>
      <c r="AN287" s="29"/>
      <c r="AO287" s="29"/>
      <c r="AP287" s="29"/>
      <c r="AQ287" s="29"/>
      <c r="AR287" s="29"/>
      <c r="AS287" s="29"/>
      <c r="AT287" s="29"/>
      <c r="AU287" s="29"/>
      <c r="AV287" s="29"/>
      <c r="AW287" s="29"/>
    </row>
    <row r="288" spans="1:49" ht="13">
      <c r="A288" s="132">
        <v>2018</v>
      </c>
      <c r="B288" s="12" t="s">
        <v>8</v>
      </c>
      <c r="C288" s="14" t="s">
        <v>2024</v>
      </c>
      <c r="D288" s="14" t="s">
        <v>1987</v>
      </c>
      <c r="E288" s="14" t="e">
        <v>#N/A</v>
      </c>
      <c r="F288" s="14"/>
      <c r="G288" s="14">
        <f>COUNTIF(Stakeholders!$E$2:$E960,F288)</f>
        <v>0</v>
      </c>
      <c r="H288" s="14" t="s">
        <v>2025</v>
      </c>
      <c r="I288" s="152" t="s">
        <v>2026</v>
      </c>
      <c r="J288" s="14" t="s">
        <v>67</v>
      </c>
      <c r="K288" s="14"/>
      <c r="L288" s="14"/>
      <c r="M288" s="14"/>
      <c r="N288" s="14"/>
      <c r="O288" s="14"/>
      <c r="P288" s="14"/>
      <c r="Q288" s="14"/>
      <c r="R288" s="14"/>
      <c r="S288" s="14"/>
      <c r="T288" s="14"/>
      <c r="U288" s="14"/>
      <c r="V288" s="14"/>
      <c r="W288" s="14" t="s">
        <v>67</v>
      </c>
      <c r="X288" s="14"/>
      <c r="Y288" s="14"/>
      <c r="Z288" s="14"/>
      <c r="AA288" s="14"/>
      <c r="AB288" s="14" t="s">
        <v>1752</v>
      </c>
      <c r="AC288" s="135">
        <v>43940</v>
      </c>
      <c r="AD288" s="14" t="s">
        <v>1171</v>
      </c>
      <c r="AE288" s="24" t="e">
        <f>VLOOKUP(F288,Stakeholders!E:K,7,0)</f>
        <v>#N/A</v>
      </c>
      <c r="AF288" s="14"/>
      <c r="AG288" s="14"/>
      <c r="AH288" s="24" t="s">
        <v>82</v>
      </c>
      <c r="AI288" s="14"/>
      <c r="AJ288" s="14"/>
      <c r="AK288" s="14"/>
      <c r="AL288" s="14"/>
      <c r="AM288" s="14"/>
      <c r="AN288" s="14"/>
      <c r="AO288" s="14"/>
      <c r="AP288" s="14"/>
      <c r="AQ288" s="14"/>
      <c r="AR288" s="14"/>
      <c r="AS288" s="14"/>
      <c r="AT288" s="14"/>
      <c r="AU288" s="14"/>
      <c r="AV288" s="14"/>
      <c r="AW288" s="14"/>
    </row>
    <row r="289" spans="1:49" ht="13">
      <c r="A289" s="133">
        <v>2018</v>
      </c>
      <c r="B289" s="22" t="s">
        <v>8</v>
      </c>
      <c r="C289" s="29" t="s">
        <v>2027</v>
      </c>
      <c r="D289" s="29" t="s">
        <v>2027</v>
      </c>
      <c r="E289" s="29" t="e">
        <v>#N/A</v>
      </c>
      <c r="F289" s="29"/>
      <c r="G289" s="29">
        <f>COUNTIF(Stakeholders!$E$2:$E960,F289)</f>
        <v>0</v>
      </c>
      <c r="H289" s="29" t="s">
        <v>2028</v>
      </c>
      <c r="I289" s="151" t="s">
        <v>2029</v>
      </c>
      <c r="J289" s="29" t="s">
        <v>67</v>
      </c>
      <c r="K289" s="29"/>
      <c r="L289" s="29"/>
      <c r="M289" s="29"/>
      <c r="N289" s="29"/>
      <c r="O289" s="29"/>
      <c r="P289" s="29"/>
      <c r="Q289" s="29"/>
      <c r="R289" s="29"/>
      <c r="S289" s="29"/>
      <c r="T289" s="29"/>
      <c r="U289" s="29"/>
      <c r="V289" s="29"/>
      <c r="W289" s="29" t="s">
        <v>67</v>
      </c>
      <c r="X289" s="29"/>
      <c r="Y289" s="29"/>
      <c r="Z289" s="29"/>
      <c r="AA289" s="29"/>
      <c r="AB289" s="29" t="s">
        <v>1752</v>
      </c>
      <c r="AC289" s="136">
        <v>43941</v>
      </c>
      <c r="AD289" s="29" t="s">
        <v>1172</v>
      </c>
      <c r="AE289" s="34" t="e">
        <f>VLOOKUP(F289,Stakeholders!E:K,7,0)</f>
        <v>#N/A</v>
      </c>
      <c r="AF289" s="29"/>
      <c r="AG289" s="29"/>
      <c r="AH289" s="34" t="s">
        <v>82</v>
      </c>
      <c r="AI289" s="29"/>
      <c r="AJ289" s="29"/>
      <c r="AK289" s="29"/>
      <c r="AL289" s="29"/>
      <c r="AM289" s="29"/>
      <c r="AN289" s="29"/>
      <c r="AO289" s="29"/>
      <c r="AP289" s="29"/>
      <c r="AQ289" s="29"/>
      <c r="AR289" s="29"/>
      <c r="AS289" s="29"/>
      <c r="AT289" s="29"/>
      <c r="AU289" s="29"/>
      <c r="AV289" s="29"/>
      <c r="AW289" s="29"/>
    </row>
    <row r="290" spans="1:49" ht="13">
      <c r="A290" s="132">
        <v>2006</v>
      </c>
      <c r="B290" s="12" t="s">
        <v>8</v>
      </c>
      <c r="C290" s="14" t="s">
        <v>2030</v>
      </c>
      <c r="D290" s="14" t="s">
        <v>2030</v>
      </c>
      <c r="E290" s="14" t="e">
        <v>#N/A</v>
      </c>
      <c r="F290" s="14"/>
      <c r="G290" s="14">
        <f>COUNTIF(Stakeholders!$E$2:$E960,F290)</f>
        <v>0</v>
      </c>
      <c r="H290" s="14" t="s">
        <v>2031</v>
      </c>
      <c r="I290" s="152" t="s">
        <v>2032</v>
      </c>
      <c r="J290" s="14" t="s">
        <v>67</v>
      </c>
      <c r="K290" s="14"/>
      <c r="L290" s="14"/>
      <c r="M290" s="14"/>
      <c r="N290" s="14"/>
      <c r="O290" s="14"/>
      <c r="P290" s="14"/>
      <c r="Q290" s="14"/>
      <c r="R290" s="14"/>
      <c r="S290" s="14"/>
      <c r="T290" s="14"/>
      <c r="U290" s="14"/>
      <c r="V290" s="14"/>
      <c r="W290" s="14" t="s">
        <v>67</v>
      </c>
      <c r="X290" s="14"/>
      <c r="Y290" s="14"/>
      <c r="Z290" s="14"/>
      <c r="AA290" s="14"/>
      <c r="AB290" s="14" t="s">
        <v>1752</v>
      </c>
      <c r="AC290" s="135">
        <v>43942</v>
      </c>
      <c r="AD290" s="14" t="s">
        <v>1173</v>
      </c>
      <c r="AE290" s="24" t="e">
        <f>VLOOKUP(F290,Stakeholders!E:K,7,0)</f>
        <v>#N/A</v>
      </c>
      <c r="AF290" s="14"/>
      <c r="AG290" s="14"/>
      <c r="AH290" s="24" t="s">
        <v>82</v>
      </c>
      <c r="AI290" s="14"/>
      <c r="AJ290" s="14"/>
      <c r="AK290" s="14"/>
      <c r="AL290" s="14"/>
      <c r="AM290" s="14"/>
      <c r="AN290" s="14"/>
      <c r="AO290" s="14"/>
      <c r="AP290" s="14"/>
      <c r="AQ290" s="14"/>
      <c r="AR290" s="14"/>
      <c r="AS290" s="14"/>
      <c r="AT290" s="14"/>
      <c r="AU290" s="14"/>
      <c r="AV290" s="14"/>
      <c r="AW290" s="14"/>
    </row>
    <row r="291" spans="1:49" ht="13">
      <c r="A291" s="133">
        <v>2006</v>
      </c>
      <c r="B291" s="22" t="s">
        <v>8</v>
      </c>
      <c r="C291" s="29" t="s">
        <v>2030</v>
      </c>
      <c r="D291" s="29" t="s">
        <v>2030</v>
      </c>
      <c r="E291" s="29" t="e">
        <v>#N/A</v>
      </c>
      <c r="F291" s="29"/>
      <c r="G291" s="29">
        <f>COUNTIF(Stakeholders!$E$2:$E960,F291)</f>
        <v>0</v>
      </c>
      <c r="H291" s="29" t="s">
        <v>2033</v>
      </c>
      <c r="I291" s="151" t="s">
        <v>2034</v>
      </c>
      <c r="J291" s="29" t="s">
        <v>67</v>
      </c>
      <c r="K291" s="29"/>
      <c r="L291" s="29"/>
      <c r="M291" s="29"/>
      <c r="N291" s="29"/>
      <c r="O291" s="29"/>
      <c r="P291" s="29"/>
      <c r="Q291" s="29"/>
      <c r="R291" s="29"/>
      <c r="S291" s="29"/>
      <c r="T291" s="29"/>
      <c r="U291" s="29"/>
      <c r="V291" s="29"/>
      <c r="W291" s="29" t="s">
        <v>67</v>
      </c>
      <c r="X291" s="29"/>
      <c r="Y291" s="29"/>
      <c r="Z291" s="29"/>
      <c r="AA291" s="29"/>
      <c r="AB291" s="29" t="s">
        <v>1752</v>
      </c>
      <c r="AC291" s="136">
        <v>43943</v>
      </c>
      <c r="AD291" s="29" t="s">
        <v>1174</v>
      </c>
      <c r="AE291" s="34" t="e">
        <f>VLOOKUP(F291,Stakeholders!E:K,7,0)</f>
        <v>#N/A</v>
      </c>
      <c r="AF291" s="29"/>
      <c r="AG291" s="29"/>
      <c r="AH291" s="34" t="s">
        <v>82</v>
      </c>
      <c r="AI291" s="29"/>
      <c r="AJ291" s="29"/>
      <c r="AK291" s="29"/>
      <c r="AL291" s="29"/>
      <c r="AM291" s="29"/>
      <c r="AN291" s="29"/>
      <c r="AO291" s="29"/>
      <c r="AP291" s="29"/>
      <c r="AQ291" s="29"/>
      <c r="AR291" s="29"/>
      <c r="AS291" s="29"/>
      <c r="AT291" s="29"/>
      <c r="AU291" s="29"/>
      <c r="AV291" s="29"/>
      <c r="AW291" s="29"/>
    </row>
    <row r="292" spans="1:49" ht="13">
      <c r="A292" s="132">
        <v>2010</v>
      </c>
      <c r="B292" s="12" t="s">
        <v>64</v>
      </c>
      <c r="C292" s="14" t="s">
        <v>2021</v>
      </c>
      <c r="D292" s="14" t="s">
        <v>2021</v>
      </c>
      <c r="E292" s="14" t="e">
        <v>#N/A</v>
      </c>
      <c r="F292" s="14"/>
      <c r="G292" s="14">
        <f>COUNTIF(Stakeholders!$E$2:$E960,F292)</f>
        <v>0</v>
      </c>
      <c r="H292" s="14" t="s">
        <v>2035</v>
      </c>
      <c r="I292" s="152" t="s">
        <v>2036</v>
      </c>
      <c r="J292" s="14" t="s">
        <v>67</v>
      </c>
      <c r="K292" s="14"/>
      <c r="L292" s="14"/>
      <c r="M292" s="14"/>
      <c r="N292" s="14"/>
      <c r="O292" s="14"/>
      <c r="P292" s="14"/>
      <c r="Q292" s="14"/>
      <c r="R292" s="14"/>
      <c r="S292" s="14"/>
      <c r="T292" s="14"/>
      <c r="U292" s="14"/>
      <c r="V292" s="14"/>
      <c r="W292" s="14" t="s">
        <v>67</v>
      </c>
      <c r="X292" s="14"/>
      <c r="Y292" s="14"/>
      <c r="Z292" s="14"/>
      <c r="AA292" s="14"/>
      <c r="AB292" s="14" t="s">
        <v>1752</v>
      </c>
      <c r="AC292" s="135">
        <v>43944</v>
      </c>
      <c r="AD292" s="14" t="s">
        <v>1175</v>
      </c>
      <c r="AE292" s="24" t="e">
        <f>VLOOKUP(F292,Stakeholders!E:K,7,0)</f>
        <v>#N/A</v>
      </c>
      <c r="AF292" s="14"/>
      <c r="AG292" s="14"/>
      <c r="AH292" s="24" t="s">
        <v>82</v>
      </c>
      <c r="AI292" s="14"/>
      <c r="AJ292" s="14"/>
      <c r="AK292" s="14"/>
      <c r="AL292" s="14"/>
      <c r="AM292" s="14"/>
      <c r="AN292" s="14"/>
      <c r="AO292" s="14"/>
      <c r="AP292" s="14"/>
      <c r="AQ292" s="14"/>
      <c r="AR292" s="14"/>
      <c r="AS292" s="14"/>
      <c r="AT292" s="14"/>
      <c r="AU292" s="14"/>
      <c r="AV292" s="14"/>
      <c r="AW292" s="14"/>
    </row>
    <row r="293" spans="1:49" ht="13">
      <c r="A293" s="133">
        <v>2010</v>
      </c>
      <c r="B293" s="12" t="s">
        <v>64</v>
      </c>
      <c r="C293" s="29" t="s">
        <v>2037</v>
      </c>
      <c r="D293" s="29" t="s">
        <v>2021</v>
      </c>
      <c r="E293" s="29" t="e">
        <v>#N/A</v>
      </c>
      <c r="F293" s="29"/>
      <c r="G293" s="29">
        <f>COUNTIF(Stakeholders!$E$2:$E960,F293)</f>
        <v>0</v>
      </c>
      <c r="H293" s="29" t="s">
        <v>2038</v>
      </c>
      <c r="I293" s="151" t="s">
        <v>2039</v>
      </c>
      <c r="J293" s="29" t="s">
        <v>67</v>
      </c>
      <c r="K293" s="29"/>
      <c r="L293" s="29"/>
      <c r="M293" s="29"/>
      <c r="N293" s="29"/>
      <c r="O293" s="29"/>
      <c r="P293" s="29"/>
      <c r="Q293" s="29"/>
      <c r="R293" s="29"/>
      <c r="S293" s="29"/>
      <c r="T293" s="29"/>
      <c r="U293" s="29"/>
      <c r="V293" s="29"/>
      <c r="W293" s="29" t="s">
        <v>67</v>
      </c>
      <c r="X293" s="29"/>
      <c r="Y293" s="29"/>
      <c r="Z293" s="29"/>
      <c r="AA293" s="29"/>
      <c r="AB293" s="29" t="s">
        <v>1752</v>
      </c>
      <c r="AC293" s="136">
        <v>43945</v>
      </c>
      <c r="AD293" s="29" t="s">
        <v>1016</v>
      </c>
      <c r="AE293" s="34" t="e">
        <f>VLOOKUP(F293,Stakeholders!E:K,7,0)</f>
        <v>#N/A</v>
      </c>
      <c r="AF293" s="29"/>
      <c r="AG293" s="29"/>
      <c r="AH293" s="34" t="s">
        <v>82</v>
      </c>
      <c r="AI293" s="29"/>
      <c r="AJ293" s="29"/>
      <c r="AK293" s="29"/>
      <c r="AL293" s="29"/>
      <c r="AM293" s="29"/>
      <c r="AN293" s="29"/>
      <c r="AO293" s="29"/>
      <c r="AP293" s="29"/>
      <c r="AQ293" s="29"/>
      <c r="AR293" s="29"/>
      <c r="AS293" s="29"/>
      <c r="AT293" s="29"/>
      <c r="AU293" s="29"/>
      <c r="AV293" s="29"/>
      <c r="AW293" s="29"/>
    </row>
    <row r="294" spans="1:49" ht="13">
      <c r="A294" s="132">
        <v>2011</v>
      </c>
      <c r="B294" s="12" t="s">
        <v>64</v>
      </c>
      <c r="C294" s="14" t="s">
        <v>2037</v>
      </c>
      <c r="D294" s="14" t="s">
        <v>2040</v>
      </c>
      <c r="E294" s="14" t="e">
        <v>#N/A</v>
      </c>
      <c r="F294" s="14"/>
      <c r="G294" s="14">
        <f>COUNTIF(Stakeholders!$E$2:$E960,F294)</f>
        <v>0</v>
      </c>
      <c r="H294" s="14" t="s">
        <v>2041</v>
      </c>
      <c r="I294" s="152" t="s">
        <v>2042</v>
      </c>
      <c r="J294" s="14" t="s">
        <v>67</v>
      </c>
      <c r="K294" s="14"/>
      <c r="L294" s="14"/>
      <c r="M294" s="14"/>
      <c r="N294" s="14"/>
      <c r="O294" s="14"/>
      <c r="P294" s="14"/>
      <c r="Q294" s="14"/>
      <c r="R294" s="14"/>
      <c r="S294" s="14"/>
      <c r="T294" s="14"/>
      <c r="U294" s="14"/>
      <c r="V294" s="14"/>
      <c r="W294" s="14" t="s">
        <v>67</v>
      </c>
      <c r="X294" s="14"/>
      <c r="Y294" s="14"/>
      <c r="Z294" s="14"/>
      <c r="AA294" s="14"/>
      <c r="AB294" s="14" t="s">
        <v>1752</v>
      </c>
      <c r="AC294" s="135">
        <v>43946</v>
      </c>
      <c r="AD294" s="14" t="s">
        <v>1177</v>
      </c>
      <c r="AE294" s="24" t="e">
        <f>VLOOKUP(F294,Stakeholders!E:K,7,0)</f>
        <v>#N/A</v>
      </c>
      <c r="AF294" s="14"/>
      <c r="AG294" s="14"/>
      <c r="AH294" s="24" t="s">
        <v>82</v>
      </c>
      <c r="AI294" s="14"/>
      <c r="AJ294" s="14"/>
      <c r="AK294" s="14"/>
      <c r="AL294" s="14"/>
      <c r="AM294" s="14"/>
      <c r="AN294" s="14"/>
      <c r="AO294" s="14"/>
      <c r="AP294" s="14"/>
      <c r="AQ294" s="14"/>
      <c r="AR294" s="14"/>
      <c r="AS294" s="14"/>
      <c r="AT294" s="14"/>
      <c r="AU294" s="14"/>
      <c r="AV294" s="14"/>
      <c r="AW294" s="14"/>
    </row>
    <row r="295" spans="1:49" ht="13">
      <c r="A295" s="133">
        <v>2011</v>
      </c>
      <c r="B295" s="12" t="s">
        <v>64</v>
      </c>
      <c r="C295" s="29" t="s">
        <v>2037</v>
      </c>
      <c r="D295" s="29" t="s">
        <v>2021</v>
      </c>
      <c r="E295" s="29" t="e">
        <v>#N/A</v>
      </c>
      <c r="F295" s="29"/>
      <c r="G295" s="29">
        <f>COUNTIF(Stakeholders!$E$2:$E960,F295)</f>
        <v>0</v>
      </c>
      <c r="H295" s="29" t="s">
        <v>2043</v>
      </c>
      <c r="I295" s="151" t="s">
        <v>2044</v>
      </c>
      <c r="J295" s="29" t="s">
        <v>67</v>
      </c>
      <c r="K295" s="29"/>
      <c r="L295" s="29"/>
      <c r="M295" s="29"/>
      <c r="N295" s="29"/>
      <c r="O295" s="29"/>
      <c r="P295" s="29"/>
      <c r="Q295" s="29"/>
      <c r="R295" s="29"/>
      <c r="S295" s="29"/>
      <c r="T295" s="29"/>
      <c r="U295" s="29"/>
      <c r="V295" s="29"/>
      <c r="W295" s="29" t="s">
        <v>67</v>
      </c>
      <c r="X295" s="29"/>
      <c r="Y295" s="29"/>
      <c r="Z295" s="29"/>
      <c r="AA295" s="29"/>
      <c r="AB295" s="29" t="s">
        <v>1752</v>
      </c>
      <c r="AC295" s="136">
        <v>43947</v>
      </c>
      <c r="AD295" s="29" t="s">
        <v>1179</v>
      </c>
      <c r="AE295" s="34" t="e">
        <f>VLOOKUP(F295,Stakeholders!E:K,7,0)</f>
        <v>#N/A</v>
      </c>
      <c r="AF295" s="29"/>
      <c r="AG295" s="29"/>
      <c r="AH295" s="34" t="s">
        <v>82</v>
      </c>
      <c r="AI295" s="29"/>
      <c r="AJ295" s="29"/>
      <c r="AK295" s="29"/>
      <c r="AL295" s="29"/>
      <c r="AM295" s="29"/>
      <c r="AN295" s="29"/>
      <c r="AO295" s="29"/>
      <c r="AP295" s="29"/>
      <c r="AQ295" s="29"/>
      <c r="AR295" s="29"/>
      <c r="AS295" s="29"/>
      <c r="AT295" s="29"/>
      <c r="AU295" s="29"/>
      <c r="AV295" s="29"/>
      <c r="AW295" s="29"/>
    </row>
    <row r="296" spans="1:49" ht="13">
      <c r="A296" s="132">
        <v>2011</v>
      </c>
      <c r="B296" s="12" t="s">
        <v>64</v>
      </c>
      <c r="C296" s="14" t="s">
        <v>2037</v>
      </c>
      <c r="D296" s="14" t="s">
        <v>2021</v>
      </c>
      <c r="E296" s="14" t="e">
        <v>#N/A</v>
      </c>
      <c r="F296" s="14"/>
      <c r="G296" s="14">
        <f>COUNTIF(Stakeholders!$E$2:$E960,F296)</f>
        <v>0</v>
      </c>
      <c r="H296" s="14" t="s">
        <v>2045</v>
      </c>
      <c r="I296" s="152" t="s">
        <v>2046</v>
      </c>
      <c r="J296" s="14" t="s">
        <v>67</v>
      </c>
      <c r="K296" s="14"/>
      <c r="L296" s="14"/>
      <c r="M296" s="14"/>
      <c r="N296" s="14"/>
      <c r="O296" s="14"/>
      <c r="P296" s="14"/>
      <c r="Q296" s="14"/>
      <c r="R296" s="14"/>
      <c r="S296" s="14"/>
      <c r="T296" s="14"/>
      <c r="U296" s="14"/>
      <c r="V296" s="14"/>
      <c r="W296" s="14" t="s">
        <v>67</v>
      </c>
      <c r="X296" s="14"/>
      <c r="Y296" s="14"/>
      <c r="Z296" s="14"/>
      <c r="AA296" s="14"/>
      <c r="AB296" s="14" t="s">
        <v>1752</v>
      </c>
      <c r="AC296" s="135">
        <v>43948</v>
      </c>
      <c r="AD296" s="14" t="s">
        <v>725</v>
      </c>
      <c r="AE296" s="24" t="e">
        <f>VLOOKUP(F296,Stakeholders!E:K,7,0)</f>
        <v>#N/A</v>
      </c>
      <c r="AF296" s="14"/>
      <c r="AG296" s="14"/>
      <c r="AH296" s="24" t="s">
        <v>82</v>
      </c>
      <c r="AI296" s="14"/>
      <c r="AJ296" s="14"/>
      <c r="AK296" s="14"/>
      <c r="AL296" s="14"/>
      <c r="AM296" s="14"/>
      <c r="AN296" s="14"/>
      <c r="AO296" s="14"/>
      <c r="AP296" s="14"/>
      <c r="AQ296" s="14"/>
      <c r="AR296" s="14"/>
      <c r="AS296" s="14"/>
      <c r="AT296" s="14"/>
      <c r="AU296" s="14"/>
      <c r="AV296" s="14"/>
      <c r="AW296" s="14"/>
    </row>
    <row r="297" spans="1:49" ht="13">
      <c r="A297" s="133">
        <v>2015</v>
      </c>
      <c r="B297" s="12" t="s">
        <v>64</v>
      </c>
      <c r="C297" s="29" t="s">
        <v>2037</v>
      </c>
      <c r="D297" s="29" t="s">
        <v>2021</v>
      </c>
      <c r="E297" s="29" t="e">
        <v>#N/A</v>
      </c>
      <c r="F297" s="29"/>
      <c r="G297" s="29">
        <f>COUNTIF(Stakeholders!$E$2:$E960,F297)</f>
        <v>0</v>
      </c>
      <c r="H297" s="29" t="s">
        <v>2047</v>
      </c>
      <c r="I297" s="151" t="s">
        <v>2048</v>
      </c>
      <c r="J297" s="29" t="s">
        <v>67</v>
      </c>
      <c r="K297" s="29"/>
      <c r="L297" s="29"/>
      <c r="M297" s="29"/>
      <c r="N297" s="29"/>
      <c r="O297" s="29"/>
      <c r="P297" s="29"/>
      <c r="Q297" s="29"/>
      <c r="R297" s="29"/>
      <c r="S297" s="29"/>
      <c r="T297" s="29"/>
      <c r="U297" s="29"/>
      <c r="V297" s="29"/>
      <c r="W297" s="29" t="s">
        <v>67</v>
      </c>
      <c r="X297" s="29"/>
      <c r="Y297" s="29"/>
      <c r="Z297" s="29"/>
      <c r="AA297" s="29"/>
      <c r="AB297" s="29" t="s">
        <v>1752</v>
      </c>
      <c r="AC297" s="136">
        <v>43949</v>
      </c>
      <c r="AD297" s="29" t="s">
        <v>726</v>
      </c>
      <c r="AE297" s="34" t="e">
        <f>VLOOKUP(F297,Stakeholders!E:K,7,0)</f>
        <v>#N/A</v>
      </c>
      <c r="AF297" s="29"/>
      <c r="AG297" s="29"/>
      <c r="AH297" s="34" t="s">
        <v>82</v>
      </c>
      <c r="AI297" s="29"/>
      <c r="AJ297" s="29"/>
      <c r="AK297" s="29"/>
      <c r="AL297" s="29"/>
      <c r="AM297" s="29"/>
      <c r="AN297" s="29"/>
      <c r="AO297" s="29"/>
      <c r="AP297" s="29"/>
      <c r="AQ297" s="29"/>
      <c r="AR297" s="29"/>
      <c r="AS297" s="29"/>
      <c r="AT297" s="29"/>
      <c r="AU297" s="29"/>
      <c r="AV297" s="29"/>
      <c r="AW297" s="29"/>
    </row>
    <row r="298" spans="1:49" ht="13">
      <c r="A298" s="132">
        <v>2016</v>
      </c>
      <c r="B298" s="12" t="s">
        <v>64</v>
      </c>
      <c r="C298" s="14" t="s">
        <v>2021</v>
      </c>
      <c r="D298" s="14" t="s">
        <v>2021</v>
      </c>
      <c r="E298" s="14" t="e">
        <v>#N/A</v>
      </c>
      <c r="F298" s="14"/>
      <c r="G298" s="14">
        <f>COUNTIF(Stakeholders!$E$2:$E960,F298)</f>
        <v>0</v>
      </c>
      <c r="H298" s="14" t="s">
        <v>2049</v>
      </c>
      <c r="I298" s="152" t="s">
        <v>2050</v>
      </c>
      <c r="J298" s="14" t="s">
        <v>67</v>
      </c>
      <c r="K298" s="14"/>
      <c r="L298" s="14"/>
      <c r="M298" s="14"/>
      <c r="N298" s="14"/>
      <c r="O298" s="14"/>
      <c r="P298" s="14"/>
      <c r="Q298" s="14"/>
      <c r="R298" s="14"/>
      <c r="S298" s="14"/>
      <c r="T298" s="14"/>
      <c r="U298" s="14"/>
      <c r="V298" s="14"/>
      <c r="W298" s="14" t="s">
        <v>67</v>
      </c>
      <c r="X298" s="14"/>
      <c r="Y298" s="14"/>
      <c r="Z298" s="14"/>
      <c r="AA298" s="14"/>
      <c r="AB298" s="14" t="s">
        <v>1752</v>
      </c>
      <c r="AC298" s="135">
        <v>43950</v>
      </c>
      <c r="AD298" s="14" t="s">
        <v>1180</v>
      </c>
      <c r="AE298" s="24" t="e">
        <f>VLOOKUP(F298,Stakeholders!E:K,7,0)</f>
        <v>#N/A</v>
      </c>
      <c r="AF298" s="14"/>
      <c r="AG298" s="14"/>
      <c r="AH298" s="24" t="s">
        <v>82</v>
      </c>
      <c r="AI298" s="14"/>
      <c r="AJ298" s="14"/>
      <c r="AK298" s="14"/>
      <c r="AL298" s="14"/>
      <c r="AM298" s="14"/>
      <c r="AN298" s="14"/>
      <c r="AO298" s="14"/>
      <c r="AP298" s="14"/>
      <c r="AQ298" s="14"/>
      <c r="AR298" s="14"/>
      <c r="AS298" s="14"/>
      <c r="AT298" s="14"/>
      <c r="AU298" s="14"/>
      <c r="AV298" s="14"/>
      <c r="AW298" s="14"/>
    </row>
    <row r="299" spans="1:49" ht="13">
      <c r="A299" s="133">
        <v>2016</v>
      </c>
      <c r="B299" s="12" t="s">
        <v>64</v>
      </c>
      <c r="C299" s="29" t="s">
        <v>2037</v>
      </c>
      <c r="D299" s="29" t="s">
        <v>2021</v>
      </c>
      <c r="E299" s="29" t="e">
        <v>#N/A</v>
      </c>
      <c r="F299" s="29"/>
      <c r="G299" s="29">
        <f>COUNTIF(Stakeholders!$E$2:$E960,F299)</f>
        <v>0</v>
      </c>
      <c r="H299" s="29" t="s">
        <v>2051</v>
      </c>
      <c r="I299" s="151" t="s">
        <v>2052</v>
      </c>
      <c r="J299" s="29" t="s">
        <v>67</v>
      </c>
      <c r="K299" s="29"/>
      <c r="L299" s="29"/>
      <c r="M299" s="29"/>
      <c r="N299" s="29"/>
      <c r="O299" s="29"/>
      <c r="P299" s="29"/>
      <c r="Q299" s="29"/>
      <c r="R299" s="29"/>
      <c r="S299" s="29"/>
      <c r="T299" s="29"/>
      <c r="U299" s="29"/>
      <c r="V299" s="29"/>
      <c r="W299" s="29" t="s">
        <v>67</v>
      </c>
      <c r="X299" s="29"/>
      <c r="Y299" s="29"/>
      <c r="Z299" s="29"/>
      <c r="AA299" s="29"/>
      <c r="AB299" s="29" t="s">
        <v>1752</v>
      </c>
      <c r="AC299" s="136">
        <v>43951</v>
      </c>
      <c r="AD299" s="29" t="s">
        <v>745</v>
      </c>
      <c r="AE299" s="34" t="e">
        <f>VLOOKUP(F299,Stakeholders!E:K,7,0)</f>
        <v>#N/A</v>
      </c>
      <c r="AF299" s="29"/>
      <c r="AG299" s="29"/>
      <c r="AH299" s="34" t="s">
        <v>82</v>
      </c>
      <c r="AI299" s="29"/>
      <c r="AJ299" s="29"/>
      <c r="AK299" s="29"/>
      <c r="AL299" s="29"/>
      <c r="AM299" s="29"/>
      <c r="AN299" s="29"/>
      <c r="AO299" s="29"/>
      <c r="AP299" s="29"/>
      <c r="AQ299" s="29"/>
      <c r="AR299" s="29"/>
      <c r="AS299" s="29"/>
      <c r="AT299" s="29"/>
      <c r="AU299" s="29"/>
      <c r="AV299" s="29"/>
      <c r="AW299" s="29"/>
    </row>
    <row r="300" spans="1:49" ht="13">
      <c r="A300" s="132">
        <v>2017</v>
      </c>
      <c r="B300" s="12" t="s">
        <v>64</v>
      </c>
      <c r="C300" s="14" t="s">
        <v>2037</v>
      </c>
      <c r="D300" s="14" t="s">
        <v>2021</v>
      </c>
      <c r="E300" s="14" t="e">
        <v>#N/A</v>
      </c>
      <c r="F300" s="14"/>
      <c r="G300" s="14">
        <f>COUNTIF(Stakeholders!$E$2:$E960,F300)</f>
        <v>0</v>
      </c>
      <c r="H300" s="14" t="s">
        <v>2053</v>
      </c>
      <c r="I300" s="152" t="s">
        <v>2054</v>
      </c>
      <c r="J300" s="14" t="s">
        <v>67</v>
      </c>
      <c r="K300" s="14"/>
      <c r="L300" s="14"/>
      <c r="M300" s="14"/>
      <c r="N300" s="14"/>
      <c r="O300" s="14"/>
      <c r="P300" s="14"/>
      <c r="Q300" s="14"/>
      <c r="R300" s="14"/>
      <c r="S300" s="14"/>
      <c r="T300" s="14"/>
      <c r="U300" s="14"/>
      <c r="V300" s="14"/>
      <c r="W300" s="14" t="s">
        <v>67</v>
      </c>
      <c r="X300" s="14"/>
      <c r="Y300" s="14"/>
      <c r="Z300" s="14"/>
      <c r="AA300" s="14"/>
      <c r="AB300" s="14" t="s">
        <v>1752</v>
      </c>
      <c r="AC300" s="135">
        <v>43952</v>
      </c>
      <c r="AD300" s="14" t="s">
        <v>1181</v>
      </c>
      <c r="AE300" s="24" t="e">
        <f>VLOOKUP(F300,Stakeholders!E:K,7,0)</f>
        <v>#N/A</v>
      </c>
      <c r="AF300" s="14"/>
      <c r="AG300" s="14"/>
      <c r="AH300" s="24" t="s">
        <v>82</v>
      </c>
      <c r="AI300" s="14"/>
      <c r="AJ300" s="14"/>
      <c r="AK300" s="14"/>
      <c r="AL300" s="14"/>
      <c r="AM300" s="14"/>
      <c r="AN300" s="14"/>
      <c r="AO300" s="14"/>
      <c r="AP300" s="14"/>
      <c r="AQ300" s="14"/>
      <c r="AR300" s="14"/>
      <c r="AS300" s="14"/>
      <c r="AT300" s="14"/>
      <c r="AU300" s="14"/>
      <c r="AV300" s="14"/>
      <c r="AW300" s="14"/>
    </row>
    <row r="301" spans="1:49" ht="13">
      <c r="A301" s="133">
        <v>2003</v>
      </c>
      <c r="B301" s="12" t="s">
        <v>64</v>
      </c>
      <c r="C301" s="29" t="s">
        <v>73</v>
      </c>
      <c r="D301" s="29" t="s">
        <v>73</v>
      </c>
      <c r="E301" s="29" t="e">
        <v>#N/A</v>
      </c>
      <c r="F301" s="29"/>
      <c r="G301" s="29">
        <f>COUNTIF(Stakeholders!$E$2:$E960,F301)</f>
        <v>0</v>
      </c>
      <c r="H301" s="29" t="s">
        <v>2055</v>
      </c>
      <c r="I301" s="151" t="s">
        <v>2056</v>
      </c>
      <c r="J301" s="29" t="s">
        <v>67</v>
      </c>
      <c r="K301" s="29"/>
      <c r="L301" s="29"/>
      <c r="M301" s="29"/>
      <c r="N301" s="29"/>
      <c r="O301" s="29"/>
      <c r="P301" s="29"/>
      <c r="Q301" s="29"/>
      <c r="R301" s="29"/>
      <c r="S301" s="29"/>
      <c r="T301" s="29"/>
      <c r="U301" s="29"/>
      <c r="V301" s="29"/>
      <c r="W301" s="29" t="s">
        <v>67</v>
      </c>
      <c r="X301" s="29"/>
      <c r="Y301" s="29"/>
      <c r="Z301" s="29"/>
      <c r="AA301" s="29"/>
      <c r="AB301" s="29" t="s">
        <v>1752</v>
      </c>
      <c r="AC301" s="136">
        <v>43953</v>
      </c>
      <c r="AD301" s="29" t="s">
        <v>1183</v>
      </c>
      <c r="AE301" s="34" t="e">
        <f>VLOOKUP(F301,Stakeholders!E:K,7,0)</f>
        <v>#N/A</v>
      </c>
      <c r="AF301" s="29"/>
      <c r="AG301" s="29"/>
      <c r="AH301" s="34" t="s">
        <v>82</v>
      </c>
      <c r="AI301" s="29"/>
      <c r="AJ301" s="29"/>
      <c r="AK301" s="29"/>
      <c r="AL301" s="29"/>
      <c r="AM301" s="29"/>
      <c r="AN301" s="29"/>
      <c r="AO301" s="29"/>
      <c r="AP301" s="29"/>
      <c r="AQ301" s="29"/>
      <c r="AR301" s="29"/>
      <c r="AS301" s="29"/>
      <c r="AT301" s="29"/>
      <c r="AU301" s="29"/>
      <c r="AV301" s="29"/>
      <c r="AW301" s="29"/>
    </row>
    <row r="302" spans="1:49" ht="13">
      <c r="A302" s="132">
        <v>2004</v>
      </c>
      <c r="B302" s="12" t="s">
        <v>64</v>
      </c>
      <c r="C302" s="14" t="s">
        <v>73</v>
      </c>
      <c r="D302" s="14" t="s">
        <v>73</v>
      </c>
      <c r="E302" s="14" t="e">
        <v>#N/A</v>
      </c>
      <c r="F302" s="14"/>
      <c r="G302" s="14">
        <f>COUNTIF(Stakeholders!$E$2:$E960,F302)</f>
        <v>0</v>
      </c>
      <c r="H302" s="14" t="s">
        <v>2057</v>
      </c>
      <c r="I302" s="152" t="s">
        <v>2058</v>
      </c>
      <c r="J302" s="14" t="s">
        <v>67</v>
      </c>
      <c r="K302" s="14"/>
      <c r="L302" s="14"/>
      <c r="M302" s="14"/>
      <c r="N302" s="14"/>
      <c r="O302" s="14"/>
      <c r="P302" s="14"/>
      <c r="Q302" s="14"/>
      <c r="R302" s="14"/>
      <c r="S302" s="14"/>
      <c r="T302" s="14"/>
      <c r="U302" s="14"/>
      <c r="V302" s="14"/>
      <c r="W302" s="14" t="s">
        <v>67</v>
      </c>
      <c r="X302" s="14"/>
      <c r="Y302" s="14"/>
      <c r="Z302" s="14"/>
      <c r="AA302" s="14"/>
      <c r="AB302" s="14" t="s">
        <v>1752</v>
      </c>
      <c r="AC302" s="135">
        <v>43954</v>
      </c>
      <c r="AD302" s="14" t="s">
        <v>1186</v>
      </c>
      <c r="AE302" s="24" t="e">
        <f>VLOOKUP(F302,Stakeholders!E:K,7,0)</f>
        <v>#N/A</v>
      </c>
      <c r="AF302" s="14"/>
      <c r="AG302" s="14"/>
      <c r="AH302" s="24" t="s">
        <v>82</v>
      </c>
      <c r="AI302" s="14"/>
      <c r="AJ302" s="14"/>
      <c r="AK302" s="14"/>
      <c r="AL302" s="14"/>
      <c r="AM302" s="14"/>
      <c r="AN302" s="14"/>
      <c r="AO302" s="14"/>
      <c r="AP302" s="14"/>
      <c r="AQ302" s="14"/>
      <c r="AR302" s="14"/>
      <c r="AS302" s="14"/>
      <c r="AT302" s="14"/>
      <c r="AU302" s="14"/>
      <c r="AV302" s="14"/>
      <c r="AW302" s="14"/>
    </row>
    <row r="303" spans="1:49" ht="13">
      <c r="A303" s="133">
        <v>2005</v>
      </c>
      <c r="B303" s="12" t="s">
        <v>64</v>
      </c>
      <c r="C303" s="29" t="s">
        <v>73</v>
      </c>
      <c r="D303" s="29" t="s">
        <v>73</v>
      </c>
      <c r="E303" s="29" t="e">
        <v>#N/A</v>
      </c>
      <c r="F303" s="29"/>
      <c r="G303" s="29">
        <f>COUNTIF(Stakeholders!$E$2:$E960,F303)</f>
        <v>0</v>
      </c>
      <c r="H303" s="29" t="s">
        <v>2059</v>
      </c>
      <c r="I303" s="151" t="s">
        <v>2060</v>
      </c>
      <c r="J303" s="29" t="s">
        <v>67</v>
      </c>
      <c r="K303" s="29"/>
      <c r="L303" s="29"/>
      <c r="M303" s="29"/>
      <c r="N303" s="29"/>
      <c r="O303" s="29"/>
      <c r="P303" s="29"/>
      <c r="Q303" s="29"/>
      <c r="R303" s="29"/>
      <c r="S303" s="29"/>
      <c r="T303" s="29"/>
      <c r="U303" s="29"/>
      <c r="V303" s="29"/>
      <c r="W303" s="29" t="s">
        <v>67</v>
      </c>
      <c r="X303" s="29"/>
      <c r="Y303" s="29"/>
      <c r="Z303" s="29"/>
      <c r="AA303" s="29"/>
      <c r="AB303" s="29" t="s">
        <v>1752</v>
      </c>
      <c r="AC303" s="136">
        <v>43955</v>
      </c>
      <c r="AD303" s="29" t="s">
        <v>1188</v>
      </c>
      <c r="AE303" s="34" t="e">
        <f>VLOOKUP(F303,Stakeholders!E:K,7,0)</f>
        <v>#N/A</v>
      </c>
      <c r="AF303" s="29"/>
      <c r="AG303" s="29"/>
      <c r="AH303" s="34" t="s">
        <v>82</v>
      </c>
      <c r="AI303" s="29"/>
      <c r="AJ303" s="29"/>
      <c r="AK303" s="29"/>
      <c r="AL303" s="29"/>
      <c r="AM303" s="29"/>
      <c r="AN303" s="29"/>
      <c r="AO303" s="29"/>
      <c r="AP303" s="29"/>
      <c r="AQ303" s="29"/>
      <c r="AR303" s="29"/>
      <c r="AS303" s="29"/>
      <c r="AT303" s="29"/>
      <c r="AU303" s="29"/>
      <c r="AV303" s="29"/>
      <c r="AW303" s="29"/>
    </row>
    <row r="304" spans="1:49" ht="13">
      <c r="A304" s="132">
        <v>2009</v>
      </c>
      <c r="B304" s="12" t="s">
        <v>64</v>
      </c>
      <c r="C304" s="14" t="s">
        <v>73</v>
      </c>
      <c r="D304" s="14" t="s">
        <v>73</v>
      </c>
      <c r="E304" s="14" t="e">
        <v>#N/A</v>
      </c>
      <c r="F304" s="14"/>
      <c r="G304" s="14">
        <f>COUNTIF(Stakeholders!$E$2:$E960,F304)</f>
        <v>0</v>
      </c>
      <c r="H304" s="14" t="s">
        <v>2061</v>
      </c>
      <c r="I304" s="152" t="s">
        <v>2062</v>
      </c>
      <c r="J304" s="14" t="s">
        <v>67</v>
      </c>
      <c r="K304" s="14"/>
      <c r="L304" s="14"/>
      <c r="M304" s="14"/>
      <c r="N304" s="14"/>
      <c r="O304" s="14"/>
      <c r="P304" s="14"/>
      <c r="Q304" s="14"/>
      <c r="R304" s="14"/>
      <c r="S304" s="14"/>
      <c r="T304" s="14"/>
      <c r="U304" s="14"/>
      <c r="V304" s="14"/>
      <c r="W304" s="14" t="s">
        <v>67</v>
      </c>
      <c r="X304" s="14"/>
      <c r="Y304" s="14"/>
      <c r="Z304" s="14"/>
      <c r="AA304" s="14"/>
      <c r="AB304" s="14" t="s">
        <v>1752</v>
      </c>
      <c r="AC304" s="135">
        <v>43956</v>
      </c>
      <c r="AD304" s="14" t="s">
        <v>1189</v>
      </c>
      <c r="AE304" s="24" t="e">
        <f>VLOOKUP(F304,Stakeholders!E:K,7,0)</f>
        <v>#N/A</v>
      </c>
      <c r="AF304" s="14"/>
      <c r="AG304" s="14"/>
      <c r="AH304" s="24" t="s">
        <v>82</v>
      </c>
      <c r="AI304" s="14"/>
      <c r="AJ304" s="14"/>
      <c r="AK304" s="14"/>
      <c r="AL304" s="14"/>
      <c r="AM304" s="14"/>
      <c r="AN304" s="14"/>
      <c r="AO304" s="14"/>
      <c r="AP304" s="14"/>
      <c r="AQ304" s="14"/>
      <c r="AR304" s="14"/>
      <c r="AS304" s="14"/>
      <c r="AT304" s="14"/>
      <c r="AU304" s="14"/>
      <c r="AV304" s="14"/>
      <c r="AW304" s="14"/>
    </row>
    <row r="305" spans="1:49" ht="13">
      <c r="A305" s="133">
        <v>2010</v>
      </c>
      <c r="B305" s="12" t="s">
        <v>64</v>
      </c>
      <c r="C305" s="29" t="s">
        <v>73</v>
      </c>
      <c r="D305" s="29" t="s">
        <v>73</v>
      </c>
      <c r="E305" s="29" t="e">
        <v>#N/A</v>
      </c>
      <c r="F305" s="29"/>
      <c r="G305" s="29">
        <f>COUNTIF(Stakeholders!$E$2:$E960,F305)</f>
        <v>0</v>
      </c>
      <c r="H305" s="29" t="s">
        <v>2063</v>
      </c>
      <c r="I305" s="151" t="s">
        <v>2064</v>
      </c>
      <c r="J305" s="29" t="s">
        <v>67</v>
      </c>
      <c r="K305" s="29"/>
      <c r="L305" s="29"/>
      <c r="M305" s="29"/>
      <c r="N305" s="29"/>
      <c r="O305" s="29"/>
      <c r="P305" s="29"/>
      <c r="Q305" s="29"/>
      <c r="R305" s="29"/>
      <c r="S305" s="29"/>
      <c r="T305" s="29"/>
      <c r="U305" s="29"/>
      <c r="V305" s="29"/>
      <c r="W305" s="29" t="s">
        <v>67</v>
      </c>
      <c r="X305" s="29"/>
      <c r="Y305" s="29"/>
      <c r="Z305" s="29"/>
      <c r="AA305" s="29"/>
      <c r="AB305" s="29" t="s">
        <v>1752</v>
      </c>
      <c r="AC305" s="136">
        <v>43957</v>
      </c>
      <c r="AD305" s="29" t="s">
        <v>1190</v>
      </c>
      <c r="AE305" s="34" t="e">
        <f>VLOOKUP(F305,Stakeholders!E:K,7,0)</f>
        <v>#N/A</v>
      </c>
      <c r="AF305" s="29"/>
      <c r="AG305" s="29"/>
      <c r="AH305" s="34" t="s">
        <v>82</v>
      </c>
      <c r="AI305" s="29"/>
      <c r="AJ305" s="29"/>
      <c r="AK305" s="29"/>
      <c r="AL305" s="29"/>
      <c r="AM305" s="29"/>
      <c r="AN305" s="29"/>
      <c r="AO305" s="29"/>
      <c r="AP305" s="29"/>
      <c r="AQ305" s="29"/>
      <c r="AR305" s="29"/>
      <c r="AS305" s="29"/>
      <c r="AT305" s="29"/>
      <c r="AU305" s="29"/>
      <c r="AV305" s="29"/>
      <c r="AW305" s="29"/>
    </row>
    <row r="306" spans="1:49" ht="13">
      <c r="A306" s="132">
        <v>2012</v>
      </c>
      <c r="B306" s="12" t="s">
        <v>64</v>
      </c>
      <c r="C306" s="14" t="s">
        <v>73</v>
      </c>
      <c r="D306" s="14" t="s">
        <v>73</v>
      </c>
      <c r="E306" s="14" t="e">
        <v>#N/A</v>
      </c>
      <c r="F306" s="14"/>
      <c r="G306" s="14">
        <f>COUNTIF(Stakeholders!$E$2:$E960,F306)</f>
        <v>0</v>
      </c>
      <c r="H306" s="14" t="s">
        <v>2065</v>
      </c>
      <c r="I306" s="152" t="s">
        <v>2066</v>
      </c>
      <c r="J306" s="14" t="s">
        <v>67</v>
      </c>
      <c r="K306" s="14"/>
      <c r="L306" s="14"/>
      <c r="M306" s="14"/>
      <c r="N306" s="14"/>
      <c r="O306" s="14"/>
      <c r="P306" s="14"/>
      <c r="Q306" s="14"/>
      <c r="R306" s="14"/>
      <c r="S306" s="14"/>
      <c r="T306" s="14"/>
      <c r="U306" s="14"/>
      <c r="V306" s="14"/>
      <c r="W306" s="14" t="s">
        <v>67</v>
      </c>
      <c r="X306" s="14"/>
      <c r="Y306" s="14"/>
      <c r="Z306" s="14"/>
      <c r="AA306" s="14"/>
      <c r="AB306" s="14" t="s">
        <v>1752</v>
      </c>
      <c r="AC306" s="135">
        <v>43958</v>
      </c>
      <c r="AD306" s="14" t="s">
        <v>1191</v>
      </c>
      <c r="AE306" s="24" t="e">
        <f>VLOOKUP(F306,Stakeholders!E:K,7,0)</f>
        <v>#N/A</v>
      </c>
      <c r="AF306" s="14"/>
      <c r="AG306" s="14"/>
      <c r="AH306" s="24" t="s">
        <v>82</v>
      </c>
      <c r="AI306" s="14"/>
      <c r="AJ306" s="14"/>
      <c r="AK306" s="14"/>
      <c r="AL306" s="14"/>
      <c r="AM306" s="14"/>
      <c r="AN306" s="14"/>
      <c r="AO306" s="14"/>
      <c r="AP306" s="14"/>
      <c r="AQ306" s="14"/>
      <c r="AR306" s="14"/>
      <c r="AS306" s="14"/>
      <c r="AT306" s="14"/>
      <c r="AU306" s="14"/>
      <c r="AV306" s="14"/>
      <c r="AW306" s="14"/>
    </row>
    <row r="307" spans="1:49" ht="13">
      <c r="A307" s="133">
        <v>2013</v>
      </c>
      <c r="B307" s="12" t="s">
        <v>64</v>
      </c>
      <c r="C307" s="29" t="s">
        <v>920</v>
      </c>
      <c r="D307" s="29" t="s">
        <v>2067</v>
      </c>
      <c r="E307" s="29" t="e">
        <v>#N/A</v>
      </c>
      <c r="F307" s="29"/>
      <c r="G307" s="29">
        <f>COUNTIF(Stakeholders!$E$2:$E960,F307)</f>
        <v>0</v>
      </c>
      <c r="H307" s="29" t="s">
        <v>2068</v>
      </c>
      <c r="I307" s="151" t="s">
        <v>2069</v>
      </c>
      <c r="J307" s="29" t="s">
        <v>67</v>
      </c>
      <c r="K307" s="29"/>
      <c r="L307" s="29"/>
      <c r="M307" s="29"/>
      <c r="N307" s="29"/>
      <c r="O307" s="29"/>
      <c r="P307" s="29"/>
      <c r="Q307" s="29"/>
      <c r="R307" s="29"/>
      <c r="S307" s="29"/>
      <c r="T307" s="29"/>
      <c r="U307" s="29"/>
      <c r="V307" s="29"/>
      <c r="W307" s="29" t="s">
        <v>67</v>
      </c>
      <c r="X307" s="29"/>
      <c r="Y307" s="29"/>
      <c r="Z307" s="29"/>
      <c r="AA307" s="29"/>
      <c r="AB307" s="29" t="s">
        <v>1752</v>
      </c>
      <c r="AC307" s="136">
        <v>43959</v>
      </c>
      <c r="AD307" s="29" t="s">
        <v>727</v>
      </c>
      <c r="AE307" s="34" t="e">
        <f>VLOOKUP(F307,Stakeholders!E:K,7,0)</f>
        <v>#N/A</v>
      </c>
      <c r="AF307" s="29"/>
      <c r="AG307" s="29"/>
      <c r="AH307" s="34" t="s">
        <v>82</v>
      </c>
      <c r="AI307" s="29"/>
      <c r="AJ307" s="29"/>
      <c r="AK307" s="29"/>
      <c r="AL307" s="29"/>
      <c r="AM307" s="29"/>
      <c r="AN307" s="29"/>
      <c r="AO307" s="29"/>
      <c r="AP307" s="29"/>
      <c r="AQ307" s="29"/>
      <c r="AR307" s="29"/>
      <c r="AS307" s="29"/>
      <c r="AT307" s="29"/>
      <c r="AU307" s="29"/>
      <c r="AV307" s="29"/>
      <c r="AW307" s="29"/>
    </row>
    <row r="308" spans="1:49" ht="13">
      <c r="A308" s="132">
        <v>2014</v>
      </c>
      <c r="B308" s="12" t="s">
        <v>64</v>
      </c>
      <c r="C308" s="14" t="s">
        <v>73</v>
      </c>
      <c r="D308" s="14" t="s">
        <v>73</v>
      </c>
      <c r="E308" s="14" t="e">
        <v>#N/A</v>
      </c>
      <c r="F308" s="14"/>
      <c r="G308" s="14">
        <f>COUNTIF(Stakeholders!$E$2:$E960,F308)</f>
        <v>0</v>
      </c>
      <c r="H308" s="14" t="s">
        <v>2070</v>
      </c>
      <c r="I308" s="152" t="s">
        <v>2071</v>
      </c>
      <c r="J308" s="14" t="s">
        <v>67</v>
      </c>
      <c r="K308" s="14"/>
      <c r="L308" s="14"/>
      <c r="M308" s="14"/>
      <c r="N308" s="14"/>
      <c r="O308" s="14"/>
      <c r="P308" s="14"/>
      <c r="Q308" s="14"/>
      <c r="R308" s="14"/>
      <c r="S308" s="14"/>
      <c r="T308" s="14"/>
      <c r="U308" s="14"/>
      <c r="V308" s="14"/>
      <c r="W308" s="14" t="s">
        <v>67</v>
      </c>
      <c r="X308" s="14"/>
      <c r="Y308" s="14"/>
      <c r="Z308" s="14"/>
      <c r="AA308" s="14"/>
      <c r="AB308" s="14" t="s">
        <v>1752</v>
      </c>
      <c r="AC308" s="135">
        <v>43960</v>
      </c>
      <c r="AD308" s="14" t="s">
        <v>1194</v>
      </c>
      <c r="AE308" s="24" t="e">
        <f>VLOOKUP(F308,Stakeholders!E:K,7,0)</f>
        <v>#N/A</v>
      </c>
      <c r="AF308" s="14"/>
      <c r="AG308" s="14"/>
      <c r="AH308" s="24" t="s">
        <v>82</v>
      </c>
      <c r="AI308" s="14"/>
      <c r="AJ308" s="14"/>
      <c r="AK308" s="14"/>
      <c r="AL308" s="14"/>
      <c r="AM308" s="14"/>
      <c r="AN308" s="14"/>
      <c r="AO308" s="14"/>
      <c r="AP308" s="14"/>
      <c r="AQ308" s="14"/>
      <c r="AR308" s="14"/>
      <c r="AS308" s="14"/>
      <c r="AT308" s="14"/>
      <c r="AU308" s="14"/>
      <c r="AV308" s="14"/>
      <c r="AW308" s="14"/>
    </row>
    <row r="309" spans="1:49" ht="13">
      <c r="A309" s="133">
        <v>2016</v>
      </c>
      <c r="B309" s="12" t="s">
        <v>64</v>
      </c>
      <c r="C309" s="29" t="s">
        <v>73</v>
      </c>
      <c r="D309" s="29" t="s">
        <v>73</v>
      </c>
      <c r="E309" s="29" t="e">
        <v>#N/A</v>
      </c>
      <c r="F309" s="29"/>
      <c r="G309" s="29">
        <f>COUNTIF(Stakeholders!$E$2:$E960,F309)</f>
        <v>0</v>
      </c>
      <c r="H309" s="29" t="s">
        <v>2072</v>
      </c>
      <c r="I309" s="151" t="s">
        <v>2073</v>
      </c>
      <c r="J309" s="29" t="s">
        <v>67</v>
      </c>
      <c r="K309" s="29"/>
      <c r="L309" s="29"/>
      <c r="M309" s="29"/>
      <c r="N309" s="29"/>
      <c r="O309" s="29"/>
      <c r="P309" s="29"/>
      <c r="Q309" s="29"/>
      <c r="R309" s="29"/>
      <c r="S309" s="29"/>
      <c r="T309" s="29"/>
      <c r="U309" s="29"/>
      <c r="V309" s="29"/>
      <c r="W309" s="29" t="s">
        <v>67</v>
      </c>
      <c r="X309" s="29"/>
      <c r="Y309" s="29"/>
      <c r="Z309" s="29"/>
      <c r="AA309" s="29"/>
      <c r="AB309" s="29" t="s">
        <v>1752</v>
      </c>
      <c r="AC309" s="136">
        <v>43961</v>
      </c>
      <c r="AD309" s="29" t="s">
        <v>1195</v>
      </c>
      <c r="AE309" s="34" t="e">
        <f>VLOOKUP(F309,Stakeholders!E:K,7,0)</f>
        <v>#N/A</v>
      </c>
      <c r="AF309" s="29"/>
      <c r="AG309" s="29"/>
      <c r="AH309" s="34" t="s">
        <v>82</v>
      </c>
      <c r="AI309" s="29"/>
      <c r="AJ309" s="29"/>
      <c r="AK309" s="29"/>
      <c r="AL309" s="29"/>
      <c r="AM309" s="29"/>
      <c r="AN309" s="29"/>
      <c r="AO309" s="29"/>
      <c r="AP309" s="29"/>
      <c r="AQ309" s="29"/>
      <c r="AR309" s="29"/>
      <c r="AS309" s="29"/>
      <c r="AT309" s="29"/>
      <c r="AU309" s="29"/>
      <c r="AV309" s="29"/>
      <c r="AW309" s="29"/>
    </row>
    <row r="310" spans="1:49" ht="13">
      <c r="A310" s="132">
        <v>2017</v>
      </c>
      <c r="B310" s="12" t="s">
        <v>64</v>
      </c>
      <c r="C310" s="14" t="s">
        <v>920</v>
      </c>
      <c r="D310" s="14" t="s">
        <v>2067</v>
      </c>
      <c r="E310" s="14" t="e">
        <v>#N/A</v>
      </c>
      <c r="F310" s="14"/>
      <c r="G310" s="14">
        <f>COUNTIF(Stakeholders!$E$2:$E960,F310)</f>
        <v>0</v>
      </c>
      <c r="H310" s="14" t="s">
        <v>2074</v>
      </c>
      <c r="I310" s="152" t="s">
        <v>2075</v>
      </c>
      <c r="J310" s="14" t="s">
        <v>67</v>
      </c>
      <c r="K310" s="14"/>
      <c r="L310" s="14"/>
      <c r="M310" s="14"/>
      <c r="N310" s="14"/>
      <c r="O310" s="14"/>
      <c r="P310" s="14"/>
      <c r="Q310" s="14"/>
      <c r="R310" s="14"/>
      <c r="S310" s="14"/>
      <c r="T310" s="14"/>
      <c r="U310" s="14"/>
      <c r="V310" s="14"/>
      <c r="W310" s="14" t="s">
        <v>67</v>
      </c>
      <c r="X310" s="14"/>
      <c r="Y310" s="14"/>
      <c r="Z310" s="14"/>
      <c r="AA310" s="14"/>
      <c r="AB310" s="14" t="s">
        <v>1752</v>
      </c>
      <c r="AC310" s="135">
        <v>43962</v>
      </c>
      <c r="AD310" s="14" t="s">
        <v>984</v>
      </c>
      <c r="AE310" s="24" t="e">
        <f>VLOOKUP(F310,Stakeholders!E:K,7,0)</f>
        <v>#N/A</v>
      </c>
      <c r="AF310" s="14"/>
      <c r="AG310" s="14"/>
      <c r="AH310" s="24" t="s">
        <v>82</v>
      </c>
      <c r="AI310" s="14"/>
      <c r="AJ310" s="14"/>
      <c r="AK310" s="14"/>
      <c r="AL310" s="14"/>
      <c r="AM310" s="14"/>
      <c r="AN310" s="14"/>
      <c r="AO310" s="14"/>
      <c r="AP310" s="14"/>
      <c r="AQ310" s="14"/>
      <c r="AR310" s="14"/>
      <c r="AS310" s="14"/>
      <c r="AT310" s="14"/>
      <c r="AU310" s="14"/>
      <c r="AV310" s="14"/>
      <c r="AW310" s="14"/>
    </row>
    <row r="311" spans="1:49" ht="13">
      <c r="A311" s="133">
        <v>2017</v>
      </c>
      <c r="B311" s="12" t="s">
        <v>64</v>
      </c>
      <c r="C311" s="29" t="s">
        <v>73</v>
      </c>
      <c r="D311" s="29" t="s">
        <v>73</v>
      </c>
      <c r="E311" s="29" t="e">
        <v>#N/A</v>
      </c>
      <c r="F311" s="29"/>
      <c r="G311" s="29">
        <f>COUNTIF(Stakeholders!$E$2:$E960,F311)</f>
        <v>0</v>
      </c>
      <c r="H311" s="29" t="s">
        <v>2076</v>
      </c>
      <c r="I311" s="151" t="s">
        <v>2077</v>
      </c>
      <c r="J311" s="29" t="s">
        <v>67</v>
      </c>
      <c r="K311" s="29"/>
      <c r="L311" s="29"/>
      <c r="M311" s="29"/>
      <c r="N311" s="29"/>
      <c r="O311" s="29"/>
      <c r="P311" s="29"/>
      <c r="Q311" s="29"/>
      <c r="R311" s="29"/>
      <c r="S311" s="29"/>
      <c r="T311" s="29"/>
      <c r="U311" s="29"/>
      <c r="V311" s="29"/>
      <c r="W311" s="29" t="s">
        <v>67</v>
      </c>
      <c r="X311" s="29"/>
      <c r="Y311" s="29"/>
      <c r="Z311" s="29"/>
      <c r="AA311" s="29"/>
      <c r="AB311" s="29" t="s">
        <v>1752</v>
      </c>
      <c r="AC311" s="136">
        <v>43963</v>
      </c>
      <c r="AD311" s="29" t="s">
        <v>728</v>
      </c>
      <c r="AE311" s="34" t="e">
        <f>VLOOKUP(F311,Stakeholders!E:K,7,0)</f>
        <v>#N/A</v>
      </c>
      <c r="AF311" s="29"/>
      <c r="AG311" s="29"/>
      <c r="AH311" s="34" t="s">
        <v>82</v>
      </c>
      <c r="AI311" s="29"/>
      <c r="AJ311" s="29"/>
      <c r="AK311" s="29"/>
      <c r="AL311" s="29"/>
      <c r="AM311" s="29"/>
      <c r="AN311" s="29"/>
      <c r="AO311" s="29"/>
      <c r="AP311" s="29"/>
      <c r="AQ311" s="29"/>
      <c r="AR311" s="29"/>
      <c r="AS311" s="29"/>
      <c r="AT311" s="29"/>
      <c r="AU311" s="29"/>
      <c r="AV311" s="29"/>
      <c r="AW311" s="29"/>
    </row>
    <row r="312" spans="1:49" ht="13">
      <c r="A312" s="132">
        <v>2017</v>
      </c>
      <c r="B312" s="12" t="s">
        <v>64</v>
      </c>
      <c r="C312" s="14" t="s">
        <v>73</v>
      </c>
      <c r="D312" s="14" t="s">
        <v>73</v>
      </c>
      <c r="E312" s="14" t="e">
        <v>#N/A</v>
      </c>
      <c r="F312" s="14"/>
      <c r="G312" s="14">
        <f>COUNTIF(Stakeholders!$E$2:$E960,F312)</f>
        <v>0</v>
      </c>
      <c r="H312" s="14" t="s">
        <v>2078</v>
      </c>
      <c r="I312" s="152" t="s">
        <v>2079</v>
      </c>
      <c r="J312" s="14" t="s">
        <v>67</v>
      </c>
      <c r="K312" s="14"/>
      <c r="L312" s="14"/>
      <c r="M312" s="14"/>
      <c r="N312" s="14"/>
      <c r="O312" s="14"/>
      <c r="P312" s="14"/>
      <c r="Q312" s="14"/>
      <c r="R312" s="14"/>
      <c r="S312" s="14"/>
      <c r="T312" s="14"/>
      <c r="U312" s="14"/>
      <c r="V312" s="14"/>
      <c r="W312" s="14" t="s">
        <v>67</v>
      </c>
      <c r="X312" s="14"/>
      <c r="Y312" s="14"/>
      <c r="Z312" s="14"/>
      <c r="AA312" s="14"/>
      <c r="AB312" s="14" t="s">
        <v>1752</v>
      </c>
      <c r="AC312" s="135">
        <v>43964</v>
      </c>
      <c r="AD312" s="14" t="s">
        <v>701</v>
      </c>
      <c r="AE312" s="24" t="e">
        <f>VLOOKUP(F312,Stakeholders!E:K,7,0)</f>
        <v>#N/A</v>
      </c>
      <c r="AF312" s="14"/>
      <c r="AG312" s="14"/>
      <c r="AH312" s="24" t="s">
        <v>82</v>
      </c>
      <c r="AI312" s="14"/>
      <c r="AJ312" s="14"/>
      <c r="AK312" s="14"/>
      <c r="AL312" s="14"/>
      <c r="AM312" s="14"/>
      <c r="AN312" s="14"/>
      <c r="AO312" s="14"/>
      <c r="AP312" s="14"/>
      <c r="AQ312" s="14"/>
      <c r="AR312" s="14"/>
      <c r="AS312" s="14"/>
      <c r="AT312" s="14"/>
      <c r="AU312" s="14"/>
      <c r="AV312" s="14"/>
      <c r="AW312" s="14"/>
    </row>
    <row r="313" spans="1:49" ht="13">
      <c r="A313" s="133">
        <v>2018</v>
      </c>
      <c r="B313" s="12" t="s">
        <v>64</v>
      </c>
      <c r="C313" s="29" t="s">
        <v>73</v>
      </c>
      <c r="D313" s="29" t="s">
        <v>73</v>
      </c>
      <c r="E313" s="29" t="e">
        <v>#N/A</v>
      </c>
      <c r="F313" s="29"/>
      <c r="G313" s="29">
        <f>COUNTIF(Stakeholders!$E$2:$E960,F313)</f>
        <v>0</v>
      </c>
      <c r="H313" s="29" t="s">
        <v>2080</v>
      </c>
      <c r="I313" s="151" t="s">
        <v>2081</v>
      </c>
      <c r="J313" s="29" t="s">
        <v>67</v>
      </c>
      <c r="K313" s="29"/>
      <c r="L313" s="29"/>
      <c r="M313" s="29"/>
      <c r="N313" s="29"/>
      <c r="O313" s="29"/>
      <c r="P313" s="29"/>
      <c r="Q313" s="29"/>
      <c r="R313" s="29"/>
      <c r="S313" s="29"/>
      <c r="T313" s="29"/>
      <c r="U313" s="29"/>
      <c r="V313" s="29"/>
      <c r="W313" s="29" t="s">
        <v>67</v>
      </c>
      <c r="X313" s="29"/>
      <c r="Y313" s="29"/>
      <c r="Z313" s="29"/>
      <c r="AA313" s="29"/>
      <c r="AB313" s="29" t="s">
        <v>1752</v>
      </c>
      <c r="AC313" s="136">
        <v>43965</v>
      </c>
      <c r="AD313" s="29" t="s">
        <v>1197</v>
      </c>
      <c r="AE313" s="34" t="e">
        <f>VLOOKUP(F313,Stakeholders!E:K,7,0)</f>
        <v>#N/A</v>
      </c>
      <c r="AF313" s="29"/>
      <c r="AG313" s="29"/>
      <c r="AH313" s="34" t="s">
        <v>82</v>
      </c>
      <c r="AI313" s="29"/>
      <c r="AJ313" s="29"/>
      <c r="AK313" s="29"/>
      <c r="AL313" s="29"/>
      <c r="AM313" s="29"/>
      <c r="AN313" s="29"/>
      <c r="AO313" s="29"/>
      <c r="AP313" s="29"/>
      <c r="AQ313" s="29"/>
      <c r="AR313" s="29"/>
      <c r="AS313" s="29"/>
      <c r="AT313" s="29"/>
      <c r="AU313" s="29"/>
      <c r="AV313" s="29"/>
      <c r="AW313" s="29"/>
    </row>
    <row r="314" spans="1:49" ht="13">
      <c r="A314" s="132">
        <v>2018</v>
      </c>
      <c r="B314" s="12" t="s">
        <v>64</v>
      </c>
      <c r="C314" s="14" t="s">
        <v>73</v>
      </c>
      <c r="D314" s="14" t="s">
        <v>73</v>
      </c>
      <c r="E314" s="14" t="e">
        <v>#N/A</v>
      </c>
      <c r="F314" s="14"/>
      <c r="G314" s="14">
        <f>COUNTIF(Stakeholders!$E$2:$E960,F314)</f>
        <v>0</v>
      </c>
      <c r="H314" s="14" t="s">
        <v>2082</v>
      </c>
      <c r="I314" s="152" t="s">
        <v>2083</v>
      </c>
      <c r="J314" s="14" t="s">
        <v>67</v>
      </c>
      <c r="K314" s="14"/>
      <c r="L314" s="14"/>
      <c r="M314" s="14"/>
      <c r="N314" s="14"/>
      <c r="O314" s="14"/>
      <c r="P314" s="14"/>
      <c r="Q314" s="14"/>
      <c r="R314" s="14"/>
      <c r="S314" s="14"/>
      <c r="T314" s="14"/>
      <c r="U314" s="14"/>
      <c r="V314" s="14"/>
      <c r="W314" s="14" t="s">
        <v>67</v>
      </c>
      <c r="X314" s="14"/>
      <c r="Y314" s="14"/>
      <c r="Z314" s="14"/>
      <c r="AA314" s="14"/>
      <c r="AB314" s="14" t="s">
        <v>1752</v>
      </c>
      <c r="AC314" s="135">
        <v>43966</v>
      </c>
      <c r="AD314" s="14" t="s">
        <v>1199</v>
      </c>
      <c r="AE314" s="24" t="e">
        <f>VLOOKUP(F314,Stakeholders!E:K,7,0)</f>
        <v>#N/A</v>
      </c>
      <c r="AF314" s="14"/>
      <c r="AG314" s="14"/>
      <c r="AH314" s="24" t="s">
        <v>82</v>
      </c>
      <c r="AI314" s="14"/>
      <c r="AJ314" s="14"/>
      <c r="AK314" s="14"/>
      <c r="AL314" s="14"/>
      <c r="AM314" s="14"/>
      <c r="AN314" s="14"/>
      <c r="AO314" s="14"/>
      <c r="AP314" s="14"/>
      <c r="AQ314" s="14"/>
      <c r="AR314" s="14"/>
      <c r="AS314" s="14"/>
      <c r="AT314" s="14"/>
      <c r="AU314" s="14"/>
      <c r="AV314" s="14"/>
      <c r="AW314" s="14"/>
    </row>
    <row r="315" spans="1:49" ht="13">
      <c r="A315" s="133">
        <v>2018</v>
      </c>
      <c r="B315" s="12" t="s">
        <v>64</v>
      </c>
      <c r="C315" s="29" t="s">
        <v>73</v>
      </c>
      <c r="D315" s="29" t="s">
        <v>73</v>
      </c>
      <c r="E315" s="29" t="e">
        <v>#N/A</v>
      </c>
      <c r="F315" s="29"/>
      <c r="G315" s="29">
        <f>COUNTIF(Stakeholders!$E$2:$E960,F315)</f>
        <v>0</v>
      </c>
      <c r="H315" s="29" t="s">
        <v>2084</v>
      </c>
      <c r="I315" s="151" t="s">
        <v>2085</v>
      </c>
      <c r="J315" s="29" t="s">
        <v>67</v>
      </c>
      <c r="K315" s="29"/>
      <c r="L315" s="29"/>
      <c r="M315" s="29"/>
      <c r="N315" s="29"/>
      <c r="O315" s="29"/>
      <c r="P315" s="29"/>
      <c r="Q315" s="29"/>
      <c r="R315" s="29"/>
      <c r="S315" s="29"/>
      <c r="T315" s="29"/>
      <c r="U315" s="29"/>
      <c r="V315" s="29"/>
      <c r="W315" s="29" t="s">
        <v>67</v>
      </c>
      <c r="X315" s="29"/>
      <c r="Y315" s="29"/>
      <c r="Z315" s="29"/>
      <c r="AA315" s="29"/>
      <c r="AB315" s="29" t="s">
        <v>1752</v>
      </c>
      <c r="AC315" s="136">
        <v>43967</v>
      </c>
      <c r="AD315" s="29" t="s">
        <v>746</v>
      </c>
      <c r="AE315" s="34" t="e">
        <f>VLOOKUP(F315,Stakeholders!E:K,7,0)</f>
        <v>#N/A</v>
      </c>
      <c r="AF315" s="29"/>
      <c r="AG315" s="29"/>
      <c r="AH315" s="34" t="s">
        <v>82</v>
      </c>
      <c r="AI315" s="29"/>
      <c r="AJ315" s="29"/>
      <c r="AK315" s="29"/>
      <c r="AL315" s="29"/>
      <c r="AM315" s="29"/>
      <c r="AN315" s="29"/>
      <c r="AO315" s="29"/>
      <c r="AP315" s="29"/>
      <c r="AQ315" s="29"/>
      <c r="AR315" s="29"/>
      <c r="AS315" s="29"/>
      <c r="AT315" s="29"/>
      <c r="AU315" s="29"/>
      <c r="AV315" s="29"/>
      <c r="AW315" s="29"/>
    </row>
    <row r="316" spans="1:49" ht="13">
      <c r="A316" s="132">
        <v>2018</v>
      </c>
      <c r="B316" s="12" t="s">
        <v>64</v>
      </c>
      <c r="C316" s="14" t="s">
        <v>73</v>
      </c>
      <c r="D316" s="14" t="s">
        <v>1846</v>
      </c>
      <c r="E316" s="14" t="e">
        <v>#N/A</v>
      </c>
      <c r="F316" s="14"/>
      <c r="G316" s="14">
        <f>COUNTIF(Stakeholders!$E$2:$E960,F316)</f>
        <v>0</v>
      </c>
      <c r="H316" s="14" t="s">
        <v>2086</v>
      </c>
      <c r="I316" s="152" t="s">
        <v>2087</v>
      </c>
      <c r="J316" s="14" t="s">
        <v>67</v>
      </c>
      <c r="K316" s="14"/>
      <c r="L316" s="14"/>
      <c r="M316" s="14"/>
      <c r="N316" s="14"/>
      <c r="O316" s="14"/>
      <c r="P316" s="14"/>
      <c r="Q316" s="14"/>
      <c r="R316" s="14"/>
      <c r="S316" s="14"/>
      <c r="T316" s="14"/>
      <c r="U316" s="14"/>
      <c r="V316" s="14"/>
      <c r="W316" s="14" t="s">
        <v>67</v>
      </c>
      <c r="X316" s="14"/>
      <c r="Y316" s="14"/>
      <c r="Z316" s="14"/>
      <c r="AA316" s="14"/>
      <c r="AB316" s="14" t="s">
        <v>1752</v>
      </c>
      <c r="AC316" s="135">
        <v>43968</v>
      </c>
      <c r="AD316" s="14" t="s">
        <v>1201</v>
      </c>
      <c r="AE316" s="24" t="e">
        <f>VLOOKUP(F316,Stakeholders!E:K,7,0)</f>
        <v>#N/A</v>
      </c>
      <c r="AF316" s="14"/>
      <c r="AG316" s="14"/>
      <c r="AH316" s="24" t="s">
        <v>82</v>
      </c>
      <c r="AI316" s="14"/>
      <c r="AJ316" s="14"/>
      <c r="AK316" s="14"/>
      <c r="AL316" s="14"/>
      <c r="AM316" s="14"/>
      <c r="AN316" s="14"/>
      <c r="AO316" s="14"/>
      <c r="AP316" s="14"/>
      <c r="AQ316" s="14"/>
      <c r="AR316" s="14"/>
      <c r="AS316" s="14"/>
      <c r="AT316" s="14"/>
      <c r="AU316" s="14"/>
      <c r="AV316" s="14"/>
      <c r="AW316" s="14"/>
    </row>
    <row r="317" spans="1:49" ht="13">
      <c r="A317" s="133">
        <v>2018</v>
      </c>
      <c r="B317" s="12" t="s">
        <v>64</v>
      </c>
      <c r="C317" s="29" t="s">
        <v>73</v>
      </c>
      <c r="D317" s="29" t="s">
        <v>73</v>
      </c>
      <c r="E317" s="29" t="e">
        <v>#N/A</v>
      </c>
      <c r="F317" s="29"/>
      <c r="G317" s="29">
        <f>COUNTIF(Stakeholders!$E$2:$E960,F317)</f>
        <v>0</v>
      </c>
      <c r="H317" s="29" t="s">
        <v>2088</v>
      </c>
      <c r="I317" s="151" t="s">
        <v>2089</v>
      </c>
      <c r="J317" s="29" t="s">
        <v>67</v>
      </c>
      <c r="K317" s="29"/>
      <c r="L317" s="29"/>
      <c r="M317" s="29"/>
      <c r="N317" s="29"/>
      <c r="O317" s="29"/>
      <c r="P317" s="29"/>
      <c r="Q317" s="29"/>
      <c r="R317" s="29"/>
      <c r="S317" s="29"/>
      <c r="T317" s="29"/>
      <c r="U317" s="29"/>
      <c r="V317" s="29"/>
      <c r="W317" s="29" t="s">
        <v>67</v>
      </c>
      <c r="X317" s="29"/>
      <c r="Y317" s="29"/>
      <c r="Z317" s="29"/>
      <c r="AA317" s="29"/>
      <c r="AB317" s="29" t="s">
        <v>1752</v>
      </c>
      <c r="AC317" s="136">
        <v>43969</v>
      </c>
      <c r="AD317" s="29" t="s">
        <v>1202</v>
      </c>
      <c r="AE317" s="34" t="e">
        <f>VLOOKUP(F317,Stakeholders!E:K,7,0)</f>
        <v>#N/A</v>
      </c>
      <c r="AF317" s="29"/>
      <c r="AG317" s="29"/>
      <c r="AH317" s="34" t="s">
        <v>82</v>
      </c>
      <c r="AI317" s="29"/>
      <c r="AJ317" s="29"/>
      <c r="AK317" s="29"/>
      <c r="AL317" s="29"/>
      <c r="AM317" s="29"/>
      <c r="AN317" s="29"/>
      <c r="AO317" s="29"/>
      <c r="AP317" s="29"/>
      <c r="AQ317" s="29"/>
      <c r="AR317" s="29"/>
      <c r="AS317" s="29"/>
      <c r="AT317" s="29"/>
      <c r="AU317" s="29"/>
      <c r="AV317" s="29"/>
      <c r="AW317" s="29"/>
    </row>
    <row r="318" spans="1:49" ht="13">
      <c r="A318" s="132">
        <v>2018</v>
      </c>
      <c r="B318" s="12" t="s">
        <v>64</v>
      </c>
      <c r="C318" s="14" t="s">
        <v>73</v>
      </c>
      <c r="D318" s="14" t="s">
        <v>73</v>
      </c>
      <c r="E318" s="14" t="e">
        <v>#N/A</v>
      </c>
      <c r="F318" s="14"/>
      <c r="G318" s="14">
        <f>COUNTIF(Stakeholders!$E$2:$E960,F318)</f>
        <v>0</v>
      </c>
      <c r="H318" s="14" t="s">
        <v>2090</v>
      </c>
      <c r="I318" s="152" t="s">
        <v>2091</v>
      </c>
      <c r="J318" s="14" t="s">
        <v>67</v>
      </c>
      <c r="K318" s="14"/>
      <c r="L318" s="14"/>
      <c r="M318" s="14"/>
      <c r="N318" s="14"/>
      <c r="O318" s="14"/>
      <c r="P318" s="14"/>
      <c r="Q318" s="14"/>
      <c r="R318" s="14"/>
      <c r="S318" s="14"/>
      <c r="T318" s="14"/>
      <c r="U318" s="14"/>
      <c r="V318" s="14"/>
      <c r="W318" s="14" t="s">
        <v>67</v>
      </c>
      <c r="X318" s="14"/>
      <c r="Y318" s="14"/>
      <c r="Z318" s="14"/>
      <c r="AA318" s="14"/>
      <c r="AB318" s="14" t="s">
        <v>1752</v>
      </c>
      <c r="AC318" s="135">
        <v>43970</v>
      </c>
      <c r="AD318" s="14" t="s">
        <v>1203</v>
      </c>
      <c r="AE318" s="24" t="e">
        <f>VLOOKUP(F318,Stakeholders!E:K,7,0)</f>
        <v>#N/A</v>
      </c>
      <c r="AF318" s="14"/>
      <c r="AG318" s="14"/>
      <c r="AH318" s="24" t="s">
        <v>82</v>
      </c>
      <c r="AI318" s="14"/>
      <c r="AJ318" s="14"/>
      <c r="AK318" s="14"/>
      <c r="AL318" s="14"/>
      <c r="AM318" s="14"/>
      <c r="AN318" s="14"/>
      <c r="AO318" s="14"/>
      <c r="AP318" s="14"/>
      <c r="AQ318" s="14"/>
      <c r="AR318" s="14"/>
      <c r="AS318" s="14"/>
      <c r="AT318" s="14"/>
      <c r="AU318" s="14"/>
      <c r="AV318" s="14"/>
      <c r="AW318" s="14"/>
    </row>
    <row r="319" spans="1:49" ht="13">
      <c r="A319" s="133">
        <v>2018</v>
      </c>
      <c r="B319" s="12" t="s">
        <v>64</v>
      </c>
      <c r="C319" s="29" t="s">
        <v>73</v>
      </c>
      <c r="D319" s="29" t="s">
        <v>73</v>
      </c>
      <c r="E319" s="29" t="e">
        <v>#N/A</v>
      </c>
      <c r="F319" s="29"/>
      <c r="G319" s="29">
        <f>COUNTIF(Stakeholders!$E$2:$E960,F319)</f>
        <v>0</v>
      </c>
      <c r="H319" s="29" t="s">
        <v>2092</v>
      </c>
      <c r="I319" s="151" t="s">
        <v>2093</v>
      </c>
      <c r="J319" s="29" t="s">
        <v>67</v>
      </c>
      <c r="K319" s="29"/>
      <c r="L319" s="29"/>
      <c r="M319" s="29"/>
      <c r="N319" s="29"/>
      <c r="O319" s="29"/>
      <c r="P319" s="29"/>
      <c r="Q319" s="29"/>
      <c r="R319" s="29"/>
      <c r="S319" s="29"/>
      <c r="T319" s="29"/>
      <c r="U319" s="29"/>
      <c r="V319" s="29"/>
      <c r="W319" s="29" t="s">
        <v>67</v>
      </c>
      <c r="X319" s="29"/>
      <c r="Y319" s="29"/>
      <c r="Z319" s="29"/>
      <c r="AA319" s="29"/>
      <c r="AB319" s="29" t="s">
        <v>1752</v>
      </c>
      <c r="AC319" s="136">
        <v>43971</v>
      </c>
      <c r="AD319" s="29" t="s">
        <v>1204</v>
      </c>
      <c r="AE319" s="34" t="e">
        <f>VLOOKUP(F319,Stakeholders!E:K,7,0)</f>
        <v>#N/A</v>
      </c>
      <c r="AF319" s="29"/>
      <c r="AG319" s="29"/>
      <c r="AH319" s="34" t="s">
        <v>82</v>
      </c>
      <c r="AI319" s="29"/>
      <c r="AJ319" s="29"/>
      <c r="AK319" s="29"/>
      <c r="AL319" s="29"/>
      <c r="AM319" s="29"/>
      <c r="AN319" s="29"/>
      <c r="AO319" s="29"/>
      <c r="AP319" s="29"/>
      <c r="AQ319" s="29"/>
      <c r="AR319" s="29"/>
      <c r="AS319" s="29"/>
      <c r="AT319" s="29"/>
      <c r="AU319" s="29"/>
      <c r="AV319" s="29"/>
      <c r="AW319" s="29"/>
    </row>
    <row r="320" spans="1:49" ht="13">
      <c r="A320" s="132">
        <v>2018</v>
      </c>
      <c r="B320" s="12" t="s">
        <v>64</v>
      </c>
      <c r="C320" s="14" t="s">
        <v>73</v>
      </c>
      <c r="D320" s="14" t="s">
        <v>73</v>
      </c>
      <c r="E320" s="14" t="e">
        <v>#N/A</v>
      </c>
      <c r="F320" s="14"/>
      <c r="G320" s="14">
        <f>COUNTIF(Stakeholders!$E$2:$E960,F320)</f>
        <v>0</v>
      </c>
      <c r="H320" s="14" t="s">
        <v>2094</v>
      </c>
      <c r="I320" s="152" t="s">
        <v>2095</v>
      </c>
      <c r="J320" s="14" t="s">
        <v>67</v>
      </c>
      <c r="K320" s="14"/>
      <c r="L320" s="14"/>
      <c r="M320" s="14"/>
      <c r="N320" s="14"/>
      <c r="O320" s="14"/>
      <c r="P320" s="14"/>
      <c r="Q320" s="14"/>
      <c r="R320" s="14"/>
      <c r="S320" s="14"/>
      <c r="T320" s="14"/>
      <c r="U320" s="14"/>
      <c r="V320" s="14"/>
      <c r="W320" s="14" t="s">
        <v>67</v>
      </c>
      <c r="X320" s="14"/>
      <c r="Y320" s="14"/>
      <c r="Z320" s="14"/>
      <c r="AA320" s="14"/>
      <c r="AB320" s="14" t="s">
        <v>1752</v>
      </c>
      <c r="AC320" s="135">
        <v>43972</v>
      </c>
      <c r="AD320" s="14" t="s">
        <v>747</v>
      </c>
      <c r="AE320" s="24" t="e">
        <f>VLOOKUP(F320,Stakeholders!E:K,7,0)</f>
        <v>#N/A</v>
      </c>
      <c r="AF320" s="14"/>
      <c r="AG320" s="14"/>
      <c r="AH320" s="24" t="s">
        <v>82</v>
      </c>
      <c r="AI320" s="14"/>
      <c r="AJ320" s="14"/>
      <c r="AK320" s="14"/>
      <c r="AL320" s="14"/>
      <c r="AM320" s="14"/>
      <c r="AN320" s="14"/>
      <c r="AO320" s="14"/>
      <c r="AP320" s="14"/>
      <c r="AQ320" s="14"/>
      <c r="AR320" s="14"/>
      <c r="AS320" s="14"/>
      <c r="AT320" s="14"/>
      <c r="AU320" s="14"/>
      <c r="AV320" s="14"/>
      <c r="AW320" s="14"/>
    </row>
    <row r="321" spans="1:49" ht="13">
      <c r="A321" s="133">
        <v>2011</v>
      </c>
      <c r="B321" s="12" t="s">
        <v>64</v>
      </c>
      <c r="C321" s="29" t="s">
        <v>2096</v>
      </c>
      <c r="D321" s="29" t="s">
        <v>2096</v>
      </c>
      <c r="E321" s="29" t="e">
        <v>#N/A</v>
      </c>
      <c r="F321" s="29"/>
      <c r="G321" s="29">
        <f>COUNTIF(Stakeholders!$E$2:$E960,F321)</f>
        <v>0</v>
      </c>
      <c r="H321" s="29" t="s">
        <v>2097</v>
      </c>
      <c r="I321" s="151" t="s">
        <v>2098</v>
      </c>
      <c r="J321" s="29" t="s">
        <v>67</v>
      </c>
      <c r="K321" s="29"/>
      <c r="L321" s="29"/>
      <c r="M321" s="29"/>
      <c r="N321" s="29"/>
      <c r="O321" s="29"/>
      <c r="P321" s="29"/>
      <c r="Q321" s="29"/>
      <c r="R321" s="29"/>
      <c r="S321" s="29"/>
      <c r="T321" s="29"/>
      <c r="U321" s="29"/>
      <c r="V321" s="29"/>
      <c r="W321" s="29" t="s">
        <v>67</v>
      </c>
      <c r="X321" s="29"/>
      <c r="Y321" s="29"/>
      <c r="Z321" s="29"/>
      <c r="AA321" s="29"/>
      <c r="AB321" s="29" t="s">
        <v>1752</v>
      </c>
      <c r="AC321" s="136">
        <v>43973</v>
      </c>
      <c r="AD321" s="29" t="s">
        <v>1207</v>
      </c>
      <c r="AE321" s="34" t="e">
        <f>VLOOKUP(F321,Stakeholders!E:K,7,0)</f>
        <v>#N/A</v>
      </c>
      <c r="AF321" s="29"/>
      <c r="AG321" s="29"/>
      <c r="AH321" s="34" t="s">
        <v>82</v>
      </c>
      <c r="AI321" s="29"/>
      <c r="AJ321" s="29"/>
      <c r="AK321" s="29"/>
      <c r="AL321" s="29"/>
      <c r="AM321" s="29"/>
      <c r="AN321" s="29"/>
      <c r="AO321" s="29"/>
      <c r="AP321" s="29"/>
      <c r="AQ321" s="29"/>
      <c r="AR321" s="29"/>
      <c r="AS321" s="29"/>
      <c r="AT321" s="29"/>
      <c r="AU321" s="29"/>
      <c r="AV321" s="29"/>
      <c r="AW321" s="29"/>
    </row>
    <row r="322" spans="1:49" ht="13">
      <c r="A322" s="132">
        <v>2013</v>
      </c>
      <c r="B322" s="12" t="s">
        <v>64</v>
      </c>
      <c r="C322" s="14" t="s">
        <v>2096</v>
      </c>
      <c r="D322" s="14" t="s">
        <v>1846</v>
      </c>
      <c r="E322" s="14" t="e">
        <v>#N/A</v>
      </c>
      <c r="F322" s="14"/>
      <c r="G322" s="14">
        <f>COUNTIF(Stakeholders!$E$2:$E960,F322)</f>
        <v>0</v>
      </c>
      <c r="H322" s="14" t="s">
        <v>2099</v>
      </c>
      <c r="I322" s="152" t="s">
        <v>2100</v>
      </c>
      <c r="J322" s="14" t="s">
        <v>67</v>
      </c>
      <c r="K322" s="14"/>
      <c r="L322" s="14"/>
      <c r="M322" s="14"/>
      <c r="N322" s="14"/>
      <c r="O322" s="14"/>
      <c r="P322" s="14"/>
      <c r="Q322" s="14"/>
      <c r="R322" s="14"/>
      <c r="S322" s="14"/>
      <c r="T322" s="14"/>
      <c r="U322" s="14"/>
      <c r="V322" s="14"/>
      <c r="W322" s="14" t="s">
        <v>67</v>
      </c>
      <c r="X322" s="14"/>
      <c r="Y322" s="14"/>
      <c r="Z322" s="14"/>
      <c r="AA322" s="14"/>
      <c r="AB322" s="14" t="s">
        <v>1752</v>
      </c>
      <c r="AC322" s="135">
        <v>43974</v>
      </c>
      <c r="AD322" s="14" t="s">
        <v>1208</v>
      </c>
      <c r="AE322" s="24" t="e">
        <f>VLOOKUP(F322,Stakeholders!E:K,7,0)</f>
        <v>#N/A</v>
      </c>
      <c r="AF322" s="14"/>
      <c r="AG322" s="14"/>
      <c r="AH322" s="24" t="s">
        <v>82</v>
      </c>
      <c r="AI322" s="14"/>
      <c r="AJ322" s="14"/>
      <c r="AK322" s="14"/>
      <c r="AL322" s="14"/>
      <c r="AM322" s="14"/>
      <c r="AN322" s="14"/>
      <c r="AO322" s="14"/>
      <c r="AP322" s="14"/>
      <c r="AQ322" s="14"/>
      <c r="AR322" s="14"/>
      <c r="AS322" s="14"/>
      <c r="AT322" s="14"/>
      <c r="AU322" s="14"/>
      <c r="AV322" s="14"/>
      <c r="AW322" s="14"/>
    </row>
    <row r="323" spans="1:49" ht="13">
      <c r="A323" s="133">
        <v>2014</v>
      </c>
      <c r="B323" s="12" t="s">
        <v>64</v>
      </c>
      <c r="C323" s="29" t="s">
        <v>2096</v>
      </c>
      <c r="D323" s="29" t="s">
        <v>2096</v>
      </c>
      <c r="E323" s="29" t="e">
        <v>#N/A</v>
      </c>
      <c r="F323" s="29"/>
      <c r="G323" s="29">
        <f>COUNTIF(Stakeholders!$E$2:$E960,F323)</f>
        <v>0</v>
      </c>
      <c r="H323" s="29" t="s">
        <v>2101</v>
      </c>
      <c r="I323" s="151" t="s">
        <v>2102</v>
      </c>
      <c r="J323" s="29" t="s">
        <v>67</v>
      </c>
      <c r="K323" s="29"/>
      <c r="L323" s="29"/>
      <c r="M323" s="29"/>
      <c r="N323" s="29"/>
      <c r="O323" s="29"/>
      <c r="P323" s="29"/>
      <c r="Q323" s="29"/>
      <c r="R323" s="29"/>
      <c r="S323" s="29"/>
      <c r="T323" s="29"/>
      <c r="U323" s="29"/>
      <c r="V323" s="29"/>
      <c r="W323" s="29" t="s">
        <v>67</v>
      </c>
      <c r="X323" s="29"/>
      <c r="Y323" s="29"/>
      <c r="Z323" s="29"/>
      <c r="AA323" s="29"/>
      <c r="AB323" s="29" t="s">
        <v>1752</v>
      </c>
      <c r="AC323" s="136">
        <v>43975</v>
      </c>
      <c r="AD323" s="29" t="s">
        <v>1209</v>
      </c>
      <c r="AE323" s="34" t="e">
        <f>VLOOKUP(F323,Stakeholders!E:K,7,0)</f>
        <v>#N/A</v>
      </c>
      <c r="AF323" s="29"/>
      <c r="AG323" s="29"/>
      <c r="AH323" s="34" t="s">
        <v>82</v>
      </c>
      <c r="AI323" s="29"/>
      <c r="AJ323" s="29"/>
      <c r="AK323" s="29"/>
      <c r="AL323" s="29"/>
      <c r="AM323" s="29"/>
      <c r="AN323" s="29"/>
      <c r="AO323" s="29"/>
      <c r="AP323" s="29"/>
      <c r="AQ323" s="29"/>
      <c r="AR323" s="29"/>
      <c r="AS323" s="29"/>
      <c r="AT323" s="29"/>
      <c r="AU323" s="29"/>
      <c r="AV323" s="29"/>
      <c r="AW323" s="29"/>
    </row>
    <row r="324" spans="1:49" ht="13">
      <c r="A324" s="132">
        <v>2015</v>
      </c>
      <c r="B324" s="12" t="s">
        <v>64</v>
      </c>
      <c r="C324" s="14" t="s">
        <v>2096</v>
      </c>
      <c r="D324" s="14" t="s">
        <v>2096</v>
      </c>
      <c r="E324" s="14" t="e">
        <v>#N/A</v>
      </c>
      <c r="F324" s="14"/>
      <c r="G324" s="14">
        <f>COUNTIF(Stakeholders!$E$2:$E960,F324)</f>
        <v>0</v>
      </c>
      <c r="H324" s="14" t="s">
        <v>2103</v>
      </c>
      <c r="I324" s="152" t="s">
        <v>2104</v>
      </c>
      <c r="J324" s="14" t="s">
        <v>67</v>
      </c>
      <c r="K324" s="14"/>
      <c r="L324" s="14"/>
      <c r="M324" s="14"/>
      <c r="N324" s="14"/>
      <c r="O324" s="14"/>
      <c r="P324" s="14"/>
      <c r="Q324" s="14"/>
      <c r="R324" s="14"/>
      <c r="S324" s="14"/>
      <c r="T324" s="14"/>
      <c r="U324" s="14"/>
      <c r="V324" s="14"/>
      <c r="W324" s="14" t="s">
        <v>67</v>
      </c>
      <c r="X324" s="14"/>
      <c r="Y324" s="14"/>
      <c r="Z324" s="14"/>
      <c r="AA324" s="14"/>
      <c r="AB324" s="14" t="s">
        <v>1752</v>
      </c>
      <c r="AC324" s="135">
        <v>43976</v>
      </c>
      <c r="AD324" s="14" t="s">
        <v>1210</v>
      </c>
      <c r="AE324" s="24" t="e">
        <f>VLOOKUP(F324,Stakeholders!E:K,7,0)</f>
        <v>#N/A</v>
      </c>
      <c r="AF324" s="14"/>
      <c r="AG324" s="14"/>
      <c r="AH324" s="24" t="s">
        <v>82</v>
      </c>
      <c r="AI324" s="14"/>
      <c r="AJ324" s="14"/>
      <c r="AK324" s="14"/>
      <c r="AL324" s="14"/>
      <c r="AM324" s="14"/>
      <c r="AN324" s="14"/>
      <c r="AO324" s="14"/>
      <c r="AP324" s="14"/>
      <c r="AQ324" s="14"/>
      <c r="AR324" s="14"/>
      <c r="AS324" s="14"/>
      <c r="AT324" s="14"/>
      <c r="AU324" s="14"/>
      <c r="AV324" s="14"/>
      <c r="AW324" s="14"/>
    </row>
    <row r="325" spans="1:49" ht="13">
      <c r="A325" s="133">
        <v>2017</v>
      </c>
      <c r="B325" s="12" t="s">
        <v>64</v>
      </c>
      <c r="C325" s="29" t="s">
        <v>2096</v>
      </c>
      <c r="D325" s="29" t="s">
        <v>2096</v>
      </c>
      <c r="E325" s="29" t="e">
        <v>#N/A</v>
      </c>
      <c r="F325" s="29"/>
      <c r="G325" s="29">
        <f>COUNTIF(Stakeholders!$E$2:$E960,F325)</f>
        <v>0</v>
      </c>
      <c r="H325" s="29" t="s">
        <v>2105</v>
      </c>
      <c r="I325" s="151" t="s">
        <v>2106</v>
      </c>
      <c r="J325" s="29" t="s">
        <v>67</v>
      </c>
      <c r="K325" s="29"/>
      <c r="L325" s="29"/>
      <c r="M325" s="29"/>
      <c r="N325" s="29"/>
      <c r="O325" s="29"/>
      <c r="P325" s="29"/>
      <c r="Q325" s="29"/>
      <c r="R325" s="29"/>
      <c r="S325" s="29"/>
      <c r="T325" s="29"/>
      <c r="U325" s="29"/>
      <c r="V325" s="29"/>
      <c r="W325" s="29" t="s">
        <v>67</v>
      </c>
      <c r="X325" s="29"/>
      <c r="Y325" s="29"/>
      <c r="Z325" s="29"/>
      <c r="AA325" s="29"/>
      <c r="AB325" s="29" t="s">
        <v>1752</v>
      </c>
      <c r="AC325" s="136">
        <v>43977</v>
      </c>
      <c r="AD325" s="29" t="s">
        <v>748</v>
      </c>
      <c r="AE325" s="34" t="e">
        <f>VLOOKUP(F325,Stakeholders!E:K,7,0)</f>
        <v>#N/A</v>
      </c>
      <c r="AF325" s="29"/>
      <c r="AG325" s="29"/>
      <c r="AH325" s="34" t="s">
        <v>82</v>
      </c>
      <c r="AI325" s="29"/>
      <c r="AJ325" s="29"/>
      <c r="AK325" s="29"/>
      <c r="AL325" s="29"/>
      <c r="AM325" s="29"/>
      <c r="AN325" s="29"/>
      <c r="AO325" s="29"/>
      <c r="AP325" s="29"/>
      <c r="AQ325" s="29"/>
      <c r="AR325" s="29"/>
      <c r="AS325" s="29"/>
      <c r="AT325" s="29"/>
      <c r="AU325" s="29"/>
      <c r="AV325" s="29"/>
      <c r="AW325" s="29"/>
    </row>
    <row r="326" spans="1:49" ht="13">
      <c r="A326" s="132">
        <v>2017</v>
      </c>
      <c r="B326" s="12" t="s">
        <v>64</v>
      </c>
      <c r="C326" s="14" t="s">
        <v>2096</v>
      </c>
      <c r="D326" s="14" t="s">
        <v>2096</v>
      </c>
      <c r="E326" s="14" t="e">
        <v>#N/A</v>
      </c>
      <c r="F326" s="14"/>
      <c r="G326" s="14">
        <f>COUNTIF(Stakeholders!$E$2:$E960,F326)</f>
        <v>0</v>
      </c>
      <c r="H326" s="14" t="s">
        <v>2107</v>
      </c>
      <c r="I326" s="152" t="s">
        <v>2108</v>
      </c>
      <c r="J326" s="14" t="s">
        <v>67</v>
      </c>
      <c r="K326" s="14"/>
      <c r="L326" s="14"/>
      <c r="M326" s="14"/>
      <c r="N326" s="14"/>
      <c r="O326" s="14"/>
      <c r="P326" s="14"/>
      <c r="Q326" s="14"/>
      <c r="R326" s="14"/>
      <c r="S326" s="14"/>
      <c r="T326" s="14"/>
      <c r="U326" s="14"/>
      <c r="V326" s="14"/>
      <c r="W326" s="14" t="s">
        <v>67</v>
      </c>
      <c r="X326" s="14"/>
      <c r="Y326" s="14"/>
      <c r="Z326" s="14"/>
      <c r="AA326" s="14"/>
      <c r="AB326" s="14" t="s">
        <v>1752</v>
      </c>
      <c r="AC326" s="135">
        <v>43978</v>
      </c>
      <c r="AD326" s="14" t="s">
        <v>1212</v>
      </c>
      <c r="AE326" s="24" t="e">
        <f>VLOOKUP(F326,Stakeholders!E:K,7,0)</f>
        <v>#N/A</v>
      </c>
      <c r="AF326" s="14"/>
      <c r="AG326" s="14"/>
      <c r="AH326" s="24" t="s">
        <v>82</v>
      </c>
      <c r="AI326" s="14"/>
      <c r="AJ326" s="14"/>
      <c r="AK326" s="14"/>
      <c r="AL326" s="14"/>
      <c r="AM326" s="14"/>
      <c r="AN326" s="14"/>
      <c r="AO326" s="14"/>
      <c r="AP326" s="14"/>
      <c r="AQ326" s="14"/>
      <c r="AR326" s="14"/>
      <c r="AS326" s="14"/>
      <c r="AT326" s="14"/>
      <c r="AU326" s="14"/>
      <c r="AV326" s="14"/>
      <c r="AW326" s="14"/>
    </row>
    <row r="327" spans="1:49" ht="13">
      <c r="A327" s="133">
        <v>2013</v>
      </c>
      <c r="B327" s="37" t="s">
        <v>69</v>
      </c>
      <c r="C327" s="29" t="s">
        <v>2109</v>
      </c>
      <c r="D327" s="29" t="s">
        <v>2110</v>
      </c>
      <c r="E327" s="29" t="e">
        <v>#N/A</v>
      </c>
      <c r="F327" s="29"/>
      <c r="G327" s="29">
        <f>COUNTIF(Stakeholders!$E$2:$E960,F327)</f>
        <v>0</v>
      </c>
      <c r="H327" s="29" t="s">
        <v>2111</v>
      </c>
      <c r="I327" s="151" t="s">
        <v>2112</v>
      </c>
      <c r="J327" s="29" t="s">
        <v>67</v>
      </c>
      <c r="K327" s="29"/>
      <c r="L327" s="29"/>
      <c r="M327" s="29"/>
      <c r="N327" s="29"/>
      <c r="O327" s="29"/>
      <c r="P327" s="29"/>
      <c r="Q327" s="29"/>
      <c r="R327" s="29"/>
      <c r="S327" s="29"/>
      <c r="T327" s="29"/>
      <c r="U327" s="29"/>
      <c r="V327" s="29"/>
      <c r="W327" s="29" t="s">
        <v>67</v>
      </c>
      <c r="X327" s="29"/>
      <c r="Y327" s="29"/>
      <c r="Z327" s="29"/>
      <c r="AA327" s="29"/>
      <c r="AB327" s="29" t="s">
        <v>1752</v>
      </c>
      <c r="AC327" s="136">
        <v>43979</v>
      </c>
      <c r="AD327" s="29" t="s">
        <v>1214</v>
      </c>
      <c r="AE327" s="34" t="e">
        <f>VLOOKUP(F327,Stakeholders!E:K,7,0)</f>
        <v>#N/A</v>
      </c>
      <c r="AF327" s="29"/>
      <c r="AG327" s="29"/>
      <c r="AH327" s="34" t="s">
        <v>82</v>
      </c>
      <c r="AI327" s="29"/>
      <c r="AJ327" s="29"/>
      <c r="AK327" s="29"/>
      <c r="AL327" s="29"/>
      <c r="AM327" s="29"/>
      <c r="AN327" s="29"/>
      <c r="AO327" s="29"/>
      <c r="AP327" s="29"/>
      <c r="AQ327" s="29"/>
      <c r="AR327" s="29"/>
      <c r="AS327" s="29"/>
      <c r="AT327" s="29"/>
      <c r="AU327" s="29"/>
      <c r="AV327" s="29"/>
      <c r="AW327" s="29"/>
    </row>
    <row r="328" spans="1:49" ht="13">
      <c r="A328" s="132">
        <v>2012</v>
      </c>
      <c r="B328" s="39" t="s">
        <v>69</v>
      </c>
      <c r="C328" s="14" t="s">
        <v>2113</v>
      </c>
      <c r="D328" s="14" t="s">
        <v>2114</v>
      </c>
      <c r="E328" s="14" t="e">
        <v>#N/A</v>
      </c>
      <c r="F328" s="14"/>
      <c r="G328" s="14">
        <f>COUNTIF(Stakeholders!$E$2:$E960,F328)</f>
        <v>0</v>
      </c>
      <c r="H328" s="14" t="s">
        <v>2115</v>
      </c>
      <c r="I328" s="152" t="s">
        <v>2116</v>
      </c>
      <c r="J328" s="14" t="s">
        <v>67</v>
      </c>
      <c r="K328" s="14"/>
      <c r="L328" s="14"/>
      <c r="M328" s="14"/>
      <c r="N328" s="14"/>
      <c r="O328" s="14"/>
      <c r="P328" s="14"/>
      <c r="Q328" s="14"/>
      <c r="R328" s="14"/>
      <c r="S328" s="14"/>
      <c r="T328" s="14"/>
      <c r="U328" s="14"/>
      <c r="V328" s="14"/>
      <c r="W328" s="14" t="s">
        <v>67</v>
      </c>
      <c r="X328" s="14"/>
      <c r="Y328" s="14"/>
      <c r="Z328" s="14"/>
      <c r="AA328" s="14"/>
      <c r="AB328" s="14" t="s">
        <v>1752</v>
      </c>
      <c r="AC328" s="135">
        <v>43980</v>
      </c>
      <c r="AD328" s="14" t="s">
        <v>1215</v>
      </c>
      <c r="AE328" s="24" t="e">
        <f>VLOOKUP(F328,Stakeholders!E:K,7,0)</f>
        <v>#N/A</v>
      </c>
      <c r="AF328" s="14"/>
      <c r="AG328" s="14"/>
      <c r="AH328" s="24" t="s">
        <v>82</v>
      </c>
      <c r="AI328" s="14"/>
      <c r="AJ328" s="14"/>
      <c r="AK328" s="14"/>
      <c r="AL328" s="14"/>
      <c r="AM328" s="14"/>
      <c r="AN328" s="14"/>
      <c r="AO328" s="14"/>
      <c r="AP328" s="14"/>
      <c r="AQ328" s="14"/>
      <c r="AR328" s="14"/>
      <c r="AS328" s="14"/>
      <c r="AT328" s="14"/>
      <c r="AU328" s="14"/>
      <c r="AV328" s="14"/>
      <c r="AW328" s="14"/>
    </row>
    <row r="329" spans="1:49" ht="13">
      <c r="A329" s="133">
        <v>2014</v>
      </c>
      <c r="B329" s="37" t="s">
        <v>69</v>
      </c>
      <c r="C329" s="29" t="s">
        <v>2117</v>
      </c>
      <c r="D329" s="29" t="s">
        <v>2117</v>
      </c>
      <c r="E329" s="29" t="e">
        <v>#N/A</v>
      </c>
      <c r="F329" s="29"/>
      <c r="G329" s="29">
        <f>COUNTIF(Stakeholders!$E$2:$E960,F329)</f>
        <v>0</v>
      </c>
      <c r="H329" s="29" t="s">
        <v>2118</v>
      </c>
      <c r="I329" s="151" t="s">
        <v>2119</v>
      </c>
      <c r="J329" s="29" t="s">
        <v>67</v>
      </c>
      <c r="K329" s="29"/>
      <c r="L329" s="29"/>
      <c r="M329" s="29"/>
      <c r="N329" s="29"/>
      <c r="O329" s="29"/>
      <c r="P329" s="29"/>
      <c r="Q329" s="29"/>
      <c r="R329" s="29"/>
      <c r="S329" s="29"/>
      <c r="T329" s="29"/>
      <c r="U329" s="29"/>
      <c r="V329" s="29"/>
      <c r="W329" s="29" t="s">
        <v>67</v>
      </c>
      <c r="X329" s="29"/>
      <c r="Y329" s="29"/>
      <c r="Z329" s="29"/>
      <c r="AA329" s="29"/>
      <c r="AB329" s="29" t="s">
        <v>1752</v>
      </c>
      <c r="AC329" s="136">
        <v>43981</v>
      </c>
      <c r="AD329" s="29" t="s">
        <v>1216</v>
      </c>
      <c r="AE329" s="34" t="e">
        <f>VLOOKUP(F329,Stakeholders!E:K,7,0)</f>
        <v>#N/A</v>
      </c>
      <c r="AF329" s="29"/>
      <c r="AG329" s="29"/>
      <c r="AH329" s="34" t="s">
        <v>82</v>
      </c>
      <c r="AI329" s="29"/>
      <c r="AJ329" s="29"/>
      <c r="AK329" s="29"/>
      <c r="AL329" s="29"/>
      <c r="AM329" s="29"/>
      <c r="AN329" s="29"/>
      <c r="AO329" s="29"/>
      <c r="AP329" s="29"/>
      <c r="AQ329" s="29"/>
      <c r="AR329" s="29"/>
      <c r="AS329" s="29"/>
      <c r="AT329" s="29"/>
      <c r="AU329" s="29"/>
      <c r="AV329" s="29"/>
      <c r="AW329" s="29"/>
    </row>
    <row r="330" spans="1:49" ht="13">
      <c r="A330" s="132">
        <v>2016</v>
      </c>
      <c r="B330" s="39" t="s">
        <v>69</v>
      </c>
      <c r="C330" s="14" t="s">
        <v>2113</v>
      </c>
      <c r="D330" s="14" t="s">
        <v>2120</v>
      </c>
      <c r="E330" s="14" t="e">
        <v>#N/A</v>
      </c>
      <c r="F330" s="14"/>
      <c r="G330" s="14">
        <f>COUNTIF(Stakeholders!$E$2:$E960,F330)</f>
        <v>0</v>
      </c>
      <c r="H330" s="14" t="s">
        <v>2121</v>
      </c>
      <c r="I330" s="152" t="s">
        <v>2122</v>
      </c>
      <c r="J330" s="14" t="s">
        <v>67</v>
      </c>
      <c r="K330" s="14"/>
      <c r="L330" s="14"/>
      <c r="M330" s="14"/>
      <c r="N330" s="14"/>
      <c r="O330" s="14"/>
      <c r="P330" s="14"/>
      <c r="Q330" s="14"/>
      <c r="R330" s="14"/>
      <c r="S330" s="14"/>
      <c r="T330" s="14"/>
      <c r="U330" s="14"/>
      <c r="V330" s="14"/>
      <c r="W330" s="14" t="s">
        <v>67</v>
      </c>
      <c r="X330" s="14"/>
      <c r="Y330" s="14"/>
      <c r="Z330" s="14"/>
      <c r="AA330" s="14"/>
      <c r="AB330" s="14" t="s">
        <v>1752</v>
      </c>
      <c r="AC330" s="135">
        <v>43982</v>
      </c>
      <c r="AD330" s="14" t="s">
        <v>1217</v>
      </c>
      <c r="AE330" s="24" t="e">
        <f>VLOOKUP(F330,Stakeholders!E:K,7,0)</f>
        <v>#N/A</v>
      </c>
      <c r="AF330" s="14"/>
      <c r="AG330" s="14"/>
      <c r="AH330" s="24" t="s">
        <v>82</v>
      </c>
      <c r="AI330" s="14"/>
      <c r="AJ330" s="14"/>
      <c r="AK330" s="14"/>
      <c r="AL330" s="14"/>
      <c r="AM330" s="14"/>
      <c r="AN330" s="14"/>
      <c r="AO330" s="14"/>
      <c r="AP330" s="14"/>
      <c r="AQ330" s="14"/>
      <c r="AR330" s="14"/>
      <c r="AS330" s="14"/>
      <c r="AT330" s="14"/>
      <c r="AU330" s="14"/>
      <c r="AV330" s="14"/>
      <c r="AW330" s="14"/>
    </row>
    <row r="331" spans="1:49" ht="13">
      <c r="A331" s="133">
        <v>2017</v>
      </c>
      <c r="B331" s="37" t="s">
        <v>69</v>
      </c>
      <c r="C331" s="29" t="s">
        <v>2113</v>
      </c>
      <c r="D331" s="29" t="s">
        <v>2123</v>
      </c>
      <c r="E331" s="29" t="e">
        <v>#N/A</v>
      </c>
      <c r="F331" s="29"/>
      <c r="G331" s="29">
        <f>COUNTIF(Stakeholders!$E$2:$E960,F331)</f>
        <v>0</v>
      </c>
      <c r="H331" s="29" t="s">
        <v>2124</v>
      </c>
      <c r="I331" s="151" t="s">
        <v>2125</v>
      </c>
      <c r="J331" s="29" t="s">
        <v>67</v>
      </c>
      <c r="K331" s="29"/>
      <c r="L331" s="29"/>
      <c r="M331" s="29"/>
      <c r="N331" s="29"/>
      <c r="O331" s="29"/>
      <c r="P331" s="29"/>
      <c r="Q331" s="29"/>
      <c r="R331" s="29"/>
      <c r="S331" s="29"/>
      <c r="T331" s="29"/>
      <c r="U331" s="29"/>
      <c r="V331" s="29"/>
      <c r="W331" s="29" t="s">
        <v>67</v>
      </c>
      <c r="X331" s="29"/>
      <c r="Y331" s="29"/>
      <c r="Z331" s="29"/>
      <c r="AA331" s="29"/>
      <c r="AB331" s="29" t="s">
        <v>1752</v>
      </c>
      <c r="AC331" s="136">
        <v>43983</v>
      </c>
      <c r="AD331" s="29" t="s">
        <v>1218</v>
      </c>
      <c r="AE331" s="34" t="e">
        <f>VLOOKUP(F331,Stakeholders!E:K,7,0)</f>
        <v>#N/A</v>
      </c>
      <c r="AF331" s="29"/>
      <c r="AG331" s="29"/>
      <c r="AH331" s="34" t="s">
        <v>82</v>
      </c>
      <c r="AI331" s="29"/>
      <c r="AJ331" s="29"/>
      <c r="AK331" s="29"/>
      <c r="AL331" s="29"/>
      <c r="AM331" s="29"/>
      <c r="AN331" s="29"/>
      <c r="AO331" s="29"/>
      <c r="AP331" s="29"/>
      <c r="AQ331" s="29"/>
      <c r="AR331" s="29"/>
      <c r="AS331" s="29"/>
      <c r="AT331" s="29"/>
      <c r="AU331" s="29"/>
      <c r="AV331" s="29"/>
      <c r="AW331" s="29"/>
    </row>
    <row r="332" spans="1:49" ht="13">
      <c r="A332" s="132">
        <v>2018</v>
      </c>
      <c r="B332" s="39" t="s">
        <v>69</v>
      </c>
      <c r="C332" s="14" t="s">
        <v>2113</v>
      </c>
      <c r="D332" s="14" t="s">
        <v>2123</v>
      </c>
      <c r="E332" s="14" t="e">
        <v>#N/A</v>
      </c>
      <c r="F332" s="14"/>
      <c r="G332" s="14">
        <f>COUNTIF(Stakeholders!$E$2:$E960,F332)</f>
        <v>0</v>
      </c>
      <c r="H332" s="14" t="s">
        <v>2126</v>
      </c>
      <c r="I332" s="152" t="s">
        <v>2127</v>
      </c>
      <c r="J332" s="14" t="s">
        <v>67</v>
      </c>
      <c r="K332" s="14"/>
      <c r="L332" s="14"/>
      <c r="M332" s="14"/>
      <c r="N332" s="14"/>
      <c r="O332" s="14"/>
      <c r="P332" s="14"/>
      <c r="Q332" s="14"/>
      <c r="R332" s="14"/>
      <c r="S332" s="14"/>
      <c r="T332" s="14"/>
      <c r="U332" s="14"/>
      <c r="V332" s="14"/>
      <c r="W332" s="14" t="s">
        <v>67</v>
      </c>
      <c r="X332" s="14"/>
      <c r="Y332" s="14"/>
      <c r="Z332" s="14"/>
      <c r="AA332" s="14"/>
      <c r="AB332" s="14" t="s">
        <v>1752</v>
      </c>
      <c r="AC332" s="135">
        <v>43984</v>
      </c>
      <c r="AD332" s="14" t="s">
        <v>1222</v>
      </c>
      <c r="AE332" s="24" t="e">
        <f>VLOOKUP(F332,Stakeholders!E:K,7,0)</f>
        <v>#N/A</v>
      </c>
      <c r="AF332" s="14"/>
      <c r="AG332" s="14"/>
      <c r="AH332" s="24" t="s">
        <v>82</v>
      </c>
      <c r="AI332" s="14"/>
      <c r="AJ332" s="14"/>
      <c r="AK332" s="14"/>
      <c r="AL332" s="14"/>
      <c r="AM332" s="14"/>
      <c r="AN332" s="14"/>
      <c r="AO332" s="14"/>
      <c r="AP332" s="14"/>
      <c r="AQ332" s="14"/>
      <c r="AR332" s="14"/>
      <c r="AS332" s="14"/>
      <c r="AT332" s="14"/>
      <c r="AU332" s="14"/>
      <c r="AV332" s="14"/>
      <c r="AW332" s="14"/>
    </row>
    <row r="333" spans="1:49" ht="13">
      <c r="A333" s="133">
        <v>2004</v>
      </c>
      <c r="B333" s="37" t="s">
        <v>69</v>
      </c>
      <c r="C333" s="29" t="s">
        <v>273</v>
      </c>
      <c r="D333" s="29" t="s">
        <v>1846</v>
      </c>
      <c r="E333" s="29" t="e">
        <v>#N/A</v>
      </c>
      <c r="F333" s="29"/>
      <c r="G333" s="29">
        <f>COUNTIF(Stakeholders!$E$2:$E960,F333)</f>
        <v>0</v>
      </c>
      <c r="H333" s="29" t="s">
        <v>2128</v>
      </c>
      <c r="I333" s="151" t="s">
        <v>2129</v>
      </c>
      <c r="J333" s="29" t="s">
        <v>67</v>
      </c>
      <c r="K333" s="29"/>
      <c r="L333" s="29"/>
      <c r="M333" s="29"/>
      <c r="N333" s="29"/>
      <c r="O333" s="29"/>
      <c r="P333" s="29"/>
      <c r="Q333" s="29"/>
      <c r="R333" s="29"/>
      <c r="S333" s="29"/>
      <c r="T333" s="29"/>
      <c r="U333" s="29"/>
      <c r="V333" s="29"/>
      <c r="W333" s="29" t="s">
        <v>67</v>
      </c>
      <c r="X333" s="29"/>
      <c r="Y333" s="29"/>
      <c r="Z333" s="29"/>
      <c r="AA333" s="29"/>
      <c r="AB333" s="29" t="s">
        <v>1752</v>
      </c>
      <c r="AC333" s="136">
        <v>43985</v>
      </c>
      <c r="AD333" s="29" t="s">
        <v>749</v>
      </c>
      <c r="AE333" s="34" t="e">
        <f>VLOOKUP(F333,Stakeholders!E:K,7,0)</f>
        <v>#N/A</v>
      </c>
      <c r="AF333" s="29"/>
      <c r="AG333" s="29"/>
      <c r="AH333" s="34" t="s">
        <v>82</v>
      </c>
      <c r="AI333" s="29"/>
      <c r="AJ333" s="29"/>
      <c r="AK333" s="29"/>
      <c r="AL333" s="29"/>
      <c r="AM333" s="29"/>
      <c r="AN333" s="29"/>
      <c r="AO333" s="29"/>
      <c r="AP333" s="29"/>
      <c r="AQ333" s="29"/>
      <c r="AR333" s="29"/>
      <c r="AS333" s="29"/>
      <c r="AT333" s="29"/>
      <c r="AU333" s="29"/>
      <c r="AV333" s="29"/>
      <c r="AW333" s="29"/>
    </row>
    <row r="334" spans="1:49" ht="13">
      <c r="A334" s="132">
        <v>2011</v>
      </c>
      <c r="B334" s="39" t="s">
        <v>69</v>
      </c>
      <c r="C334" s="14" t="s">
        <v>273</v>
      </c>
      <c r="D334" s="14" t="s">
        <v>2130</v>
      </c>
      <c r="E334" s="14" t="e">
        <v>#N/A</v>
      </c>
      <c r="F334" s="14"/>
      <c r="G334" s="14">
        <f>COUNTIF(Stakeholders!$E$2:$E960,F334)</f>
        <v>0</v>
      </c>
      <c r="H334" s="14" t="s">
        <v>2131</v>
      </c>
      <c r="I334" s="152" t="s">
        <v>2132</v>
      </c>
      <c r="J334" s="14" t="s">
        <v>67</v>
      </c>
      <c r="K334" s="14"/>
      <c r="L334" s="14"/>
      <c r="M334" s="14"/>
      <c r="N334" s="14"/>
      <c r="O334" s="14"/>
      <c r="P334" s="14"/>
      <c r="Q334" s="14"/>
      <c r="R334" s="14"/>
      <c r="S334" s="14"/>
      <c r="T334" s="14"/>
      <c r="U334" s="14"/>
      <c r="V334" s="14"/>
      <c r="W334" s="14" t="s">
        <v>67</v>
      </c>
      <c r="X334" s="14"/>
      <c r="Y334" s="14"/>
      <c r="Z334" s="14"/>
      <c r="AA334" s="14"/>
      <c r="AB334" s="14" t="s">
        <v>1752</v>
      </c>
      <c r="AC334" s="135">
        <v>43986</v>
      </c>
      <c r="AD334" s="14" t="s">
        <v>1224</v>
      </c>
      <c r="AE334" s="24" t="e">
        <f>VLOOKUP(F334,Stakeholders!E:K,7,0)</f>
        <v>#N/A</v>
      </c>
      <c r="AF334" s="14"/>
      <c r="AG334" s="14"/>
      <c r="AH334" s="24" t="s">
        <v>82</v>
      </c>
      <c r="AI334" s="14"/>
      <c r="AJ334" s="14"/>
      <c r="AK334" s="14"/>
      <c r="AL334" s="14"/>
      <c r="AM334" s="14"/>
      <c r="AN334" s="14"/>
      <c r="AO334" s="14"/>
      <c r="AP334" s="14"/>
      <c r="AQ334" s="14"/>
      <c r="AR334" s="14"/>
      <c r="AS334" s="14"/>
      <c r="AT334" s="14"/>
      <c r="AU334" s="14"/>
      <c r="AV334" s="14"/>
      <c r="AW334" s="14"/>
    </row>
    <row r="335" spans="1:49" ht="13">
      <c r="A335" s="133">
        <v>2017</v>
      </c>
      <c r="B335" s="37" t="s">
        <v>69</v>
      </c>
      <c r="C335" s="29" t="s">
        <v>2133</v>
      </c>
      <c r="D335" s="29" t="s">
        <v>2134</v>
      </c>
      <c r="E335" s="29" t="e">
        <v>#N/A</v>
      </c>
      <c r="F335" s="29"/>
      <c r="G335" s="29">
        <f>COUNTIF(Stakeholders!$E$2:$E960,F335)</f>
        <v>0</v>
      </c>
      <c r="H335" s="29" t="s">
        <v>2135</v>
      </c>
      <c r="I335" s="151" t="s">
        <v>2136</v>
      </c>
      <c r="J335" s="29" t="s">
        <v>67</v>
      </c>
      <c r="K335" s="29"/>
      <c r="L335" s="29"/>
      <c r="M335" s="29"/>
      <c r="N335" s="29"/>
      <c r="O335" s="29"/>
      <c r="P335" s="29"/>
      <c r="Q335" s="29"/>
      <c r="R335" s="29"/>
      <c r="S335" s="29"/>
      <c r="T335" s="29"/>
      <c r="U335" s="29"/>
      <c r="V335" s="29"/>
      <c r="W335" s="29" t="s">
        <v>67</v>
      </c>
      <c r="X335" s="29"/>
      <c r="Y335" s="29"/>
      <c r="Z335" s="29"/>
      <c r="AA335" s="29"/>
      <c r="AB335" s="29" t="s">
        <v>1752</v>
      </c>
      <c r="AC335" s="136">
        <v>43987</v>
      </c>
      <c r="AD335" s="29" t="s">
        <v>1225</v>
      </c>
      <c r="AE335" s="34" t="e">
        <f>VLOOKUP(F335,Stakeholders!E:K,7,0)</f>
        <v>#N/A</v>
      </c>
      <c r="AF335" s="29"/>
      <c r="AG335" s="29"/>
      <c r="AH335" s="34" t="s">
        <v>82</v>
      </c>
      <c r="AI335" s="29"/>
      <c r="AJ335" s="29"/>
      <c r="AK335" s="29"/>
      <c r="AL335" s="29"/>
      <c r="AM335" s="29"/>
      <c r="AN335" s="29"/>
      <c r="AO335" s="29"/>
      <c r="AP335" s="29"/>
      <c r="AQ335" s="29"/>
      <c r="AR335" s="29"/>
      <c r="AS335" s="29"/>
      <c r="AT335" s="29"/>
      <c r="AU335" s="29"/>
      <c r="AV335" s="29"/>
      <c r="AW335" s="29"/>
    </row>
    <row r="336" spans="1:49" ht="13">
      <c r="A336" s="132">
        <v>2014</v>
      </c>
      <c r="B336" s="39" t="s">
        <v>69</v>
      </c>
      <c r="C336" s="14" t="s">
        <v>2137</v>
      </c>
      <c r="D336" s="14" t="s">
        <v>2137</v>
      </c>
      <c r="E336" s="14" t="e">
        <v>#N/A</v>
      </c>
      <c r="F336" s="14"/>
      <c r="G336" s="14">
        <f>COUNTIF(Stakeholders!$E$2:$E960,F336)</f>
        <v>0</v>
      </c>
      <c r="H336" s="14" t="s">
        <v>2138</v>
      </c>
      <c r="I336" s="152" t="s">
        <v>2139</v>
      </c>
      <c r="J336" s="14" t="s">
        <v>67</v>
      </c>
      <c r="K336" s="14"/>
      <c r="L336" s="14"/>
      <c r="M336" s="14"/>
      <c r="N336" s="14"/>
      <c r="O336" s="14"/>
      <c r="P336" s="14"/>
      <c r="Q336" s="14"/>
      <c r="R336" s="14"/>
      <c r="S336" s="14"/>
      <c r="T336" s="14"/>
      <c r="U336" s="14"/>
      <c r="V336" s="14"/>
      <c r="W336" s="14" t="s">
        <v>67</v>
      </c>
      <c r="X336" s="14"/>
      <c r="Y336" s="14"/>
      <c r="Z336" s="14"/>
      <c r="AA336" s="14"/>
      <c r="AB336" s="14" t="s">
        <v>1752</v>
      </c>
      <c r="AC336" s="135">
        <v>43988</v>
      </c>
      <c r="AD336" s="14" t="s">
        <v>710</v>
      </c>
      <c r="AE336" s="24" t="e">
        <f>VLOOKUP(F336,Stakeholders!E:K,7,0)</f>
        <v>#N/A</v>
      </c>
      <c r="AF336" s="14"/>
      <c r="AG336" s="14"/>
      <c r="AH336" s="24" t="s">
        <v>82</v>
      </c>
      <c r="AI336" s="14"/>
      <c r="AJ336" s="14"/>
      <c r="AK336" s="14"/>
      <c r="AL336" s="14"/>
      <c r="AM336" s="14"/>
      <c r="AN336" s="14"/>
      <c r="AO336" s="14"/>
      <c r="AP336" s="14"/>
      <c r="AQ336" s="14"/>
      <c r="AR336" s="14"/>
      <c r="AS336" s="14"/>
      <c r="AT336" s="14"/>
      <c r="AU336" s="14"/>
      <c r="AV336" s="14"/>
      <c r="AW336" s="14"/>
    </row>
    <row r="337" spans="1:49" ht="13">
      <c r="A337" s="133">
        <v>2015</v>
      </c>
      <c r="B337" s="37" t="s">
        <v>69</v>
      </c>
      <c r="C337" s="29" t="s">
        <v>222</v>
      </c>
      <c r="D337" s="29" t="s">
        <v>2140</v>
      </c>
      <c r="E337" s="29" t="e">
        <v>#N/A</v>
      </c>
      <c r="F337" s="29"/>
      <c r="G337" s="29">
        <f>COUNTIF(Stakeholders!$E$2:$E960,F337)</f>
        <v>0</v>
      </c>
      <c r="H337" s="29" t="s">
        <v>2141</v>
      </c>
      <c r="I337" s="151" t="s">
        <v>2142</v>
      </c>
      <c r="J337" s="29" t="s">
        <v>67</v>
      </c>
      <c r="K337" s="29"/>
      <c r="L337" s="29"/>
      <c r="M337" s="29"/>
      <c r="N337" s="29"/>
      <c r="O337" s="29"/>
      <c r="P337" s="29"/>
      <c r="Q337" s="29"/>
      <c r="R337" s="29"/>
      <c r="S337" s="29"/>
      <c r="T337" s="29"/>
      <c r="U337" s="29"/>
      <c r="V337" s="29"/>
      <c r="W337" s="29" t="s">
        <v>67</v>
      </c>
      <c r="X337" s="29"/>
      <c r="Y337" s="29"/>
      <c r="Z337" s="29"/>
      <c r="AA337" s="29"/>
      <c r="AB337" s="29" t="s">
        <v>1752</v>
      </c>
      <c r="AC337" s="136">
        <v>43989</v>
      </c>
      <c r="AD337" s="29" t="s">
        <v>1229</v>
      </c>
      <c r="AE337" s="34" t="e">
        <f>VLOOKUP(F337,Stakeholders!E:K,7,0)</f>
        <v>#N/A</v>
      </c>
      <c r="AF337" s="29"/>
      <c r="AG337" s="29"/>
      <c r="AH337" s="34" t="s">
        <v>82</v>
      </c>
      <c r="AI337" s="29"/>
      <c r="AJ337" s="29"/>
      <c r="AK337" s="29"/>
      <c r="AL337" s="29"/>
      <c r="AM337" s="29"/>
      <c r="AN337" s="29"/>
      <c r="AO337" s="29"/>
      <c r="AP337" s="29"/>
      <c r="AQ337" s="29"/>
      <c r="AR337" s="29"/>
      <c r="AS337" s="29"/>
      <c r="AT337" s="29"/>
      <c r="AU337" s="29"/>
      <c r="AV337" s="29"/>
      <c r="AW337" s="29"/>
    </row>
    <row r="338" spans="1:49" ht="13">
      <c r="A338" s="132">
        <v>2005</v>
      </c>
      <c r="B338" s="39" t="s">
        <v>69</v>
      </c>
      <c r="C338" s="14" t="s">
        <v>2143</v>
      </c>
      <c r="D338" s="14" t="s">
        <v>2143</v>
      </c>
      <c r="E338" s="14" t="e">
        <v>#N/A</v>
      </c>
      <c r="F338" s="14"/>
      <c r="G338" s="14">
        <f>COUNTIF(Stakeholders!$E$2:$E960,F338)</f>
        <v>0</v>
      </c>
      <c r="H338" s="14" t="s">
        <v>2144</v>
      </c>
      <c r="I338" s="152" t="s">
        <v>2145</v>
      </c>
      <c r="J338" s="14" t="s">
        <v>67</v>
      </c>
      <c r="K338" s="14"/>
      <c r="L338" s="14"/>
      <c r="M338" s="14"/>
      <c r="N338" s="14"/>
      <c r="O338" s="14"/>
      <c r="P338" s="14"/>
      <c r="Q338" s="14"/>
      <c r="R338" s="14"/>
      <c r="S338" s="14"/>
      <c r="T338" s="14"/>
      <c r="U338" s="14"/>
      <c r="V338" s="14"/>
      <c r="W338" s="14" t="s">
        <v>67</v>
      </c>
      <c r="X338" s="14"/>
      <c r="Y338" s="14"/>
      <c r="Z338" s="14"/>
      <c r="AA338" s="14"/>
      <c r="AB338" s="14" t="s">
        <v>1752</v>
      </c>
      <c r="AC338" s="135">
        <v>43990</v>
      </c>
      <c r="AD338" s="14" t="s">
        <v>1230</v>
      </c>
      <c r="AE338" s="24" t="e">
        <f>VLOOKUP(F338,Stakeholders!E:K,7,0)</f>
        <v>#N/A</v>
      </c>
      <c r="AF338" s="14"/>
      <c r="AG338" s="14"/>
      <c r="AH338" s="24" t="s">
        <v>82</v>
      </c>
      <c r="AI338" s="14"/>
      <c r="AJ338" s="14"/>
      <c r="AK338" s="14"/>
      <c r="AL338" s="14"/>
      <c r="AM338" s="14"/>
      <c r="AN338" s="14"/>
      <c r="AO338" s="14"/>
      <c r="AP338" s="14"/>
      <c r="AQ338" s="14"/>
      <c r="AR338" s="14"/>
      <c r="AS338" s="14"/>
      <c r="AT338" s="14"/>
      <c r="AU338" s="14"/>
      <c r="AV338" s="14"/>
      <c r="AW338" s="14"/>
    </row>
    <row r="339" spans="1:49" ht="13">
      <c r="A339" s="133">
        <v>2006</v>
      </c>
      <c r="B339" s="37" t="s">
        <v>69</v>
      </c>
      <c r="C339" s="29" t="s">
        <v>2143</v>
      </c>
      <c r="D339" s="29" t="s">
        <v>2143</v>
      </c>
      <c r="E339" s="29" t="e">
        <v>#N/A</v>
      </c>
      <c r="F339" s="29"/>
      <c r="G339" s="29">
        <f>COUNTIF(Stakeholders!$E$2:$E960,F339)</f>
        <v>0</v>
      </c>
      <c r="H339" s="29" t="s">
        <v>2146</v>
      </c>
      <c r="I339" s="151" t="s">
        <v>2147</v>
      </c>
      <c r="J339" s="29" t="s">
        <v>67</v>
      </c>
      <c r="K339" s="29"/>
      <c r="L339" s="29"/>
      <c r="M339" s="29"/>
      <c r="N339" s="29"/>
      <c r="O339" s="29"/>
      <c r="P339" s="29"/>
      <c r="Q339" s="29"/>
      <c r="R339" s="29"/>
      <c r="S339" s="29"/>
      <c r="T339" s="29"/>
      <c r="U339" s="29"/>
      <c r="V339" s="29"/>
      <c r="W339" s="29" t="s">
        <v>67</v>
      </c>
      <c r="X339" s="29"/>
      <c r="Y339" s="29"/>
      <c r="Z339" s="29"/>
      <c r="AA339" s="29"/>
      <c r="AB339" s="29" t="s">
        <v>1752</v>
      </c>
      <c r="AC339" s="136">
        <v>43991</v>
      </c>
      <c r="AD339" s="29" t="s">
        <v>1231</v>
      </c>
      <c r="AE339" s="34" t="e">
        <f>VLOOKUP(F339,Stakeholders!E:K,7,0)</f>
        <v>#N/A</v>
      </c>
      <c r="AF339" s="29"/>
      <c r="AG339" s="29"/>
      <c r="AH339" s="34" t="s">
        <v>82</v>
      </c>
      <c r="AI339" s="29"/>
      <c r="AJ339" s="29"/>
      <c r="AK339" s="29"/>
      <c r="AL339" s="29"/>
      <c r="AM339" s="29"/>
      <c r="AN339" s="29"/>
      <c r="AO339" s="29"/>
      <c r="AP339" s="29"/>
      <c r="AQ339" s="29"/>
      <c r="AR339" s="29"/>
      <c r="AS339" s="29"/>
      <c r="AT339" s="29"/>
      <c r="AU339" s="29"/>
      <c r="AV339" s="29"/>
      <c r="AW339" s="29"/>
    </row>
    <row r="340" spans="1:49" ht="13">
      <c r="A340" s="132">
        <v>2012</v>
      </c>
      <c r="B340" s="39" t="s">
        <v>69</v>
      </c>
      <c r="C340" s="14" t="s">
        <v>2143</v>
      </c>
      <c r="D340" s="14" t="s">
        <v>2143</v>
      </c>
      <c r="E340" s="14" t="e">
        <v>#N/A</v>
      </c>
      <c r="F340" s="14"/>
      <c r="G340" s="14">
        <f>COUNTIF(Stakeholders!$E$2:$E960,F340)</f>
        <v>0</v>
      </c>
      <c r="H340" s="14" t="s">
        <v>2148</v>
      </c>
      <c r="I340" s="152" t="s">
        <v>2149</v>
      </c>
      <c r="J340" s="14" t="s">
        <v>67</v>
      </c>
      <c r="K340" s="14"/>
      <c r="L340" s="14"/>
      <c r="M340" s="14"/>
      <c r="N340" s="14"/>
      <c r="O340" s="14"/>
      <c r="P340" s="14"/>
      <c r="Q340" s="14"/>
      <c r="R340" s="14"/>
      <c r="S340" s="14"/>
      <c r="T340" s="14"/>
      <c r="U340" s="14"/>
      <c r="V340" s="14"/>
      <c r="W340" s="14" t="s">
        <v>67</v>
      </c>
      <c r="X340" s="14"/>
      <c r="Y340" s="14"/>
      <c r="Z340" s="14"/>
      <c r="AA340" s="14"/>
      <c r="AB340" s="14" t="s">
        <v>1752</v>
      </c>
      <c r="AC340" s="135">
        <v>43992</v>
      </c>
      <c r="AD340" s="14" t="s">
        <v>1232</v>
      </c>
      <c r="AE340" s="24" t="e">
        <f>VLOOKUP(F340,Stakeholders!E:K,7,0)</f>
        <v>#N/A</v>
      </c>
      <c r="AF340" s="14"/>
      <c r="AG340" s="14"/>
      <c r="AH340" s="24" t="s">
        <v>82</v>
      </c>
      <c r="AI340" s="14"/>
      <c r="AJ340" s="14"/>
      <c r="AK340" s="14"/>
      <c r="AL340" s="14"/>
      <c r="AM340" s="14"/>
      <c r="AN340" s="14"/>
      <c r="AO340" s="14"/>
      <c r="AP340" s="14"/>
      <c r="AQ340" s="14"/>
      <c r="AR340" s="14"/>
      <c r="AS340" s="14"/>
      <c r="AT340" s="14"/>
      <c r="AU340" s="14"/>
      <c r="AV340" s="14"/>
      <c r="AW340" s="14"/>
    </row>
    <row r="341" spans="1:49" ht="13">
      <c r="A341" s="133">
        <v>2012</v>
      </c>
      <c r="B341" s="37" t="s">
        <v>69</v>
      </c>
      <c r="C341" s="29" t="s">
        <v>2143</v>
      </c>
      <c r="D341" s="29" t="s">
        <v>2150</v>
      </c>
      <c r="E341" s="29" t="e">
        <v>#N/A</v>
      </c>
      <c r="F341" s="29"/>
      <c r="G341" s="29">
        <f>COUNTIF(Stakeholders!$E$2:$E960,F341)</f>
        <v>0</v>
      </c>
      <c r="H341" s="29" t="s">
        <v>2151</v>
      </c>
      <c r="I341" s="151" t="s">
        <v>2152</v>
      </c>
      <c r="J341" s="29" t="s">
        <v>67</v>
      </c>
      <c r="K341" s="29"/>
      <c r="L341" s="29"/>
      <c r="M341" s="29"/>
      <c r="N341" s="29"/>
      <c r="O341" s="29"/>
      <c r="P341" s="29"/>
      <c r="Q341" s="29"/>
      <c r="R341" s="29"/>
      <c r="S341" s="29"/>
      <c r="T341" s="29"/>
      <c r="U341" s="29"/>
      <c r="V341" s="29"/>
      <c r="W341" s="29" t="s">
        <v>67</v>
      </c>
      <c r="X341" s="29"/>
      <c r="Y341" s="29"/>
      <c r="Z341" s="29"/>
      <c r="AA341" s="29"/>
      <c r="AB341" s="29" t="s">
        <v>1752</v>
      </c>
      <c r="AC341" s="136">
        <v>43993</v>
      </c>
      <c r="AD341" s="29" t="s">
        <v>1233</v>
      </c>
      <c r="AE341" s="34" t="e">
        <f>VLOOKUP(F341,Stakeholders!E:K,7,0)</f>
        <v>#N/A</v>
      </c>
      <c r="AF341" s="29"/>
      <c r="AG341" s="29"/>
      <c r="AH341" s="34" t="s">
        <v>82</v>
      </c>
      <c r="AI341" s="29"/>
      <c r="AJ341" s="29"/>
      <c r="AK341" s="29"/>
      <c r="AL341" s="29"/>
      <c r="AM341" s="29"/>
      <c r="AN341" s="29"/>
      <c r="AO341" s="29"/>
      <c r="AP341" s="29"/>
      <c r="AQ341" s="29"/>
      <c r="AR341" s="29"/>
      <c r="AS341" s="29"/>
      <c r="AT341" s="29"/>
      <c r="AU341" s="29"/>
      <c r="AV341" s="29"/>
      <c r="AW341" s="29"/>
    </row>
    <row r="342" spans="1:49" ht="13">
      <c r="A342" s="132">
        <v>2016</v>
      </c>
      <c r="B342" s="39" t="s">
        <v>69</v>
      </c>
      <c r="C342" s="14" t="s">
        <v>2143</v>
      </c>
      <c r="D342" s="14" t="s">
        <v>2143</v>
      </c>
      <c r="E342" s="14" t="e">
        <v>#N/A</v>
      </c>
      <c r="F342" s="14"/>
      <c r="G342" s="14">
        <f>COUNTIF(Stakeholders!$E$2:$E960,F342)</f>
        <v>0</v>
      </c>
      <c r="H342" s="14" t="s">
        <v>2153</v>
      </c>
      <c r="I342" s="152" t="s">
        <v>2154</v>
      </c>
      <c r="J342" s="14" t="s">
        <v>67</v>
      </c>
      <c r="K342" s="14"/>
      <c r="L342" s="14"/>
      <c r="M342" s="14"/>
      <c r="N342" s="14"/>
      <c r="O342" s="14"/>
      <c r="P342" s="14"/>
      <c r="Q342" s="14"/>
      <c r="R342" s="14"/>
      <c r="S342" s="14"/>
      <c r="T342" s="14"/>
      <c r="U342" s="14"/>
      <c r="V342" s="14"/>
      <c r="W342" s="14" t="s">
        <v>67</v>
      </c>
      <c r="X342" s="14"/>
      <c r="Y342" s="14"/>
      <c r="Z342" s="14"/>
      <c r="AA342" s="14"/>
      <c r="AB342" s="14" t="s">
        <v>1752</v>
      </c>
      <c r="AC342" s="135">
        <v>43994</v>
      </c>
      <c r="AD342" s="14" t="s">
        <v>1235</v>
      </c>
      <c r="AE342" s="24" t="e">
        <f>VLOOKUP(F342,Stakeholders!E:K,7,0)</f>
        <v>#N/A</v>
      </c>
      <c r="AF342" s="14"/>
      <c r="AG342" s="14"/>
      <c r="AH342" s="24" t="s">
        <v>82</v>
      </c>
      <c r="AI342" s="14"/>
      <c r="AJ342" s="14"/>
      <c r="AK342" s="14"/>
      <c r="AL342" s="14"/>
      <c r="AM342" s="14"/>
      <c r="AN342" s="14"/>
      <c r="AO342" s="14"/>
      <c r="AP342" s="14"/>
      <c r="AQ342" s="14"/>
      <c r="AR342" s="14"/>
      <c r="AS342" s="14"/>
      <c r="AT342" s="14"/>
      <c r="AU342" s="14"/>
      <c r="AV342" s="14"/>
      <c r="AW342" s="14"/>
    </row>
    <row r="343" spans="1:49" ht="13">
      <c r="A343" s="133">
        <v>2013</v>
      </c>
      <c r="B343" s="37" t="s">
        <v>69</v>
      </c>
      <c r="C343" s="29" t="s">
        <v>2155</v>
      </c>
      <c r="D343" s="29" t="s">
        <v>2156</v>
      </c>
      <c r="E343" s="29" t="e">
        <v>#N/A</v>
      </c>
      <c r="F343" s="29"/>
      <c r="G343" s="29">
        <f>COUNTIF(Stakeholders!$E$2:$E960,F343)</f>
        <v>0</v>
      </c>
      <c r="H343" s="29" t="s">
        <v>2157</v>
      </c>
      <c r="I343" s="151" t="s">
        <v>2158</v>
      </c>
      <c r="J343" s="29" t="s">
        <v>67</v>
      </c>
      <c r="K343" s="29"/>
      <c r="L343" s="29"/>
      <c r="M343" s="29"/>
      <c r="N343" s="29"/>
      <c r="O343" s="29"/>
      <c r="P343" s="29"/>
      <c r="Q343" s="29"/>
      <c r="R343" s="29"/>
      <c r="S343" s="29"/>
      <c r="T343" s="29"/>
      <c r="U343" s="29"/>
      <c r="V343" s="29"/>
      <c r="W343" s="29" t="s">
        <v>67</v>
      </c>
      <c r="X343" s="29"/>
      <c r="Y343" s="29"/>
      <c r="Z343" s="29"/>
      <c r="AA343" s="29"/>
      <c r="AB343" s="29" t="s">
        <v>1752</v>
      </c>
      <c r="AC343" s="136">
        <v>43995</v>
      </c>
      <c r="AD343" s="29" t="s">
        <v>1237</v>
      </c>
      <c r="AE343" s="34" t="e">
        <f>VLOOKUP(F343,Stakeholders!E:K,7,0)</f>
        <v>#N/A</v>
      </c>
      <c r="AF343" s="29"/>
      <c r="AG343" s="29"/>
      <c r="AH343" s="34" t="s">
        <v>82</v>
      </c>
      <c r="AI343" s="29"/>
      <c r="AJ343" s="29"/>
      <c r="AK343" s="29"/>
      <c r="AL343" s="29"/>
      <c r="AM343" s="29"/>
      <c r="AN343" s="29"/>
      <c r="AO343" s="29"/>
      <c r="AP343" s="29"/>
      <c r="AQ343" s="29"/>
      <c r="AR343" s="29"/>
      <c r="AS343" s="29"/>
      <c r="AT343" s="29"/>
      <c r="AU343" s="29"/>
      <c r="AV343" s="29"/>
      <c r="AW343" s="29"/>
    </row>
    <row r="344" spans="1:49" ht="13">
      <c r="A344" s="132">
        <v>2015</v>
      </c>
      <c r="B344" s="39" t="s">
        <v>69</v>
      </c>
      <c r="C344" s="14" t="s">
        <v>2159</v>
      </c>
      <c r="D344" s="14" t="s">
        <v>2159</v>
      </c>
      <c r="E344" s="14" t="e">
        <v>#N/A</v>
      </c>
      <c r="F344" s="14"/>
      <c r="G344" s="14">
        <f>COUNTIF(Stakeholders!$E$2:$E960,F344)</f>
        <v>0</v>
      </c>
      <c r="H344" s="14" t="s">
        <v>2160</v>
      </c>
      <c r="I344" s="152" t="s">
        <v>2161</v>
      </c>
      <c r="J344" s="14" t="s">
        <v>67</v>
      </c>
      <c r="K344" s="14"/>
      <c r="L344" s="14"/>
      <c r="M344" s="14"/>
      <c r="N344" s="14"/>
      <c r="O344" s="14"/>
      <c r="P344" s="14"/>
      <c r="Q344" s="14"/>
      <c r="R344" s="14"/>
      <c r="S344" s="14"/>
      <c r="T344" s="14"/>
      <c r="U344" s="14"/>
      <c r="V344" s="14"/>
      <c r="W344" s="14" t="s">
        <v>67</v>
      </c>
      <c r="X344" s="14"/>
      <c r="Y344" s="14"/>
      <c r="Z344" s="14"/>
      <c r="AA344" s="14"/>
      <c r="AB344" s="14" t="s">
        <v>1752</v>
      </c>
      <c r="AC344" s="135">
        <v>43996</v>
      </c>
      <c r="AD344" s="14" t="s">
        <v>1238</v>
      </c>
      <c r="AE344" s="24" t="e">
        <f>VLOOKUP(F344,Stakeholders!E:K,7,0)</f>
        <v>#N/A</v>
      </c>
      <c r="AF344" s="14"/>
      <c r="AG344" s="14"/>
      <c r="AH344" s="24" t="s">
        <v>82</v>
      </c>
      <c r="AI344" s="14"/>
      <c r="AJ344" s="14"/>
      <c r="AK344" s="14"/>
      <c r="AL344" s="14"/>
      <c r="AM344" s="14"/>
      <c r="AN344" s="14"/>
      <c r="AO344" s="14"/>
      <c r="AP344" s="14"/>
      <c r="AQ344" s="14"/>
      <c r="AR344" s="14"/>
      <c r="AS344" s="14"/>
      <c r="AT344" s="14"/>
      <c r="AU344" s="14"/>
      <c r="AV344" s="14"/>
      <c r="AW344" s="14"/>
    </row>
    <row r="345" spans="1:49" ht="13">
      <c r="A345" s="133">
        <v>2017</v>
      </c>
      <c r="B345" s="37" t="s">
        <v>69</v>
      </c>
      <c r="C345" s="29" t="s">
        <v>2159</v>
      </c>
      <c r="D345" s="29" t="s">
        <v>2159</v>
      </c>
      <c r="E345" s="29" t="e">
        <v>#N/A</v>
      </c>
      <c r="F345" s="29"/>
      <c r="G345" s="29">
        <f>COUNTIF(Stakeholders!$E$2:$E960,F345)</f>
        <v>0</v>
      </c>
      <c r="H345" s="29" t="s">
        <v>2162</v>
      </c>
      <c r="I345" s="151" t="s">
        <v>2163</v>
      </c>
      <c r="J345" s="29" t="s">
        <v>67</v>
      </c>
      <c r="K345" s="29"/>
      <c r="L345" s="29"/>
      <c r="M345" s="29"/>
      <c r="N345" s="29"/>
      <c r="O345" s="29"/>
      <c r="P345" s="29"/>
      <c r="Q345" s="29"/>
      <c r="R345" s="29"/>
      <c r="S345" s="29"/>
      <c r="T345" s="29"/>
      <c r="U345" s="29"/>
      <c r="V345" s="29"/>
      <c r="W345" s="29" t="s">
        <v>67</v>
      </c>
      <c r="X345" s="29"/>
      <c r="Y345" s="29"/>
      <c r="Z345" s="29"/>
      <c r="AA345" s="29"/>
      <c r="AB345" s="29" t="s">
        <v>1752</v>
      </c>
      <c r="AC345" s="136">
        <v>43997</v>
      </c>
      <c r="AD345" s="29" t="s">
        <v>1239</v>
      </c>
      <c r="AE345" s="34" t="e">
        <f>VLOOKUP(F345,Stakeholders!E:K,7,0)</f>
        <v>#N/A</v>
      </c>
      <c r="AF345" s="29"/>
      <c r="AG345" s="29"/>
      <c r="AH345" s="34" t="s">
        <v>82</v>
      </c>
      <c r="AI345" s="29"/>
      <c r="AJ345" s="29"/>
      <c r="AK345" s="29"/>
      <c r="AL345" s="29"/>
      <c r="AM345" s="29"/>
      <c r="AN345" s="29"/>
      <c r="AO345" s="29"/>
      <c r="AP345" s="29"/>
      <c r="AQ345" s="29"/>
      <c r="AR345" s="29"/>
      <c r="AS345" s="29"/>
      <c r="AT345" s="29"/>
      <c r="AU345" s="29"/>
      <c r="AV345" s="29"/>
      <c r="AW345" s="29"/>
    </row>
    <row r="346" spans="1:49" ht="13">
      <c r="A346" s="132">
        <v>2010</v>
      </c>
      <c r="B346" s="39" t="s">
        <v>69</v>
      </c>
      <c r="C346" s="14" t="s">
        <v>2164</v>
      </c>
      <c r="D346" s="14" t="s">
        <v>2164</v>
      </c>
      <c r="E346" s="14" t="e">
        <v>#N/A</v>
      </c>
      <c r="F346" s="14"/>
      <c r="G346" s="14">
        <f>COUNTIF(Stakeholders!$E$2:$E960,F346)</f>
        <v>0</v>
      </c>
      <c r="H346" s="14" t="s">
        <v>2165</v>
      </c>
      <c r="I346" s="152" t="s">
        <v>2166</v>
      </c>
      <c r="J346" s="14" t="s">
        <v>67</v>
      </c>
      <c r="K346" s="14"/>
      <c r="L346" s="14"/>
      <c r="M346" s="14"/>
      <c r="N346" s="14"/>
      <c r="O346" s="14"/>
      <c r="P346" s="14"/>
      <c r="Q346" s="14"/>
      <c r="R346" s="14"/>
      <c r="S346" s="14"/>
      <c r="T346" s="14"/>
      <c r="U346" s="14"/>
      <c r="V346" s="14"/>
      <c r="W346" s="14" t="s">
        <v>67</v>
      </c>
      <c r="X346" s="14"/>
      <c r="Y346" s="14"/>
      <c r="Z346" s="14"/>
      <c r="AA346" s="14"/>
      <c r="AB346" s="14" t="s">
        <v>1752</v>
      </c>
      <c r="AC346" s="135">
        <v>43998</v>
      </c>
      <c r="AD346" s="14" t="s">
        <v>1240</v>
      </c>
      <c r="AE346" s="24" t="e">
        <f>VLOOKUP(F346,Stakeholders!E:K,7,0)</f>
        <v>#N/A</v>
      </c>
      <c r="AF346" s="14"/>
      <c r="AG346" s="14"/>
      <c r="AH346" s="24" t="s">
        <v>82</v>
      </c>
      <c r="AI346" s="14"/>
      <c r="AJ346" s="14"/>
      <c r="AK346" s="14"/>
      <c r="AL346" s="14"/>
      <c r="AM346" s="14"/>
      <c r="AN346" s="14"/>
      <c r="AO346" s="14"/>
      <c r="AP346" s="14"/>
      <c r="AQ346" s="14"/>
      <c r="AR346" s="14"/>
      <c r="AS346" s="14"/>
      <c r="AT346" s="14"/>
      <c r="AU346" s="14"/>
      <c r="AV346" s="14"/>
      <c r="AW346" s="14"/>
    </row>
    <row r="347" spans="1:49" ht="13">
      <c r="A347" s="133">
        <v>2012</v>
      </c>
      <c r="B347" s="37" t="s">
        <v>69</v>
      </c>
      <c r="C347" s="29" t="s">
        <v>2164</v>
      </c>
      <c r="D347" s="29" t="s">
        <v>2164</v>
      </c>
      <c r="E347" s="29" t="e">
        <v>#N/A</v>
      </c>
      <c r="F347" s="29"/>
      <c r="G347" s="29">
        <f>COUNTIF(Stakeholders!$E$2:$E960,F347)</f>
        <v>0</v>
      </c>
      <c r="H347" s="29" t="s">
        <v>2167</v>
      </c>
      <c r="I347" s="151" t="s">
        <v>2168</v>
      </c>
      <c r="J347" s="29" t="s">
        <v>67</v>
      </c>
      <c r="K347" s="29"/>
      <c r="L347" s="29"/>
      <c r="M347" s="29"/>
      <c r="N347" s="29"/>
      <c r="O347" s="29"/>
      <c r="P347" s="29"/>
      <c r="Q347" s="29"/>
      <c r="R347" s="29"/>
      <c r="S347" s="29"/>
      <c r="T347" s="29"/>
      <c r="U347" s="29"/>
      <c r="V347" s="29"/>
      <c r="W347" s="29" t="s">
        <v>67</v>
      </c>
      <c r="X347" s="29"/>
      <c r="Y347" s="29"/>
      <c r="Z347" s="29"/>
      <c r="AA347" s="29"/>
      <c r="AB347" s="29" t="s">
        <v>1752</v>
      </c>
      <c r="AC347" s="136">
        <v>43999</v>
      </c>
      <c r="AD347" s="29" t="s">
        <v>1241</v>
      </c>
      <c r="AE347" s="34" t="e">
        <f>VLOOKUP(F347,Stakeholders!E:K,7,0)</f>
        <v>#N/A</v>
      </c>
      <c r="AF347" s="29"/>
      <c r="AG347" s="29"/>
      <c r="AH347" s="34" t="s">
        <v>82</v>
      </c>
      <c r="AI347" s="29"/>
      <c r="AJ347" s="29"/>
      <c r="AK347" s="29"/>
      <c r="AL347" s="29"/>
      <c r="AM347" s="29"/>
      <c r="AN347" s="29"/>
      <c r="AO347" s="29"/>
      <c r="AP347" s="29"/>
      <c r="AQ347" s="29"/>
      <c r="AR347" s="29"/>
      <c r="AS347" s="29"/>
      <c r="AT347" s="29"/>
      <c r="AU347" s="29"/>
      <c r="AV347" s="29"/>
      <c r="AW347" s="29"/>
    </row>
    <row r="348" spans="1:49" ht="13">
      <c r="A348" s="132">
        <v>2012</v>
      </c>
      <c r="B348" s="39" t="s">
        <v>69</v>
      </c>
      <c r="C348" s="14" t="s">
        <v>2164</v>
      </c>
      <c r="D348" s="14" t="s">
        <v>2164</v>
      </c>
      <c r="E348" s="14" t="e">
        <v>#N/A</v>
      </c>
      <c r="F348" s="14"/>
      <c r="G348" s="14">
        <f>COUNTIF(Stakeholders!$E$2:$E960,F348)</f>
        <v>0</v>
      </c>
      <c r="H348" s="14" t="s">
        <v>2169</v>
      </c>
      <c r="I348" s="152" t="s">
        <v>2170</v>
      </c>
      <c r="J348" s="14" t="s">
        <v>67</v>
      </c>
      <c r="K348" s="14"/>
      <c r="L348" s="14"/>
      <c r="M348" s="14"/>
      <c r="N348" s="14"/>
      <c r="O348" s="14"/>
      <c r="P348" s="14"/>
      <c r="Q348" s="14"/>
      <c r="R348" s="14"/>
      <c r="S348" s="14"/>
      <c r="T348" s="14"/>
      <c r="U348" s="14"/>
      <c r="V348" s="14"/>
      <c r="W348" s="14" t="s">
        <v>67</v>
      </c>
      <c r="X348" s="14"/>
      <c r="Y348" s="14"/>
      <c r="Z348" s="14"/>
      <c r="AA348" s="14"/>
      <c r="AB348" s="14" t="s">
        <v>1752</v>
      </c>
      <c r="AC348" s="135">
        <v>44000</v>
      </c>
      <c r="AD348" s="14" t="s">
        <v>1242</v>
      </c>
      <c r="AE348" s="24" t="e">
        <f>VLOOKUP(F348,Stakeholders!E:K,7,0)</f>
        <v>#N/A</v>
      </c>
      <c r="AF348" s="14"/>
      <c r="AG348" s="14"/>
      <c r="AH348" s="24" t="s">
        <v>82</v>
      </c>
      <c r="AI348" s="14"/>
      <c r="AJ348" s="14"/>
      <c r="AK348" s="14"/>
      <c r="AL348" s="14"/>
      <c r="AM348" s="14"/>
      <c r="AN348" s="14"/>
      <c r="AO348" s="14"/>
      <c r="AP348" s="14"/>
      <c r="AQ348" s="14"/>
      <c r="AR348" s="14"/>
      <c r="AS348" s="14"/>
      <c r="AT348" s="14"/>
      <c r="AU348" s="14"/>
      <c r="AV348" s="14"/>
      <c r="AW348" s="14"/>
    </row>
    <row r="349" spans="1:49" ht="13">
      <c r="A349" s="133">
        <v>2013</v>
      </c>
      <c r="B349" s="37" t="s">
        <v>69</v>
      </c>
      <c r="C349" s="29" t="s">
        <v>2164</v>
      </c>
      <c r="D349" s="29" t="s">
        <v>2164</v>
      </c>
      <c r="E349" s="29" t="e">
        <v>#N/A</v>
      </c>
      <c r="F349" s="29"/>
      <c r="G349" s="29">
        <f>COUNTIF(Stakeholders!$E$2:$E960,F349)</f>
        <v>0</v>
      </c>
      <c r="H349" s="29" t="s">
        <v>2171</v>
      </c>
      <c r="I349" s="151" t="s">
        <v>2172</v>
      </c>
      <c r="J349" s="29" t="s">
        <v>67</v>
      </c>
      <c r="K349" s="29"/>
      <c r="L349" s="29"/>
      <c r="M349" s="29"/>
      <c r="N349" s="29"/>
      <c r="O349" s="29"/>
      <c r="P349" s="29"/>
      <c r="Q349" s="29"/>
      <c r="R349" s="29"/>
      <c r="S349" s="29"/>
      <c r="T349" s="29"/>
      <c r="U349" s="29"/>
      <c r="V349" s="29"/>
      <c r="W349" s="29" t="s">
        <v>67</v>
      </c>
      <c r="X349" s="29"/>
      <c r="Y349" s="29"/>
      <c r="Z349" s="29"/>
      <c r="AA349" s="29"/>
      <c r="AB349" s="29" t="s">
        <v>1752</v>
      </c>
      <c r="AC349" s="136">
        <v>44001</v>
      </c>
      <c r="AD349" s="29" t="s">
        <v>1243</v>
      </c>
      <c r="AE349" s="34" t="e">
        <f>VLOOKUP(F349,Stakeholders!E:K,7,0)</f>
        <v>#N/A</v>
      </c>
      <c r="AF349" s="29"/>
      <c r="AG349" s="29"/>
      <c r="AH349" s="34" t="s">
        <v>82</v>
      </c>
      <c r="AI349" s="29"/>
      <c r="AJ349" s="29"/>
      <c r="AK349" s="29"/>
      <c r="AL349" s="29"/>
      <c r="AM349" s="29"/>
      <c r="AN349" s="29"/>
      <c r="AO349" s="29"/>
      <c r="AP349" s="29"/>
      <c r="AQ349" s="29"/>
      <c r="AR349" s="29"/>
      <c r="AS349" s="29"/>
      <c r="AT349" s="29"/>
      <c r="AU349" s="29"/>
      <c r="AV349" s="29"/>
      <c r="AW349" s="29"/>
    </row>
    <row r="350" spans="1:49" ht="13">
      <c r="A350" s="132">
        <v>2014</v>
      </c>
      <c r="B350" s="39" t="s">
        <v>69</v>
      </c>
      <c r="C350" s="14" t="s">
        <v>2164</v>
      </c>
      <c r="D350" s="14" t="s">
        <v>2164</v>
      </c>
      <c r="E350" s="14" t="e">
        <v>#N/A</v>
      </c>
      <c r="F350" s="14"/>
      <c r="G350" s="14">
        <f>COUNTIF(Stakeholders!$E$2:$E960,F350)</f>
        <v>0</v>
      </c>
      <c r="H350" s="14" t="s">
        <v>2173</v>
      </c>
      <c r="I350" s="152" t="s">
        <v>2174</v>
      </c>
      <c r="J350" s="14" t="s">
        <v>67</v>
      </c>
      <c r="K350" s="14"/>
      <c r="L350" s="14"/>
      <c r="M350" s="14"/>
      <c r="N350" s="14"/>
      <c r="O350" s="14"/>
      <c r="P350" s="14"/>
      <c r="Q350" s="14"/>
      <c r="R350" s="14"/>
      <c r="S350" s="14"/>
      <c r="T350" s="14"/>
      <c r="U350" s="14"/>
      <c r="V350" s="14"/>
      <c r="W350" s="14" t="s">
        <v>67</v>
      </c>
      <c r="X350" s="14"/>
      <c r="Y350" s="14"/>
      <c r="Z350" s="14"/>
      <c r="AA350" s="14"/>
      <c r="AB350" s="14" t="s">
        <v>1752</v>
      </c>
      <c r="AC350" s="135">
        <v>44002</v>
      </c>
      <c r="AD350" s="14" t="s">
        <v>1244</v>
      </c>
      <c r="AE350" s="24" t="e">
        <f>VLOOKUP(F350,Stakeholders!E:K,7,0)</f>
        <v>#N/A</v>
      </c>
      <c r="AF350" s="14"/>
      <c r="AG350" s="14"/>
      <c r="AH350" s="24" t="s">
        <v>82</v>
      </c>
      <c r="AI350" s="14"/>
      <c r="AJ350" s="14"/>
      <c r="AK350" s="14"/>
      <c r="AL350" s="14"/>
      <c r="AM350" s="14"/>
      <c r="AN350" s="14"/>
      <c r="AO350" s="14"/>
      <c r="AP350" s="14"/>
      <c r="AQ350" s="14"/>
      <c r="AR350" s="14"/>
      <c r="AS350" s="14"/>
      <c r="AT350" s="14"/>
      <c r="AU350" s="14"/>
      <c r="AV350" s="14"/>
      <c r="AW350" s="14"/>
    </row>
    <row r="351" spans="1:49" ht="13">
      <c r="A351" s="133">
        <v>2015</v>
      </c>
      <c r="B351" s="37" t="s">
        <v>69</v>
      </c>
      <c r="C351" s="29" t="s">
        <v>2164</v>
      </c>
      <c r="D351" s="29" t="s">
        <v>2164</v>
      </c>
      <c r="E351" s="29" t="e">
        <v>#N/A</v>
      </c>
      <c r="F351" s="29"/>
      <c r="G351" s="29">
        <f>COUNTIF(Stakeholders!$E$2:$E960,F351)</f>
        <v>0</v>
      </c>
      <c r="H351" s="29" t="s">
        <v>2175</v>
      </c>
      <c r="I351" s="151" t="s">
        <v>2176</v>
      </c>
      <c r="J351" s="29" t="s">
        <v>67</v>
      </c>
      <c r="K351" s="29"/>
      <c r="L351" s="29"/>
      <c r="M351" s="29"/>
      <c r="N351" s="29"/>
      <c r="O351" s="29"/>
      <c r="P351" s="29"/>
      <c r="Q351" s="29"/>
      <c r="R351" s="29"/>
      <c r="S351" s="29"/>
      <c r="T351" s="29"/>
      <c r="U351" s="29"/>
      <c r="V351" s="29"/>
      <c r="W351" s="29" t="s">
        <v>67</v>
      </c>
      <c r="X351" s="29"/>
      <c r="Y351" s="29"/>
      <c r="Z351" s="29"/>
      <c r="AA351" s="29"/>
      <c r="AB351" s="29" t="s">
        <v>1752</v>
      </c>
      <c r="AC351" s="136">
        <v>44003</v>
      </c>
      <c r="AD351" s="29" t="s">
        <v>1245</v>
      </c>
      <c r="AE351" s="34" t="e">
        <f>VLOOKUP(F351,Stakeholders!E:K,7,0)</f>
        <v>#N/A</v>
      </c>
      <c r="AF351" s="29"/>
      <c r="AG351" s="29"/>
      <c r="AH351" s="34" t="s">
        <v>82</v>
      </c>
      <c r="AI351" s="29"/>
      <c r="AJ351" s="29"/>
      <c r="AK351" s="29"/>
      <c r="AL351" s="29"/>
      <c r="AM351" s="29"/>
      <c r="AN351" s="29"/>
      <c r="AO351" s="29"/>
      <c r="AP351" s="29"/>
      <c r="AQ351" s="29"/>
      <c r="AR351" s="29"/>
      <c r="AS351" s="29"/>
      <c r="AT351" s="29"/>
      <c r="AU351" s="29"/>
      <c r="AV351" s="29"/>
      <c r="AW351" s="29"/>
    </row>
    <row r="352" spans="1:49" ht="13">
      <c r="A352" s="132">
        <v>2016</v>
      </c>
      <c r="B352" s="39" t="s">
        <v>69</v>
      </c>
      <c r="C352" s="14" t="s">
        <v>2164</v>
      </c>
      <c r="D352" s="14" t="s">
        <v>2164</v>
      </c>
      <c r="E352" s="14" t="e">
        <v>#N/A</v>
      </c>
      <c r="F352" s="14"/>
      <c r="G352" s="14">
        <f>COUNTIF(Stakeholders!$E$2:$E960,F352)</f>
        <v>0</v>
      </c>
      <c r="H352" s="14" t="s">
        <v>2177</v>
      </c>
      <c r="I352" s="152" t="s">
        <v>2178</v>
      </c>
      <c r="J352" s="14" t="s">
        <v>67</v>
      </c>
      <c r="K352" s="14"/>
      <c r="L352" s="14"/>
      <c r="M352" s="14"/>
      <c r="N352" s="14"/>
      <c r="O352" s="14"/>
      <c r="P352" s="14"/>
      <c r="Q352" s="14"/>
      <c r="R352" s="14"/>
      <c r="S352" s="14"/>
      <c r="T352" s="14"/>
      <c r="U352" s="14"/>
      <c r="V352" s="14"/>
      <c r="W352" s="14" t="s">
        <v>67</v>
      </c>
      <c r="X352" s="14"/>
      <c r="Y352" s="14"/>
      <c r="Z352" s="14"/>
      <c r="AA352" s="14"/>
      <c r="AB352" s="14" t="s">
        <v>1752</v>
      </c>
      <c r="AC352" s="135">
        <v>44004</v>
      </c>
      <c r="AD352" s="14" t="s">
        <v>1247</v>
      </c>
      <c r="AE352" s="24" t="e">
        <f>VLOOKUP(F352,Stakeholders!E:K,7,0)</f>
        <v>#N/A</v>
      </c>
      <c r="AF352" s="14"/>
      <c r="AG352" s="14"/>
      <c r="AH352" s="24" t="s">
        <v>82</v>
      </c>
      <c r="AI352" s="14"/>
      <c r="AJ352" s="14"/>
      <c r="AK352" s="14"/>
      <c r="AL352" s="14"/>
      <c r="AM352" s="14"/>
      <c r="AN352" s="14"/>
      <c r="AO352" s="14"/>
      <c r="AP352" s="14"/>
      <c r="AQ352" s="14"/>
      <c r="AR352" s="14"/>
      <c r="AS352" s="14"/>
      <c r="AT352" s="14"/>
      <c r="AU352" s="14"/>
      <c r="AV352" s="14"/>
      <c r="AW352" s="14"/>
    </row>
    <row r="353" spans="1:49" ht="13">
      <c r="A353" s="133">
        <v>2016</v>
      </c>
      <c r="B353" s="37" t="s">
        <v>69</v>
      </c>
      <c r="C353" s="29" t="s">
        <v>2164</v>
      </c>
      <c r="D353" s="29" t="s">
        <v>2164</v>
      </c>
      <c r="E353" s="29" t="e">
        <v>#N/A</v>
      </c>
      <c r="F353" s="29"/>
      <c r="G353" s="29">
        <f>COUNTIF(Stakeholders!$E$2:$E960,F353)</f>
        <v>0</v>
      </c>
      <c r="H353" s="29" t="s">
        <v>2179</v>
      </c>
      <c r="I353" s="151" t="s">
        <v>2180</v>
      </c>
      <c r="J353" s="29" t="s">
        <v>67</v>
      </c>
      <c r="K353" s="29"/>
      <c r="L353" s="29"/>
      <c r="M353" s="29"/>
      <c r="N353" s="29"/>
      <c r="O353" s="29"/>
      <c r="P353" s="29"/>
      <c r="Q353" s="29"/>
      <c r="R353" s="29"/>
      <c r="S353" s="29"/>
      <c r="T353" s="29"/>
      <c r="U353" s="29"/>
      <c r="V353" s="29"/>
      <c r="W353" s="29" t="s">
        <v>67</v>
      </c>
      <c r="X353" s="29"/>
      <c r="Y353" s="29"/>
      <c r="Z353" s="29"/>
      <c r="AA353" s="29"/>
      <c r="AB353" s="29" t="s">
        <v>1752</v>
      </c>
      <c r="AC353" s="136">
        <v>44005</v>
      </c>
      <c r="AD353" s="29" t="s">
        <v>1249</v>
      </c>
      <c r="AE353" s="34" t="e">
        <f>VLOOKUP(F353,Stakeholders!E:K,7,0)</f>
        <v>#N/A</v>
      </c>
      <c r="AF353" s="29"/>
      <c r="AG353" s="29"/>
      <c r="AH353" s="34" t="s">
        <v>82</v>
      </c>
      <c r="AI353" s="29"/>
      <c r="AJ353" s="29"/>
      <c r="AK353" s="29"/>
      <c r="AL353" s="29"/>
      <c r="AM353" s="29"/>
      <c r="AN353" s="29"/>
      <c r="AO353" s="29"/>
      <c r="AP353" s="29"/>
      <c r="AQ353" s="29"/>
      <c r="AR353" s="29"/>
      <c r="AS353" s="29"/>
      <c r="AT353" s="29"/>
      <c r="AU353" s="29"/>
      <c r="AV353" s="29"/>
      <c r="AW353" s="29"/>
    </row>
    <row r="354" spans="1:49" ht="13">
      <c r="A354" s="132">
        <v>2018</v>
      </c>
      <c r="B354" s="39" t="s">
        <v>69</v>
      </c>
      <c r="C354" s="14" t="s">
        <v>2164</v>
      </c>
      <c r="D354" s="14" t="s">
        <v>2164</v>
      </c>
      <c r="E354" s="14" t="e">
        <v>#N/A</v>
      </c>
      <c r="F354" s="14"/>
      <c r="G354" s="14">
        <f>COUNTIF(Stakeholders!$E$2:$E960,F354)</f>
        <v>0</v>
      </c>
      <c r="H354" s="14" t="s">
        <v>2181</v>
      </c>
      <c r="I354" s="152" t="s">
        <v>2182</v>
      </c>
      <c r="J354" s="14" t="s">
        <v>67</v>
      </c>
      <c r="K354" s="14"/>
      <c r="L354" s="14"/>
      <c r="M354" s="14"/>
      <c r="N354" s="14"/>
      <c r="O354" s="14"/>
      <c r="P354" s="14"/>
      <c r="Q354" s="14"/>
      <c r="R354" s="14"/>
      <c r="S354" s="14"/>
      <c r="T354" s="14"/>
      <c r="U354" s="14"/>
      <c r="V354" s="14"/>
      <c r="W354" s="14" t="s">
        <v>67</v>
      </c>
      <c r="X354" s="14"/>
      <c r="Y354" s="14"/>
      <c r="Z354" s="14"/>
      <c r="AA354" s="14"/>
      <c r="AB354" s="14" t="s">
        <v>1752</v>
      </c>
      <c r="AC354" s="135">
        <v>44006</v>
      </c>
      <c r="AD354" s="14" t="s">
        <v>1250</v>
      </c>
      <c r="AE354" s="24" t="e">
        <f>VLOOKUP(F354,Stakeholders!E:K,7,0)</f>
        <v>#N/A</v>
      </c>
      <c r="AF354" s="14"/>
      <c r="AG354" s="14"/>
      <c r="AH354" s="24" t="s">
        <v>82</v>
      </c>
      <c r="AI354" s="14"/>
      <c r="AJ354" s="14"/>
      <c r="AK354" s="14"/>
      <c r="AL354" s="14"/>
      <c r="AM354" s="14"/>
      <c r="AN354" s="14"/>
      <c r="AO354" s="14"/>
      <c r="AP354" s="14"/>
      <c r="AQ354" s="14"/>
      <c r="AR354" s="14"/>
      <c r="AS354" s="14"/>
      <c r="AT354" s="14"/>
      <c r="AU354" s="14"/>
      <c r="AV354" s="14"/>
      <c r="AW354" s="14"/>
    </row>
    <row r="355" spans="1:49" ht="13">
      <c r="A355" s="133">
        <v>2001</v>
      </c>
      <c r="B355" s="37" t="s">
        <v>69</v>
      </c>
      <c r="C355" s="29" t="s">
        <v>2183</v>
      </c>
      <c r="D355" s="29" t="s">
        <v>2183</v>
      </c>
      <c r="E355" s="29" t="e">
        <v>#N/A</v>
      </c>
      <c r="F355" s="29"/>
      <c r="G355" s="29">
        <f>COUNTIF(Stakeholders!$E$2:$E960,F355)</f>
        <v>0</v>
      </c>
      <c r="H355" s="29" t="s">
        <v>2184</v>
      </c>
      <c r="I355" s="151" t="s">
        <v>2185</v>
      </c>
      <c r="J355" s="29" t="s">
        <v>67</v>
      </c>
      <c r="K355" s="29"/>
      <c r="L355" s="29"/>
      <c r="M355" s="29"/>
      <c r="N355" s="29"/>
      <c r="O355" s="29"/>
      <c r="P355" s="29"/>
      <c r="Q355" s="29"/>
      <c r="R355" s="29"/>
      <c r="S355" s="29"/>
      <c r="T355" s="29"/>
      <c r="U355" s="29"/>
      <c r="V355" s="29"/>
      <c r="W355" s="29" t="s">
        <v>67</v>
      </c>
      <c r="X355" s="29"/>
      <c r="Y355" s="29"/>
      <c r="Z355" s="29"/>
      <c r="AA355" s="29"/>
      <c r="AB355" s="29" t="s">
        <v>1752</v>
      </c>
      <c r="AC355" s="136">
        <v>44007</v>
      </c>
      <c r="AD355" s="29" t="s">
        <v>1252</v>
      </c>
      <c r="AE355" s="34" t="e">
        <f>VLOOKUP(F355,Stakeholders!E:K,7,0)</f>
        <v>#N/A</v>
      </c>
      <c r="AF355" s="29"/>
      <c r="AG355" s="29"/>
      <c r="AH355" s="34" t="s">
        <v>82</v>
      </c>
      <c r="AI355" s="29"/>
      <c r="AJ355" s="29"/>
      <c r="AK355" s="29"/>
      <c r="AL355" s="29"/>
      <c r="AM355" s="29"/>
      <c r="AN355" s="29"/>
      <c r="AO355" s="29"/>
      <c r="AP355" s="29"/>
      <c r="AQ355" s="29"/>
      <c r="AR355" s="29"/>
      <c r="AS355" s="29"/>
      <c r="AT355" s="29"/>
      <c r="AU355" s="29"/>
      <c r="AV355" s="29"/>
      <c r="AW355" s="29"/>
    </row>
    <row r="356" spans="1:49" ht="13">
      <c r="A356" s="132">
        <v>2006</v>
      </c>
      <c r="B356" s="39" t="s">
        <v>69</v>
      </c>
      <c r="C356" s="14" t="s">
        <v>2183</v>
      </c>
      <c r="D356" s="14" t="s">
        <v>2183</v>
      </c>
      <c r="E356" s="14" t="e">
        <v>#N/A</v>
      </c>
      <c r="F356" s="14"/>
      <c r="G356" s="14">
        <f>COUNTIF(Stakeholders!$E$2:$E960,F356)</f>
        <v>0</v>
      </c>
      <c r="H356" s="14" t="s">
        <v>2186</v>
      </c>
      <c r="I356" s="152" t="s">
        <v>2187</v>
      </c>
      <c r="J356" s="14" t="s">
        <v>67</v>
      </c>
      <c r="K356" s="14"/>
      <c r="L356" s="14"/>
      <c r="M356" s="14"/>
      <c r="N356" s="14"/>
      <c r="O356" s="14"/>
      <c r="P356" s="14"/>
      <c r="Q356" s="14"/>
      <c r="R356" s="14"/>
      <c r="S356" s="14"/>
      <c r="T356" s="14"/>
      <c r="U356" s="14"/>
      <c r="V356" s="14"/>
      <c r="W356" s="14" t="s">
        <v>67</v>
      </c>
      <c r="X356" s="14"/>
      <c r="Y356" s="14"/>
      <c r="Z356" s="14"/>
      <c r="AA356" s="14"/>
      <c r="AB356" s="14" t="s">
        <v>1752</v>
      </c>
      <c r="AC356" s="135">
        <v>44008</v>
      </c>
      <c r="AD356" s="14" t="s">
        <v>1254</v>
      </c>
      <c r="AE356" s="24" t="e">
        <f>VLOOKUP(F356,Stakeholders!E:K,7,0)</f>
        <v>#N/A</v>
      </c>
      <c r="AF356" s="14"/>
      <c r="AG356" s="14"/>
      <c r="AH356" s="24" t="s">
        <v>82</v>
      </c>
      <c r="AI356" s="14"/>
      <c r="AJ356" s="14"/>
      <c r="AK356" s="14"/>
      <c r="AL356" s="14"/>
      <c r="AM356" s="14"/>
      <c r="AN356" s="14"/>
      <c r="AO356" s="14"/>
      <c r="AP356" s="14"/>
      <c r="AQ356" s="14"/>
      <c r="AR356" s="14"/>
      <c r="AS356" s="14"/>
      <c r="AT356" s="14"/>
      <c r="AU356" s="14"/>
      <c r="AV356" s="14"/>
      <c r="AW356" s="14"/>
    </row>
    <row r="357" spans="1:49" ht="13">
      <c r="A357" s="133">
        <v>2017</v>
      </c>
      <c r="B357" s="37" t="s">
        <v>69</v>
      </c>
      <c r="C357" s="29" t="s">
        <v>2183</v>
      </c>
      <c r="D357" s="29" t="s">
        <v>2183</v>
      </c>
      <c r="E357" s="29" t="e">
        <v>#N/A</v>
      </c>
      <c r="F357" s="29"/>
      <c r="G357" s="29">
        <f>COUNTIF(Stakeholders!$E$2:$E960,F357)</f>
        <v>0</v>
      </c>
      <c r="H357" s="29" t="s">
        <v>2188</v>
      </c>
      <c r="I357" s="151" t="s">
        <v>2189</v>
      </c>
      <c r="J357" s="29" t="s">
        <v>67</v>
      </c>
      <c r="K357" s="29"/>
      <c r="L357" s="29"/>
      <c r="M357" s="29"/>
      <c r="N357" s="29"/>
      <c r="O357" s="29"/>
      <c r="P357" s="29"/>
      <c r="Q357" s="29"/>
      <c r="R357" s="29"/>
      <c r="S357" s="29"/>
      <c r="T357" s="29"/>
      <c r="U357" s="29"/>
      <c r="V357" s="29"/>
      <c r="W357" s="29" t="s">
        <v>67</v>
      </c>
      <c r="X357" s="29"/>
      <c r="Y357" s="29"/>
      <c r="Z357" s="29"/>
      <c r="AA357" s="29"/>
      <c r="AB357" s="29" t="s">
        <v>1752</v>
      </c>
      <c r="AC357" s="136">
        <v>44009</v>
      </c>
      <c r="AD357" s="29" t="s">
        <v>1255</v>
      </c>
      <c r="AE357" s="34" t="e">
        <f>VLOOKUP(F357,Stakeholders!E:K,7,0)</f>
        <v>#N/A</v>
      </c>
      <c r="AF357" s="29"/>
      <c r="AG357" s="29"/>
      <c r="AH357" s="34" t="s">
        <v>82</v>
      </c>
      <c r="AI357" s="29"/>
      <c r="AJ357" s="29"/>
      <c r="AK357" s="29"/>
      <c r="AL357" s="29"/>
      <c r="AM357" s="29"/>
      <c r="AN357" s="29"/>
      <c r="AO357" s="29"/>
      <c r="AP357" s="29"/>
      <c r="AQ357" s="29"/>
      <c r="AR357" s="29"/>
      <c r="AS357" s="29"/>
      <c r="AT357" s="29"/>
      <c r="AU357" s="29"/>
      <c r="AV357" s="29"/>
      <c r="AW357" s="29"/>
    </row>
    <row r="358" spans="1:49" ht="13">
      <c r="A358" s="132">
        <v>2016</v>
      </c>
      <c r="B358" s="39" t="s">
        <v>69</v>
      </c>
      <c r="C358" s="14" t="s">
        <v>2117</v>
      </c>
      <c r="D358" s="14" t="s">
        <v>2117</v>
      </c>
      <c r="E358" s="14" t="e">
        <v>#N/A</v>
      </c>
      <c r="F358" s="14"/>
      <c r="G358" s="14">
        <f>COUNTIF(Stakeholders!$E$2:$E960,F358)</f>
        <v>0</v>
      </c>
      <c r="H358" s="14" t="s">
        <v>2190</v>
      </c>
      <c r="I358" s="152" t="s">
        <v>2191</v>
      </c>
      <c r="J358" s="14" t="s">
        <v>67</v>
      </c>
      <c r="K358" s="14"/>
      <c r="L358" s="14"/>
      <c r="M358" s="14"/>
      <c r="N358" s="14"/>
      <c r="O358" s="14"/>
      <c r="P358" s="14"/>
      <c r="Q358" s="14"/>
      <c r="R358" s="14"/>
      <c r="S358" s="14"/>
      <c r="T358" s="14"/>
      <c r="U358" s="14"/>
      <c r="V358" s="14"/>
      <c r="W358" s="14" t="s">
        <v>67</v>
      </c>
      <c r="X358" s="14"/>
      <c r="Y358" s="14"/>
      <c r="Z358" s="14"/>
      <c r="AA358" s="14"/>
      <c r="AB358" s="14" t="s">
        <v>1752</v>
      </c>
      <c r="AC358" s="135">
        <v>44010</v>
      </c>
      <c r="AD358" s="14" t="s">
        <v>1256</v>
      </c>
      <c r="AE358" s="24" t="e">
        <f>VLOOKUP(F358,Stakeholders!E:K,7,0)</f>
        <v>#N/A</v>
      </c>
      <c r="AF358" s="14"/>
      <c r="AG358" s="14"/>
      <c r="AH358" s="24" t="s">
        <v>82</v>
      </c>
      <c r="AI358" s="14"/>
      <c r="AJ358" s="14"/>
      <c r="AK358" s="14"/>
      <c r="AL358" s="14"/>
      <c r="AM358" s="14"/>
      <c r="AN358" s="14"/>
      <c r="AO358" s="14"/>
      <c r="AP358" s="14"/>
      <c r="AQ358" s="14"/>
      <c r="AR358" s="14"/>
      <c r="AS358" s="14"/>
      <c r="AT358" s="14"/>
      <c r="AU358" s="14"/>
      <c r="AV358" s="14"/>
      <c r="AW358" s="14"/>
    </row>
    <row r="359" spans="1:49" ht="13">
      <c r="A359" s="133">
        <v>2018</v>
      </c>
      <c r="B359" s="37" t="s">
        <v>69</v>
      </c>
      <c r="C359" s="29" t="s">
        <v>2117</v>
      </c>
      <c r="D359" s="29" t="s">
        <v>2117</v>
      </c>
      <c r="E359" s="29" t="e">
        <v>#N/A</v>
      </c>
      <c r="F359" s="29"/>
      <c r="G359" s="29">
        <f>COUNTIF(Stakeholders!$E$2:$E960,F359)</f>
        <v>0</v>
      </c>
      <c r="H359" s="29" t="s">
        <v>2192</v>
      </c>
      <c r="I359" s="151" t="s">
        <v>2193</v>
      </c>
      <c r="J359" s="29" t="s">
        <v>67</v>
      </c>
      <c r="K359" s="29"/>
      <c r="L359" s="29"/>
      <c r="M359" s="29"/>
      <c r="N359" s="29"/>
      <c r="O359" s="29"/>
      <c r="P359" s="29"/>
      <c r="Q359" s="29"/>
      <c r="R359" s="29"/>
      <c r="S359" s="29"/>
      <c r="T359" s="29"/>
      <c r="U359" s="29"/>
      <c r="V359" s="29"/>
      <c r="W359" s="29" t="s">
        <v>67</v>
      </c>
      <c r="X359" s="29"/>
      <c r="Y359" s="29"/>
      <c r="Z359" s="29"/>
      <c r="AA359" s="29"/>
      <c r="AB359" s="29" t="s">
        <v>1752</v>
      </c>
      <c r="AC359" s="136">
        <v>44011</v>
      </c>
      <c r="AD359" s="29" t="s">
        <v>1257</v>
      </c>
      <c r="AE359" s="34" t="e">
        <f>VLOOKUP(F359,Stakeholders!E:K,7,0)</f>
        <v>#N/A</v>
      </c>
      <c r="AF359" s="29"/>
      <c r="AG359" s="29"/>
      <c r="AH359" s="34" t="s">
        <v>82</v>
      </c>
      <c r="AI359" s="29"/>
      <c r="AJ359" s="29"/>
      <c r="AK359" s="29"/>
      <c r="AL359" s="29"/>
      <c r="AM359" s="29"/>
      <c r="AN359" s="29"/>
      <c r="AO359" s="29"/>
      <c r="AP359" s="29"/>
      <c r="AQ359" s="29"/>
      <c r="AR359" s="29"/>
      <c r="AS359" s="29"/>
      <c r="AT359" s="29"/>
      <c r="AU359" s="29"/>
      <c r="AV359" s="29"/>
      <c r="AW359" s="29"/>
    </row>
    <row r="360" spans="1:49" ht="13">
      <c r="A360" s="132">
        <v>2012</v>
      </c>
      <c r="B360" s="39" t="s">
        <v>69</v>
      </c>
      <c r="C360" s="14" t="s">
        <v>2194</v>
      </c>
      <c r="D360" s="14" t="s">
        <v>2194</v>
      </c>
      <c r="E360" s="14" t="e">
        <v>#N/A</v>
      </c>
      <c r="F360" s="14"/>
      <c r="G360" s="14">
        <f>COUNTIF(Stakeholders!$E$2:$E960,F360)</f>
        <v>0</v>
      </c>
      <c r="H360" s="14" t="s">
        <v>2195</v>
      </c>
      <c r="I360" s="152" t="s">
        <v>2196</v>
      </c>
      <c r="J360" s="14" t="s">
        <v>67</v>
      </c>
      <c r="K360" s="14"/>
      <c r="L360" s="14"/>
      <c r="M360" s="14"/>
      <c r="N360" s="14"/>
      <c r="O360" s="14"/>
      <c r="P360" s="14"/>
      <c r="Q360" s="14"/>
      <c r="R360" s="14"/>
      <c r="S360" s="14"/>
      <c r="T360" s="14"/>
      <c r="U360" s="14"/>
      <c r="V360" s="14"/>
      <c r="W360" s="14" t="s">
        <v>67</v>
      </c>
      <c r="X360" s="14"/>
      <c r="Y360" s="14"/>
      <c r="Z360" s="14"/>
      <c r="AA360" s="14"/>
      <c r="AB360" s="14" t="s">
        <v>1752</v>
      </c>
      <c r="AC360" s="135">
        <v>44012</v>
      </c>
      <c r="AD360" s="14" t="s">
        <v>1258</v>
      </c>
      <c r="AE360" s="24" t="e">
        <f>VLOOKUP(F360,Stakeholders!E:K,7,0)</f>
        <v>#N/A</v>
      </c>
      <c r="AF360" s="14"/>
      <c r="AG360" s="14"/>
      <c r="AH360" s="24" t="s">
        <v>82</v>
      </c>
      <c r="AI360" s="14"/>
      <c r="AJ360" s="14"/>
      <c r="AK360" s="14"/>
      <c r="AL360" s="14"/>
      <c r="AM360" s="14"/>
      <c r="AN360" s="14"/>
      <c r="AO360" s="14"/>
      <c r="AP360" s="14"/>
      <c r="AQ360" s="14"/>
      <c r="AR360" s="14"/>
      <c r="AS360" s="14"/>
      <c r="AT360" s="14"/>
      <c r="AU360" s="14"/>
      <c r="AV360" s="14"/>
      <c r="AW360" s="14"/>
    </row>
    <row r="361" spans="1:49" ht="13">
      <c r="A361" s="133">
        <v>2014</v>
      </c>
      <c r="B361" s="37" t="s">
        <v>69</v>
      </c>
      <c r="C361" s="29" t="s">
        <v>2197</v>
      </c>
      <c r="D361" s="29" t="s">
        <v>2197</v>
      </c>
      <c r="E361" s="29" t="e">
        <v>#N/A</v>
      </c>
      <c r="F361" s="29"/>
      <c r="G361" s="29">
        <f>COUNTIF(Stakeholders!$E$2:$E960,F361)</f>
        <v>0</v>
      </c>
      <c r="H361" s="29" t="s">
        <v>2198</v>
      </c>
      <c r="I361" s="151" t="s">
        <v>2199</v>
      </c>
      <c r="J361" s="29" t="s">
        <v>67</v>
      </c>
      <c r="K361" s="29"/>
      <c r="L361" s="29"/>
      <c r="M361" s="29"/>
      <c r="N361" s="29"/>
      <c r="O361" s="29"/>
      <c r="P361" s="29"/>
      <c r="Q361" s="29"/>
      <c r="R361" s="29"/>
      <c r="S361" s="29"/>
      <c r="T361" s="29"/>
      <c r="U361" s="29"/>
      <c r="V361" s="29"/>
      <c r="W361" s="29" t="s">
        <v>67</v>
      </c>
      <c r="X361" s="29"/>
      <c r="Y361" s="29"/>
      <c r="Z361" s="29"/>
      <c r="AA361" s="29"/>
      <c r="AB361" s="29" t="s">
        <v>1752</v>
      </c>
      <c r="AC361" s="136">
        <v>44013</v>
      </c>
      <c r="AD361" s="29" t="s">
        <v>1260</v>
      </c>
      <c r="AE361" s="34" t="e">
        <f>VLOOKUP(F361,Stakeholders!E:K,7,0)</f>
        <v>#N/A</v>
      </c>
      <c r="AF361" s="29"/>
      <c r="AG361" s="29"/>
      <c r="AH361" s="34" t="s">
        <v>82</v>
      </c>
      <c r="AI361" s="29"/>
      <c r="AJ361" s="29"/>
      <c r="AK361" s="29"/>
      <c r="AL361" s="29"/>
      <c r="AM361" s="29"/>
      <c r="AN361" s="29"/>
      <c r="AO361" s="29"/>
      <c r="AP361" s="29"/>
      <c r="AQ361" s="29"/>
      <c r="AR361" s="29"/>
      <c r="AS361" s="29"/>
      <c r="AT361" s="29"/>
      <c r="AU361" s="29"/>
      <c r="AV361" s="29"/>
      <c r="AW361" s="29"/>
    </row>
    <row r="362" spans="1:49" ht="13">
      <c r="A362" s="132">
        <v>2016</v>
      </c>
      <c r="B362" s="39" t="s">
        <v>69</v>
      </c>
      <c r="C362" s="14" t="s">
        <v>2197</v>
      </c>
      <c r="D362" s="14" t="s">
        <v>2197</v>
      </c>
      <c r="E362" s="14" t="e">
        <v>#N/A</v>
      </c>
      <c r="F362" s="14"/>
      <c r="G362" s="14">
        <f>COUNTIF(Stakeholders!$E$2:$E960,F362)</f>
        <v>0</v>
      </c>
      <c r="H362" s="14" t="s">
        <v>2200</v>
      </c>
      <c r="I362" s="152" t="s">
        <v>2201</v>
      </c>
      <c r="J362" s="14" t="s">
        <v>67</v>
      </c>
      <c r="K362" s="14"/>
      <c r="L362" s="14"/>
      <c r="M362" s="14"/>
      <c r="N362" s="14"/>
      <c r="O362" s="14"/>
      <c r="P362" s="14"/>
      <c r="Q362" s="14"/>
      <c r="R362" s="14"/>
      <c r="S362" s="14"/>
      <c r="T362" s="14"/>
      <c r="U362" s="14"/>
      <c r="V362" s="14"/>
      <c r="W362" s="14" t="s">
        <v>67</v>
      </c>
      <c r="X362" s="14"/>
      <c r="Y362" s="14"/>
      <c r="Z362" s="14"/>
      <c r="AA362" s="14"/>
      <c r="AB362" s="14" t="s">
        <v>1752</v>
      </c>
      <c r="AC362" s="135">
        <v>44014</v>
      </c>
      <c r="AD362" s="14" t="s">
        <v>1262</v>
      </c>
      <c r="AE362" s="24" t="e">
        <f>VLOOKUP(F362,Stakeholders!E:K,7,0)</f>
        <v>#N/A</v>
      </c>
      <c r="AF362" s="14"/>
      <c r="AG362" s="14"/>
      <c r="AH362" s="24" t="s">
        <v>82</v>
      </c>
      <c r="AI362" s="14"/>
      <c r="AJ362" s="14"/>
      <c r="AK362" s="14"/>
      <c r="AL362" s="14"/>
      <c r="AM362" s="14"/>
      <c r="AN362" s="14"/>
      <c r="AO362" s="14"/>
      <c r="AP362" s="14"/>
      <c r="AQ362" s="14"/>
      <c r="AR362" s="14"/>
      <c r="AS362" s="14"/>
      <c r="AT362" s="14"/>
      <c r="AU362" s="14"/>
      <c r="AV362" s="14"/>
      <c r="AW362" s="14"/>
    </row>
    <row r="363" spans="1:49" ht="13">
      <c r="A363" s="133">
        <v>2018</v>
      </c>
      <c r="B363" s="37" t="s">
        <v>69</v>
      </c>
      <c r="C363" s="29" t="s">
        <v>2197</v>
      </c>
      <c r="D363" s="29" t="s">
        <v>2197</v>
      </c>
      <c r="E363" s="29" t="e">
        <v>#N/A</v>
      </c>
      <c r="F363" s="29"/>
      <c r="G363" s="29">
        <f>COUNTIF(Stakeholders!$E$2:$E960,F363)</f>
        <v>0</v>
      </c>
      <c r="H363" s="29" t="s">
        <v>2202</v>
      </c>
      <c r="I363" s="151" t="s">
        <v>2203</v>
      </c>
      <c r="J363" s="29" t="s">
        <v>67</v>
      </c>
      <c r="K363" s="29"/>
      <c r="L363" s="29"/>
      <c r="M363" s="29"/>
      <c r="N363" s="29"/>
      <c r="O363" s="29"/>
      <c r="P363" s="29"/>
      <c r="Q363" s="29"/>
      <c r="R363" s="29"/>
      <c r="S363" s="29"/>
      <c r="T363" s="29"/>
      <c r="U363" s="29"/>
      <c r="V363" s="29"/>
      <c r="W363" s="29" t="s">
        <v>67</v>
      </c>
      <c r="X363" s="29"/>
      <c r="Y363" s="29"/>
      <c r="Z363" s="29"/>
      <c r="AA363" s="29"/>
      <c r="AB363" s="29" t="s">
        <v>1752</v>
      </c>
      <c r="AC363" s="136">
        <v>44015</v>
      </c>
      <c r="AD363" s="29" t="s">
        <v>1263</v>
      </c>
      <c r="AE363" s="34" t="e">
        <f>VLOOKUP(F363,Stakeholders!E:K,7,0)</f>
        <v>#N/A</v>
      </c>
      <c r="AF363" s="29"/>
      <c r="AG363" s="29"/>
      <c r="AH363" s="34" t="s">
        <v>82</v>
      </c>
      <c r="AI363" s="29"/>
      <c r="AJ363" s="29"/>
      <c r="AK363" s="29"/>
      <c r="AL363" s="29"/>
      <c r="AM363" s="29"/>
      <c r="AN363" s="29"/>
      <c r="AO363" s="29"/>
      <c r="AP363" s="29"/>
      <c r="AQ363" s="29"/>
      <c r="AR363" s="29"/>
      <c r="AS363" s="29"/>
      <c r="AT363" s="29"/>
      <c r="AU363" s="29"/>
      <c r="AV363" s="29"/>
      <c r="AW363" s="29"/>
    </row>
    <row r="364" spans="1:49" ht="13">
      <c r="A364" s="132">
        <v>2006</v>
      </c>
      <c r="B364" s="39" t="s">
        <v>69</v>
      </c>
      <c r="C364" s="14" t="s">
        <v>2204</v>
      </c>
      <c r="D364" s="14" t="s">
        <v>2204</v>
      </c>
      <c r="E364" s="14" t="e">
        <v>#N/A</v>
      </c>
      <c r="F364" s="14"/>
      <c r="G364" s="14">
        <f>COUNTIF(Stakeholders!$E$2:$E960,F364)</f>
        <v>0</v>
      </c>
      <c r="H364" s="14" t="s">
        <v>2205</v>
      </c>
      <c r="I364" s="152" t="s">
        <v>2206</v>
      </c>
      <c r="J364" s="14" t="s">
        <v>67</v>
      </c>
      <c r="K364" s="14"/>
      <c r="L364" s="14"/>
      <c r="M364" s="14"/>
      <c r="N364" s="14"/>
      <c r="O364" s="14"/>
      <c r="P364" s="14"/>
      <c r="Q364" s="14"/>
      <c r="R364" s="14"/>
      <c r="S364" s="14"/>
      <c r="T364" s="14"/>
      <c r="U364" s="14"/>
      <c r="V364" s="14"/>
      <c r="W364" s="14" t="s">
        <v>67</v>
      </c>
      <c r="X364" s="14"/>
      <c r="Y364" s="14"/>
      <c r="Z364" s="14"/>
      <c r="AA364" s="14"/>
      <c r="AB364" s="14" t="s">
        <v>1752</v>
      </c>
      <c r="AC364" s="135">
        <v>44016</v>
      </c>
      <c r="AD364" s="14" t="s">
        <v>1264</v>
      </c>
      <c r="AE364" s="24" t="e">
        <f>VLOOKUP(F364,Stakeholders!E:K,7,0)</f>
        <v>#N/A</v>
      </c>
      <c r="AF364" s="14"/>
      <c r="AG364" s="14"/>
      <c r="AH364" s="24" t="s">
        <v>82</v>
      </c>
      <c r="AI364" s="14"/>
      <c r="AJ364" s="14"/>
      <c r="AK364" s="14"/>
      <c r="AL364" s="14"/>
      <c r="AM364" s="14"/>
      <c r="AN364" s="14"/>
      <c r="AO364" s="14"/>
      <c r="AP364" s="14"/>
      <c r="AQ364" s="14"/>
      <c r="AR364" s="14"/>
      <c r="AS364" s="14"/>
      <c r="AT364" s="14"/>
      <c r="AU364" s="14"/>
      <c r="AV364" s="14"/>
      <c r="AW364" s="14"/>
    </row>
    <row r="365" spans="1:49" ht="13">
      <c r="A365" s="133">
        <v>2009</v>
      </c>
      <c r="B365" s="37" t="s">
        <v>69</v>
      </c>
      <c r="C365" s="29" t="s">
        <v>2204</v>
      </c>
      <c r="D365" s="29" t="s">
        <v>2204</v>
      </c>
      <c r="E365" s="29" t="e">
        <v>#N/A</v>
      </c>
      <c r="F365" s="29"/>
      <c r="G365" s="29">
        <f>COUNTIF(Stakeholders!$E$2:$E960,F365)</f>
        <v>0</v>
      </c>
      <c r="H365" s="29" t="s">
        <v>2207</v>
      </c>
      <c r="I365" s="151" t="s">
        <v>2208</v>
      </c>
      <c r="J365" s="29" t="s">
        <v>67</v>
      </c>
      <c r="K365" s="29"/>
      <c r="L365" s="29"/>
      <c r="M365" s="29"/>
      <c r="N365" s="29"/>
      <c r="O365" s="29"/>
      <c r="P365" s="29"/>
      <c r="Q365" s="29"/>
      <c r="R365" s="29"/>
      <c r="S365" s="29"/>
      <c r="T365" s="29"/>
      <c r="U365" s="29"/>
      <c r="V365" s="29"/>
      <c r="W365" s="29" t="s">
        <v>67</v>
      </c>
      <c r="X365" s="29"/>
      <c r="Y365" s="29"/>
      <c r="Z365" s="29"/>
      <c r="AA365" s="29"/>
      <c r="AB365" s="29" t="s">
        <v>1752</v>
      </c>
      <c r="AC365" s="136">
        <v>44017</v>
      </c>
      <c r="AD365" s="29" t="s">
        <v>1266</v>
      </c>
      <c r="AE365" s="34" t="e">
        <f>VLOOKUP(F365,Stakeholders!E:K,7,0)</f>
        <v>#N/A</v>
      </c>
      <c r="AF365" s="29"/>
      <c r="AG365" s="29"/>
      <c r="AH365" s="34" t="s">
        <v>82</v>
      </c>
      <c r="AI365" s="29"/>
      <c r="AJ365" s="29"/>
      <c r="AK365" s="29"/>
      <c r="AL365" s="29"/>
      <c r="AM365" s="29"/>
      <c r="AN365" s="29"/>
      <c r="AO365" s="29"/>
      <c r="AP365" s="29"/>
      <c r="AQ365" s="29"/>
      <c r="AR365" s="29"/>
      <c r="AS365" s="29"/>
      <c r="AT365" s="29"/>
      <c r="AU365" s="29"/>
      <c r="AV365" s="29"/>
      <c r="AW365" s="29"/>
    </row>
    <row r="366" spans="1:49" ht="13">
      <c r="A366" s="132">
        <v>2009</v>
      </c>
      <c r="B366" s="39" t="s">
        <v>69</v>
      </c>
      <c r="C366" s="14" t="s">
        <v>2204</v>
      </c>
      <c r="D366" s="14" t="s">
        <v>2204</v>
      </c>
      <c r="E366" s="14" t="e">
        <v>#N/A</v>
      </c>
      <c r="F366" s="14"/>
      <c r="G366" s="14">
        <f>COUNTIF(Stakeholders!$E$2:$E960,F366)</f>
        <v>0</v>
      </c>
      <c r="H366" s="14" t="s">
        <v>2209</v>
      </c>
      <c r="I366" s="152" t="s">
        <v>2210</v>
      </c>
      <c r="J366" s="14" t="s">
        <v>67</v>
      </c>
      <c r="K366" s="14"/>
      <c r="L366" s="14"/>
      <c r="M366" s="14"/>
      <c r="N366" s="14"/>
      <c r="O366" s="14"/>
      <c r="P366" s="14"/>
      <c r="Q366" s="14"/>
      <c r="R366" s="14"/>
      <c r="S366" s="14"/>
      <c r="T366" s="14"/>
      <c r="U366" s="14"/>
      <c r="V366" s="14"/>
      <c r="W366" s="14" t="s">
        <v>67</v>
      </c>
      <c r="X366" s="14"/>
      <c r="Y366" s="14"/>
      <c r="Z366" s="14"/>
      <c r="AA366" s="14"/>
      <c r="AB366" s="14" t="s">
        <v>1752</v>
      </c>
      <c r="AC366" s="135">
        <v>44018</v>
      </c>
      <c r="AD366" s="14" t="s">
        <v>1267</v>
      </c>
      <c r="AE366" s="24" t="e">
        <f>VLOOKUP(F366,Stakeholders!E:K,7,0)</f>
        <v>#N/A</v>
      </c>
      <c r="AF366" s="14"/>
      <c r="AG366" s="14"/>
      <c r="AH366" s="24" t="s">
        <v>82</v>
      </c>
      <c r="AI366" s="14"/>
      <c r="AJ366" s="14"/>
      <c r="AK366" s="14"/>
      <c r="AL366" s="14"/>
      <c r="AM366" s="14"/>
      <c r="AN366" s="14"/>
      <c r="AO366" s="14"/>
      <c r="AP366" s="14"/>
      <c r="AQ366" s="14"/>
      <c r="AR366" s="14"/>
      <c r="AS366" s="14"/>
      <c r="AT366" s="14"/>
      <c r="AU366" s="14"/>
      <c r="AV366" s="14"/>
      <c r="AW366" s="14"/>
    </row>
    <row r="367" spans="1:49" ht="13">
      <c r="A367" s="133">
        <v>2006</v>
      </c>
      <c r="B367" s="37" t="s">
        <v>69</v>
      </c>
      <c r="C367" s="29" t="s">
        <v>2211</v>
      </c>
      <c r="D367" s="29" t="s">
        <v>2211</v>
      </c>
      <c r="E367" s="29" t="e">
        <v>#N/A</v>
      </c>
      <c r="F367" s="29"/>
      <c r="G367" s="29">
        <f>COUNTIF(Stakeholders!$E$2:$E960,F367)</f>
        <v>0</v>
      </c>
      <c r="H367" s="29" t="s">
        <v>2212</v>
      </c>
      <c r="I367" s="151" t="s">
        <v>2213</v>
      </c>
      <c r="J367" s="29" t="s">
        <v>67</v>
      </c>
      <c r="K367" s="29"/>
      <c r="L367" s="29"/>
      <c r="M367" s="29"/>
      <c r="N367" s="29"/>
      <c r="O367" s="29"/>
      <c r="P367" s="29"/>
      <c r="Q367" s="29"/>
      <c r="R367" s="29"/>
      <c r="S367" s="29"/>
      <c r="T367" s="29"/>
      <c r="U367" s="29"/>
      <c r="V367" s="29"/>
      <c r="W367" s="29" t="s">
        <v>67</v>
      </c>
      <c r="X367" s="29"/>
      <c r="Y367" s="29"/>
      <c r="Z367" s="29"/>
      <c r="AA367" s="29"/>
      <c r="AB367" s="29" t="s">
        <v>1752</v>
      </c>
      <c r="AC367" s="136">
        <v>44019</v>
      </c>
      <c r="AD367" s="29" t="s">
        <v>1268</v>
      </c>
      <c r="AE367" s="34" t="e">
        <f>VLOOKUP(F367,Stakeholders!E:K,7,0)</f>
        <v>#N/A</v>
      </c>
      <c r="AF367" s="29"/>
      <c r="AG367" s="29"/>
      <c r="AH367" s="34" t="s">
        <v>82</v>
      </c>
      <c r="AI367" s="29"/>
      <c r="AJ367" s="29"/>
      <c r="AK367" s="29"/>
      <c r="AL367" s="29"/>
      <c r="AM367" s="29"/>
      <c r="AN367" s="29"/>
      <c r="AO367" s="29"/>
      <c r="AP367" s="29"/>
      <c r="AQ367" s="29"/>
      <c r="AR367" s="29"/>
      <c r="AS367" s="29"/>
      <c r="AT367" s="29"/>
      <c r="AU367" s="29"/>
      <c r="AV367" s="29"/>
      <c r="AW367" s="29"/>
    </row>
    <row r="368" spans="1:49" ht="13">
      <c r="A368" s="132">
        <v>2013</v>
      </c>
      <c r="B368" s="39" t="s">
        <v>69</v>
      </c>
      <c r="C368" s="14" t="s">
        <v>2211</v>
      </c>
      <c r="D368" s="14" t="s">
        <v>2211</v>
      </c>
      <c r="E368" s="14" t="e">
        <v>#N/A</v>
      </c>
      <c r="F368" s="14"/>
      <c r="G368" s="14">
        <f>COUNTIF(Stakeholders!$E$2:$E960,F368)</f>
        <v>0</v>
      </c>
      <c r="H368" s="14" t="s">
        <v>2214</v>
      </c>
      <c r="I368" s="152" t="s">
        <v>2215</v>
      </c>
      <c r="J368" s="14" t="s">
        <v>67</v>
      </c>
      <c r="K368" s="14"/>
      <c r="L368" s="14"/>
      <c r="M368" s="14"/>
      <c r="N368" s="14"/>
      <c r="O368" s="14"/>
      <c r="P368" s="14"/>
      <c r="Q368" s="14"/>
      <c r="R368" s="14"/>
      <c r="S368" s="14"/>
      <c r="T368" s="14"/>
      <c r="U368" s="14"/>
      <c r="V368" s="14"/>
      <c r="W368" s="14" t="s">
        <v>67</v>
      </c>
      <c r="X368" s="14"/>
      <c r="Y368" s="14"/>
      <c r="Z368" s="14"/>
      <c r="AA368" s="14"/>
      <c r="AB368" s="14" t="s">
        <v>1752</v>
      </c>
      <c r="AC368" s="135">
        <v>44020</v>
      </c>
      <c r="AD368" s="14" t="s">
        <v>1271</v>
      </c>
      <c r="AE368" s="24" t="e">
        <f>VLOOKUP(F368,Stakeholders!E:K,7,0)</f>
        <v>#N/A</v>
      </c>
      <c r="AF368" s="14"/>
      <c r="AG368" s="14"/>
      <c r="AH368" s="24" t="s">
        <v>82</v>
      </c>
      <c r="AI368" s="14"/>
      <c r="AJ368" s="14"/>
      <c r="AK368" s="14"/>
      <c r="AL368" s="14"/>
      <c r="AM368" s="14"/>
      <c r="AN368" s="14"/>
      <c r="AO368" s="14"/>
      <c r="AP368" s="14"/>
      <c r="AQ368" s="14"/>
      <c r="AR368" s="14"/>
      <c r="AS368" s="14"/>
      <c r="AT368" s="14"/>
      <c r="AU368" s="14"/>
      <c r="AV368" s="14"/>
      <c r="AW368" s="14"/>
    </row>
    <row r="369" spans="1:49" ht="13">
      <c r="A369" s="133">
        <v>2015</v>
      </c>
      <c r="B369" s="37" t="s">
        <v>69</v>
      </c>
      <c r="C369" s="29" t="s">
        <v>2211</v>
      </c>
      <c r="D369" s="29" t="s">
        <v>2211</v>
      </c>
      <c r="E369" s="29" t="e">
        <v>#N/A</v>
      </c>
      <c r="F369" s="29"/>
      <c r="G369" s="29">
        <f>COUNTIF(Stakeholders!$E$2:$E960,F369)</f>
        <v>0</v>
      </c>
      <c r="H369" s="29" t="s">
        <v>2216</v>
      </c>
      <c r="I369" s="151" t="s">
        <v>2217</v>
      </c>
      <c r="J369" s="29" t="s">
        <v>67</v>
      </c>
      <c r="K369" s="29"/>
      <c r="L369" s="29"/>
      <c r="M369" s="29"/>
      <c r="N369" s="29"/>
      <c r="O369" s="29"/>
      <c r="P369" s="29"/>
      <c r="Q369" s="29"/>
      <c r="R369" s="29"/>
      <c r="S369" s="29"/>
      <c r="T369" s="29"/>
      <c r="U369" s="29"/>
      <c r="V369" s="29"/>
      <c r="W369" s="29" t="s">
        <v>67</v>
      </c>
      <c r="X369" s="29"/>
      <c r="Y369" s="29"/>
      <c r="Z369" s="29"/>
      <c r="AA369" s="29"/>
      <c r="AB369" s="29" t="s">
        <v>1752</v>
      </c>
      <c r="AC369" s="136">
        <v>44021</v>
      </c>
      <c r="AD369" s="29" t="s">
        <v>1272</v>
      </c>
      <c r="AE369" s="34" t="e">
        <f>VLOOKUP(F369,Stakeholders!E:K,7,0)</f>
        <v>#N/A</v>
      </c>
      <c r="AF369" s="29"/>
      <c r="AG369" s="29"/>
      <c r="AH369" s="34" t="s">
        <v>82</v>
      </c>
      <c r="AI369" s="29"/>
      <c r="AJ369" s="29"/>
      <c r="AK369" s="29"/>
      <c r="AL369" s="29"/>
      <c r="AM369" s="29"/>
      <c r="AN369" s="29"/>
      <c r="AO369" s="29"/>
      <c r="AP369" s="29"/>
      <c r="AQ369" s="29"/>
      <c r="AR369" s="29"/>
      <c r="AS369" s="29"/>
      <c r="AT369" s="29"/>
      <c r="AU369" s="29"/>
      <c r="AV369" s="29"/>
      <c r="AW369" s="29"/>
    </row>
    <row r="370" spans="1:49" ht="13">
      <c r="A370" s="132">
        <v>2015</v>
      </c>
      <c r="B370" s="39" t="s">
        <v>69</v>
      </c>
      <c r="C370" s="14" t="s">
        <v>2211</v>
      </c>
      <c r="D370" s="14" t="s">
        <v>2211</v>
      </c>
      <c r="E370" s="14" t="e">
        <v>#N/A</v>
      </c>
      <c r="F370" s="14"/>
      <c r="G370" s="14">
        <f>COUNTIF(Stakeholders!$E$2:$E960,F370)</f>
        <v>0</v>
      </c>
      <c r="H370" s="14" t="s">
        <v>2218</v>
      </c>
      <c r="I370" s="152" t="s">
        <v>2219</v>
      </c>
      <c r="J370" s="14" t="s">
        <v>67</v>
      </c>
      <c r="K370" s="14"/>
      <c r="L370" s="14"/>
      <c r="M370" s="14"/>
      <c r="N370" s="14"/>
      <c r="O370" s="14"/>
      <c r="P370" s="14"/>
      <c r="Q370" s="14"/>
      <c r="R370" s="14"/>
      <c r="S370" s="14"/>
      <c r="T370" s="14"/>
      <c r="U370" s="14"/>
      <c r="V370" s="14"/>
      <c r="W370" s="14" t="s">
        <v>67</v>
      </c>
      <c r="X370" s="14"/>
      <c r="Y370" s="14"/>
      <c r="Z370" s="14"/>
      <c r="AA370" s="14"/>
      <c r="AB370" s="14" t="s">
        <v>1752</v>
      </c>
      <c r="AC370" s="135">
        <v>44022</v>
      </c>
      <c r="AD370" s="14" t="s">
        <v>1273</v>
      </c>
      <c r="AE370" s="24" t="e">
        <f>VLOOKUP(F370,Stakeholders!E:K,7,0)</f>
        <v>#N/A</v>
      </c>
      <c r="AF370" s="14"/>
      <c r="AG370" s="14"/>
      <c r="AH370" s="24" t="s">
        <v>82</v>
      </c>
      <c r="AI370" s="14"/>
      <c r="AJ370" s="14"/>
      <c r="AK370" s="14"/>
      <c r="AL370" s="14"/>
      <c r="AM370" s="14"/>
      <c r="AN370" s="14"/>
      <c r="AO370" s="14"/>
      <c r="AP370" s="14"/>
      <c r="AQ370" s="14"/>
      <c r="AR370" s="14"/>
      <c r="AS370" s="14"/>
      <c r="AT370" s="14"/>
      <c r="AU370" s="14"/>
      <c r="AV370" s="14"/>
      <c r="AW370" s="14"/>
    </row>
    <row r="371" spans="1:49" ht="13">
      <c r="A371" s="133">
        <v>2017</v>
      </c>
      <c r="B371" s="37" t="s">
        <v>69</v>
      </c>
      <c r="C371" s="29" t="s">
        <v>2211</v>
      </c>
      <c r="D371" s="29" t="s">
        <v>2211</v>
      </c>
      <c r="E371" s="29" t="e">
        <v>#N/A</v>
      </c>
      <c r="F371" s="29"/>
      <c r="G371" s="29">
        <f>COUNTIF(Stakeholders!$E$2:$E960,F371)</f>
        <v>0</v>
      </c>
      <c r="H371" s="29" t="s">
        <v>2220</v>
      </c>
      <c r="I371" s="151" t="s">
        <v>2221</v>
      </c>
      <c r="J371" s="29" t="s">
        <v>67</v>
      </c>
      <c r="K371" s="29"/>
      <c r="L371" s="29"/>
      <c r="M371" s="29"/>
      <c r="N371" s="29"/>
      <c r="O371" s="29"/>
      <c r="P371" s="29"/>
      <c r="Q371" s="29"/>
      <c r="R371" s="29"/>
      <c r="S371" s="29"/>
      <c r="T371" s="29"/>
      <c r="U371" s="29"/>
      <c r="V371" s="29"/>
      <c r="W371" s="29" t="s">
        <v>67</v>
      </c>
      <c r="X371" s="29"/>
      <c r="Y371" s="29"/>
      <c r="Z371" s="29"/>
      <c r="AA371" s="29"/>
      <c r="AB371" s="29" t="s">
        <v>1752</v>
      </c>
      <c r="AC371" s="136">
        <v>44023</v>
      </c>
      <c r="AD371" s="29" t="s">
        <v>1274</v>
      </c>
      <c r="AE371" s="34" t="e">
        <f>VLOOKUP(F371,Stakeholders!E:K,7,0)</f>
        <v>#N/A</v>
      </c>
      <c r="AF371" s="29"/>
      <c r="AG371" s="29"/>
      <c r="AH371" s="34" t="s">
        <v>82</v>
      </c>
      <c r="AI371" s="29"/>
      <c r="AJ371" s="29"/>
      <c r="AK371" s="29"/>
      <c r="AL371" s="29"/>
      <c r="AM371" s="29"/>
      <c r="AN371" s="29"/>
      <c r="AO371" s="29"/>
      <c r="AP371" s="29"/>
      <c r="AQ371" s="29"/>
      <c r="AR371" s="29"/>
      <c r="AS371" s="29"/>
      <c r="AT371" s="29"/>
      <c r="AU371" s="29"/>
      <c r="AV371" s="29"/>
      <c r="AW371" s="29"/>
    </row>
    <row r="372" spans="1:49" ht="13">
      <c r="A372" s="132">
        <v>2017</v>
      </c>
      <c r="B372" s="39" t="s">
        <v>69</v>
      </c>
      <c r="C372" s="14" t="s">
        <v>2211</v>
      </c>
      <c r="D372" s="14" t="s">
        <v>2211</v>
      </c>
      <c r="E372" s="14" t="e">
        <v>#N/A</v>
      </c>
      <c r="F372" s="14"/>
      <c r="G372" s="14">
        <f>COUNTIF(Stakeholders!$E$2:$E960,F372)</f>
        <v>0</v>
      </c>
      <c r="H372" s="14" t="s">
        <v>2222</v>
      </c>
      <c r="I372" s="152" t="s">
        <v>2223</v>
      </c>
      <c r="J372" s="14" t="s">
        <v>67</v>
      </c>
      <c r="K372" s="14"/>
      <c r="L372" s="14"/>
      <c r="M372" s="14"/>
      <c r="N372" s="14"/>
      <c r="O372" s="14"/>
      <c r="P372" s="14"/>
      <c r="Q372" s="14"/>
      <c r="R372" s="14"/>
      <c r="S372" s="14"/>
      <c r="T372" s="14"/>
      <c r="U372" s="14"/>
      <c r="V372" s="14"/>
      <c r="W372" s="14" t="s">
        <v>67</v>
      </c>
      <c r="X372" s="14"/>
      <c r="Y372" s="14"/>
      <c r="Z372" s="14"/>
      <c r="AA372" s="14"/>
      <c r="AB372" s="14" t="s">
        <v>1752</v>
      </c>
      <c r="AC372" s="135">
        <v>44024</v>
      </c>
      <c r="AD372" s="14" t="s">
        <v>750</v>
      </c>
      <c r="AE372" s="24" t="e">
        <f>VLOOKUP(F372,Stakeholders!E:K,7,0)</f>
        <v>#N/A</v>
      </c>
      <c r="AF372" s="14"/>
      <c r="AG372" s="14"/>
      <c r="AH372" s="24" t="s">
        <v>82</v>
      </c>
      <c r="AI372" s="14"/>
      <c r="AJ372" s="14"/>
      <c r="AK372" s="14"/>
      <c r="AL372" s="14"/>
      <c r="AM372" s="14"/>
      <c r="AN372" s="14"/>
      <c r="AO372" s="14"/>
      <c r="AP372" s="14"/>
      <c r="AQ372" s="14"/>
      <c r="AR372" s="14"/>
      <c r="AS372" s="14"/>
      <c r="AT372" s="14"/>
      <c r="AU372" s="14"/>
      <c r="AV372" s="14"/>
      <c r="AW372" s="14"/>
    </row>
    <row r="373" spans="1:49" ht="13">
      <c r="A373" s="133">
        <v>2012</v>
      </c>
      <c r="B373" s="37" t="s">
        <v>69</v>
      </c>
      <c r="C373" s="29" t="s">
        <v>2224</v>
      </c>
      <c r="D373" s="29" t="s">
        <v>2224</v>
      </c>
      <c r="E373" s="29" t="e">
        <v>#N/A</v>
      </c>
      <c r="F373" s="29"/>
      <c r="G373" s="29">
        <f>COUNTIF(Stakeholders!$E$2:$E960,F373)</f>
        <v>0</v>
      </c>
      <c r="H373" s="29" t="s">
        <v>2225</v>
      </c>
      <c r="I373" s="151" t="s">
        <v>2226</v>
      </c>
      <c r="J373" s="29" t="s">
        <v>67</v>
      </c>
      <c r="K373" s="29"/>
      <c r="L373" s="29"/>
      <c r="M373" s="29"/>
      <c r="N373" s="29"/>
      <c r="O373" s="29"/>
      <c r="P373" s="29"/>
      <c r="Q373" s="29"/>
      <c r="R373" s="29"/>
      <c r="S373" s="29"/>
      <c r="T373" s="29"/>
      <c r="U373" s="29"/>
      <c r="V373" s="29"/>
      <c r="W373" s="29" t="s">
        <v>67</v>
      </c>
      <c r="X373" s="29"/>
      <c r="Y373" s="29"/>
      <c r="Z373" s="29"/>
      <c r="AA373" s="29"/>
      <c r="AB373" s="29" t="s">
        <v>1752</v>
      </c>
      <c r="AC373" s="136">
        <v>44025</v>
      </c>
      <c r="AD373" s="29" t="s">
        <v>1275</v>
      </c>
      <c r="AE373" s="34" t="e">
        <f>VLOOKUP(F373,Stakeholders!E:K,7,0)</f>
        <v>#N/A</v>
      </c>
      <c r="AF373" s="29"/>
      <c r="AG373" s="29"/>
      <c r="AH373" s="34" t="s">
        <v>82</v>
      </c>
      <c r="AI373" s="29"/>
      <c r="AJ373" s="29"/>
      <c r="AK373" s="29"/>
      <c r="AL373" s="29"/>
      <c r="AM373" s="29"/>
      <c r="AN373" s="29"/>
      <c r="AO373" s="29"/>
      <c r="AP373" s="29"/>
      <c r="AQ373" s="29"/>
      <c r="AR373" s="29"/>
      <c r="AS373" s="29"/>
      <c r="AT373" s="29"/>
      <c r="AU373" s="29"/>
      <c r="AV373" s="29"/>
      <c r="AW373" s="29"/>
    </row>
    <row r="374" spans="1:49" ht="13">
      <c r="A374" s="132">
        <v>2015</v>
      </c>
      <c r="B374" s="39" t="s">
        <v>69</v>
      </c>
      <c r="C374" s="14" t="s">
        <v>2224</v>
      </c>
      <c r="D374" s="14" t="s">
        <v>2224</v>
      </c>
      <c r="E374" s="14" t="e">
        <v>#N/A</v>
      </c>
      <c r="F374" s="14"/>
      <c r="G374" s="14">
        <f>COUNTIF(Stakeholders!$E$2:$E960,F374)</f>
        <v>0</v>
      </c>
      <c r="H374" s="14" t="s">
        <v>2227</v>
      </c>
      <c r="I374" s="152" t="s">
        <v>2228</v>
      </c>
      <c r="J374" s="14" t="s">
        <v>67</v>
      </c>
      <c r="K374" s="14"/>
      <c r="L374" s="14"/>
      <c r="M374" s="14"/>
      <c r="N374" s="14"/>
      <c r="O374" s="14"/>
      <c r="P374" s="14"/>
      <c r="Q374" s="14"/>
      <c r="R374" s="14"/>
      <c r="S374" s="14"/>
      <c r="T374" s="14"/>
      <c r="U374" s="14"/>
      <c r="V374" s="14"/>
      <c r="W374" s="14" t="s">
        <v>67</v>
      </c>
      <c r="X374" s="14"/>
      <c r="Y374" s="14"/>
      <c r="Z374" s="14"/>
      <c r="AA374" s="14"/>
      <c r="AB374" s="14" t="s">
        <v>1752</v>
      </c>
      <c r="AC374" s="135">
        <v>44026</v>
      </c>
      <c r="AD374" s="14" t="s">
        <v>1276</v>
      </c>
      <c r="AE374" s="24" t="e">
        <f>VLOOKUP(F374,Stakeholders!E:K,7,0)</f>
        <v>#N/A</v>
      </c>
      <c r="AF374" s="14"/>
      <c r="AG374" s="14"/>
      <c r="AH374" s="24" t="s">
        <v>82</v>
      </c>
      <c r="AI374" s="14"/>
      <c r="AJ374" s="14"/>
      <c r="AK374" s="14"/>
      <c r="AL374" s="14"/>
      <c r="AM374" s="14"/>
      <c r="AN374" s="14"/>
      <c r="AO374" s="14"/>
      <c r="AP374" s="14"/>
      <c r="AQ374" s="14"/>
      <c r="AR374" s="14"/>
      <c r="AS374" s="14"/>
      <c r="AT374" s="14"/>
      <c r="AU374" s="14"/>
      <c r="AV374" s="14"/>
      <c r="AW374" s="14"/>
    </row>
    <row r="375" spans="1:49" ht="13">
      <c r="A375" s="133">
        <v>2017</v>
      </c>
      <c r="B375" s="37" t="s">
        <v>69</v>
      </c>
      <c r="C375" s="29" t="s">
        <v>2224</v>
      </c>
      <c r="D375" s="29" t="s">
        <v>2224</v>
      </c>
      <c r="E375" s="29" t="e">
        <v>#N/A</v>
      </c>
      <c r="F375" s="29"/>
      <c r="G375" s="29">
        <f>COUNTIF(Stakeholders!$E$2:$E960,F375)</f>
        <v>0</v>
      </c>
      <c r="H375" s="29" t="s">
        <v>2229</v>
      </c>
      <c r="I375" s="151" t="s">
        <v>2230</v>
      </c>
      <c r="J375" s="29" t="s">
        <v>67</v>
      </c>
      <c r="K375" s="29"/>
      <c r="L375" s="29"/>
      <c r="M375" s="29"/>
      <c r="N375" s="29"/>
      <c r="O375" s="29"/>
      <c r="P375" s="29"/>
      <c r="Q375" s="29"/>
      <c r="R375" s="29"/>
      <c r="S375" s="29"/>
      <c r="T375" s="29"/>
      <c r="U375" s="29"/>
      <c r="V375" s="29"/>
      <c r="W375" s="29" t="s">
        <v>67</v>
      </c>
      <c r="X375" s="29"/>
      <c r="Y375" s="29"/>
      <c r="Z375" s="29"/>
      <c r="AA375" s="29"/>
      <c r="AB375" s="29" t="s">
        <v>1752</v>
      </c>
      <c r="AC375" s="136">
        <v>44027</v>
      </c>
      <c r="AD375" s="29" t="s">
        <v>1277</v>
      </c>
      <c r="AE375" s="34" t="e">
        <f>VLOOKUP(F375,Stakeholders!E:K,7,0)</f>
        <v>#N/A</v>
      </c>
      <c r="AF375" s="29"/>
      <c r="AG375" s="29"/>
      <c r="AH375" s="34" t="s">
        <v>82</v>
      </c>
      <c r="AI375" s="29"/>
      <c r="AJ375" s="29"/>
      <c r="AK375" s="29"/>
      <c r="AL375" s="29"/>
      <c r="AM375" s="29"/>
      <c r="AN375" s="29"/>
      <c r="AO375" s="29"/>
      <c r="AP375" s="29"/>
      <c r="AQ375" s="29"/>
      <c r="AR375" s="29"/>
      <c r="AS375" s="29"/>
      <c r="AT375" s="29"/>
      <c r="AU375" s="29"/>
      <c r="AV375" s="29"/>
      <c r="AW375" s="29"/>
    </row>
    <row r="376" spans="1:49" ht="13">
      <c r="A376" s="132">
        <v>2017</v>
      </c>
      <c r="B376" s="39" t="s">
        <v>69</v>
      </c>
      <c r="C376" s="14" t="s">
        <v>2224</v>
      </c>
      <c r="D376" s="14" t="s">
        <v>2224</v>
      </c>
      <c r="E376" s="14" t="e">
        <v>#N/A</v>
      </c>
      <c r="F376" s="14"/>
      <c r="G376" s="14">
        <f>COUNTIF(Stakeholders!$E$2:$E960,F376)</f>
        <v>0</v>
      </c>
      <c r="H376" s="14" t="s">
        <v>2231</v>
      </c>
      <c r="I376" s="152" t="s">
        <v>2232</v>
      </c>
      <c r="J376" s="14" t="s">
        <v>67</v>
      </c>
      <c r="K376" s="14"/>
      <c r="L376" s="14"/>
      <c r="M376" s="14"/>
      <c r="N376" s="14"/>
      <c r="O376" s="14"/>
      <c r="P376" s="14"/>
      <c r="Q376" s="14"/>
      <c r="R376" s="14"/>
      <c r="S376" s="14"/>
      <c r="T376" s="14"/>
      <c r="U376" s="14"/>
      <c r="V376" s="14"/>
      <c r="W376" s="14" t="s">
        <v>67</v>
      </c>
      <c r="X376" s="14"/>
      <c r="Y376" s="14"/>
      <c r="Z376" s="14"/>
      <c r="AA376" s="14"/>
      <c r="AB376" s="14" t="s">
        <v>1752</v>
      </c>
      <c r="AC376" s="135">
        <v>44028</v>
      </c>
      <c r="AD376" s="14" t="s">
        <v>1278</v>
      </c>
      <c r="AE376" s="24" t="e">
        <f>VLOOKUP(F376,Stakeholders!E:K,7,0)</f>
        <v>#N/A</v>
      </c>
      <c r="AF376" s="14"/>
      <c r="AG376" s="14"/>
      <c r="AH376" s="24" t="s">
        <v>82</v>
      </c>
      <c r="AI376" s="14"/>
      <c r="AJ376" s="14"/>
      <c r="AK376" s="14"/>
      <c r="AL376" s="14"/>
      <c r="AM376" s="14"/>
      <c r="AN376" s="14"/>
      <c r="AO376" s="14"/>
      <c r="AP376" s="14"/>
      <c r="AQ376" s="14"/>
      <c r="AR376" s="14"/>
      <c r="AS376" s="14"/>
      <c r="AT376" s="14"/>
      <c r="AU376" s="14"/>
      <c r="AV376" s="14"/>
      <c r="AW376" s="14"/>
    </row>
    <row r="377" spans="1:49" ht="13">
      <c r="A377" s="133">
        <v>2010</v>
      </c>
      <c r="B377" s="37" t="s">
        <v>69</v>
      </c>
      <c r="C377" s="29" t="s">
        <v>2233</v>
      </c>
      <c r="D377" s="29" t="s">
        <v>2233</v>
      </c>
      <c r="E377" s="29" t="e">
        <v>#N/A</v>
      </c>
      <c r="F377" s="29"/>
      <c r="G377" s="29">
        <f>COUNTIF(Stakeholders!$E$2:$E960,F377)</f>
        <v>0</v>
      </c>
      <c r="H377" s="29" t="s">
        <v>2234</v>
      </c>
      <c r="I377" s="151" t="s">
        <v>2235</v>
      </c>
      <c r="J377" s="29" t="s">
        <v>67</v>
      </c>
      <c r="K377" s="29"/>
      <c r="L377" s="29"/>
      <c r="M377" s="29"/>
      <c r="N377" s="29"/>
      <c r="O377" s="29"/>
      <c r="P377" s="29"/>
      <c r="Q377" s="29"/>
      <c r="R377" s="29"/>
      <c r="S377" s="29"/>
      <c r="T377" s="29"/>
      <c r="U377" s="29"/>
      <c r="V377" s="29"/>
      <c r="W377" s="29" t="s">
        <v>67</v>
      </c>
      <c r="X377" s="29"/>
      <c r="Y377" s="29"/>
      <c r="Z377" s="29"/>
      <c r="AA377" s="29"/>
      <c r="AB377" s="29" t="s">
        <v>1752</v>
      </c>
      <c r="AC377" s="136">
        <v>44029</v>
      </c>
      <c r="AD377" s="29" t="s">
        <v>1279</v>
      </c>
      <c r="AE377" s="34" t="e">
        <f>VLOOKUP(F377,Stakeholders!E:K,7,0)</f>
        <v>#N/A</v>
      </c>
      <c r="AF377" s="29"/>
      <c r="AG377" s="29"/>
      <c r="AH377" s="34" t="s">
        <v>82</v>
      </c>
      <c r="AI377" s="29"/>
      <c r="AJ377" s="29"/>
      <c r="AK377" s="29"/>
      <c r="AL377" s="29"/>
      <c r="AM377" s="29"/>
      <c r="AN377" s="29"/>
      <c r="AO377" s="29"/>
      <c r="AP377" s="29"/>
      <c r="AQ377" s="29"/>
      <c r="AR377" s="29"/>
      <c r="AS377" s="29"/>
      <c r="AT377" s="29"/>
      <c r="AU377" s="29"/>
      <c r="AV377" s="29"/>
      <c r="AW377" s="29"/>
    </row>
    <row r="378" spans="1:49" ht="13">
      <c r="A378" s="132">
        <v>2016</v>
      </c>
      <c r="B378" s="39" t="s">
        <v>69</v>
      </c>
      <c r="C378" s="14" t="s">
        <v>2233</v>
      </c>
      <c r="D378" s="14" t="s">
        <v>2233</v>
      </c>
      <c r="E378" s="14" t="e">
        <v>#N/A</v>
      </c>
      <c r="F378" s="14"/>
      <c r="G378" s="14">
        <f>COUNTIF(Stakeholders!$E$2:$E960,F378)</f>
        <v>0</v>
      </c>
      <c r="H378" s="14" t="s">
        <v>2236</v>
      </c>
      <c r="I378" s="152" t="s">
        <v>2237</v>
      </c>
      <c r="J378" s="14" t="s">
        <v>67</v>
      </c>
      <c r="K378" s="14"/>
      <c r="L378" s="14"/>
      <c r="M378" s="14"/>
      <c r="N378" s="14"/>
      <c r="O378" s="14"/>
      <c r="P378" s="14"/>
      <c r="Q378" s="14"/>
      <c r="R378" s="14"/>
      <c r="S378" s="14"/>
      <c r="T378" s="14"/>
      <c r="U378" s="14"/>
      <c r="V378" s="14"/>
      <c r="W378" s="14" t="s">
        <v>67</v>
      </c>
      <c r="X378" s="14"/>
      <c r="Y378" s="14"/>
      <c r="Z378" s="14"/>
      <c r="AA378" s="14"/>
      <c r="AB378" s="14" t="s">
        <v>1752</v>
      </c>
      <c r="AC378" s="135">
        <v>44030</v>
      </c>
      <c r="AD378" s="14" t="s">
        <v>1280</v>
      </c>
      <c r="AE378" s="24" t="e">
        <f>VLOOKUP(F378,Stakeholders!E:K,7,0)</f>
        <v>#N/A</v>
      </c>
      <c r="AF378" s="14"/>
      <c r="AG378" s="14"/>
      <c r="AH378" s="24" t="s">
        <v>82</v>
      </c>
      <c r="AI378" s="14"/>
      <c r="AJ378" s="14"/>
      <c r="AK378" s="14"/>
      <c r="AL378" s="14"/>
      <c r="AM378" s="14"/>
      <c r="AN378" s="14"/>
      <c r="AO378" s="14"/>
      <c r="AP378" s="14"/>
      <c r="AQ378" s="14"/>
      <c r="AR378" s="14"/>
      <c r="AS378" s="14"/>
      <c r="AT378" s="14"/>
      <c r="AU378" s="14"/>
      <c r="AV378" s="14"/>
      <c r="AW378" s="14"/>
    </row>
    <row r="379" spans="1:49" ht="13">
      <c r="A379" s="133">
        <v>2006</v>
      </c>
      <c r="B379" s="37" t="s">
        <v>69</v>
      </c>
      <c r="C379" s="29" t="s">
        <v>2238</v>
      </c>
      <c r="D379" s="29" t="s">
        <v>2238</v>
      </c>
      <c r="E379" s="29" t="e">
        <v>#N/A</v>
      </c>
      <c r="F379" s="29"/>
      <c r="G379" s="29">
        <f>COUNTIF(Stakeholders!$E$2:$E960,F379)</f>
        <v>0</v>
      </c>
      <c r="H379" s="29" t="s">
        <v>2239</v>
      </c>
      <c r="I379" s="151" t="s">
        <v>2240</v>
      </c>
      <c r="J379" s="29" t="s">
        <v>67</v>
      </c>
      <c r="K379" s="29"/>
      <c r="L379" s="29"/>
      <c r="M379" s="29"/>
      <c r="N379" s="29"/>
      <c r="O379" s="29"/>
      <c r="P379" s="29"/>
      <c r="Q379" s="29"/>
      <c r="R379" s="29"/>
      <c r="S379" s="29"/>
      <c r="T379" s="29"/>
      <c r="U379" s="29"/>
      <c r="V379" s="29"/>
      <c r="W379" s="29" t="s">
        <v>67</v>
      </c>
      <c r="X379" s="29"/>
      <c r="Y379" s="29"/>
      <c r="Z379" s="29"/>
      <c r="AA379" s="29"/>
      <c r="AB379" s="29" t="s">
        <v>1752</v>
      </c>
      <c r="AC379" s="136">
        <v>44031</v>
      </c>
      <c r="AD379" s="29" t="s">
        <v>1282</v>
      </c>
      <c r="AE379" s="34" t="e">
        <f>VLOOKUP(F379,Stakeholders!E:K,7,0)</f>
        <v>#N/A</v>
      </c>
      <c r="AF379" s="29"/>
      <c r="AG379" s="29"/>
      <c r="AH379" s="34" t="s">
        <v>82</v>
      </c>
      <c r="AI379" s="29"/>
      <c r="AJ379" s="29"/>
      <c r="AK379" s="29"/>
      <c r="AL379" s="29"/>
      <c r="AM379" s="29"/>
      <c r="AN379" s="29"/>
      <c r="AO379" s="29"/>
      <c r="AP379" s="29"/>
      <c r="AQ379" s="29"/>
      <c r="AR379" s="29"/>
      <c r="AS379" s="29"/>
      <c r="AT379" s="29"/>
      <c r="AU379" s="29"/>
      <c r="AV379" s="29"/>
      <c r="AW379" s="29"/>
    </row>
    <row r="380" spans="1:49" ht="14">
      <c r="A380" s="132">
        <v>2009</v>
      </c>
      <c r="B380" s="140" t="s">
        <v>80</v>
      </c>
      <c r="C380" s="14" t="s">
        <v>2241</v>
      </c>
      <c r="D380" s="14" t="s">
        <v>2241</v>
      </c>
      <c r="E380" s="14" t="e">
        <v>#N/A</v>
      </c>
      <c r="F380" s="14"/>
      <c r="G380" s="14">
        <f>COUNTIF(Stakeholders!$E$2:$E960,F380)</f>
        <v>0</v>
      </c>
      <c r="H380" s="14" t="s">
        <v>2242</v>
      </c>
      <c r="I380" s="152" t="s">
        <v>2243</v>
      </c>
      <c r="J380" s="14" t="s">
        <v>67</v>
      </c>
      <c r="K380" s="14"/>
      <c r="L380" s="14"/>
      <c r="M380" s="14"/>
      <c r="N380" s="14"/>
      <c r="O380" s="14"/>
      <c r="P380" s="14"/>
      <c r="Q380" s="14"/>
      <c r="R380" s="14"/>
      <c r="S380" s="14"/>
      <c r="T380" s="14"/>
      <c r="U380" s="14"/>
      <c r="V380" s="14"/>
      <c r="W380" s="14" t="s">
        <v>67</v>
      </c>
      <c r="X380" s="14"/>
      <c r="Y380" s="14"/>
      <c r="Z380" s="14"/>
      <c r="AA380" s="14"/>
      <c r="AB380" s="14" t="s">
        <v>1752</v>
      </c>
      <c r="AC380" s="135">
        <v>44032</v>
      </c>
      <c r="AD380" s="14" t="s">
        <v>752</v>
      </c>
      <c r="AE380" s="24" t="e">
        <f>VLOOKUP(F380,Stakeholders!E:K,7,0)</f>
        <v>#N/A</v>
      </c>
      <c r="AF380" s="14"/>
      <c r="AG380" s="14"/>
      <c r="AH380" s="24" t="s">
        <v>82</v>
      </c>
      <c r="AI380" s="14"/>
      <c r="AJ380" s="14"/>
      <c r="AK380" s="14"/>
      <c r="AL380" s="14"/>
      <c r="AM380" s="14"/>
      <c r="AN380" s="14"/>
      <c r="AO380" s="14"/>
      <c r="AP380" s="14"/>
      <c r="AQ380" s="14"/>
      <c r="AR380" s="14"/>
      <c r="AS380" s="14"/>
      <c r="AT380" s="14"/>
      <c r="AU380" s="14"/>
      <c r="AV380" s="14"/>
      <c r="AW380" s="14"/>
    </row>
    <row r="381" spans="1:49" ht="14">
      <c r="A381" s="133">
        <v>2003</v>
      </c>
      <c r="B381" s="143" t="s">
        <v>80</v>
      </c>
      <c r="C381" s="29" t="s">
        <v>2244</v>
      </c>
      <c r="D381" s="29" t="s">
        <v>2244</v>
      </c>
      <c r="E381" s="29" t="e">
        <v>#N/A</v>
      </c>
      <c r="F381" s="29"/>
      <c r="G381" s="29">
        <f>COUNTIF(Stakeholders!$E$2:$E960,F381)</f>
        <v>0</v>
      </c>
      <c r="H381" s="29" t="s">
        <v>2245</v>
      </c>
      <c r="I381" s="151" t="s">
        <v>2246</v>
      </c>
      <c r="J381" s="29" t="s">
        <v>67</v>
      </c>
      <c r="K381" s="29"/>
      <c r="L381" s="29"/>
      <c r="M381" s="29"/>
      <c r="N381" s="29"/>
      <c r="O381" s="29"/>
      <c r="P381" s="29"/>
      <c r="Q381" s="29"/>
      <c r="R381" s="29"/>
      <c r="S381" s="29"/>
      <c r="T381" s="29"/>
      <c r="U381" s="29"/>
      <c r="V381" s="29"/>
      <c r="W381" s="29" t="s">
        <v>67</v>
      </c>
      <c r="X381" s="29"/>
      <c r="Y381" s="29"/>
      <c r="Z381" s="29"/>
      <c r="AA381" s="29"/>
      <c r="AB381" s="29" t="s">
        <v>1752</v>
      </c>
      <c r="AC381" s="136">
        <v>44033</v>
      </c>
      <c r="AD381" s="29" t="s">
        <v>753</v>
      </c>
      <c r="AE381" s="34" t="e">
        <f>VLOOKUP(F381,Stakeholders!E:K,7,0)</f>
        <v>#N/A</v>
      </c>
      <c r="AF381" s="29"/>
      <c r="AG381" s="29"/>
      <c r="AH381" s="34" t="s">
        <v>82</v>
      </c>
      <c r="AI381" s="29"/>
      <c r="AJ381" s="29"/>
      <c r="AK381" s="29"/>
      <c r="AL381" s="29"/>
      <c r="AM381" s="29"/>
      <c r="AN381" s="29"/>
      <c r="AO381" s="29"/>
      <c r="AP381" s="29"/>
      <c r="AQ381" s="29"/>
      <c r="AR381" s="29"/>
      <c r="AS381" s="29"/>
      <c r="AT381" s="29"/>
      <c r="AU381" s="29"/>
      <c r="AV381" s="29"/>
      <c r="AW381" s="29"/>
    </row>
    <row r="382" spans="1:49" ht="14">
      <c r="A382" s="132">
        <v>2015</v>
      </c>
      <c r="B382" s="140" t="s">
        <v>80</v>
      </c>
      <c r="C382" s="14" t="s">
        <v>2244</v>
      </c>
      <c r="D382" s="14" t="s">
        <v>2244</v>
      </c>
      <c r="E382" s="14" t="e">
        <v>#N/A</v>
      </c>
      <c r="F382" s="14"/>
      <c r="G382" s="14">
        <f>COUNTIF(Stakeholders!$E$2:$E960,F382)</f>
        <v>0</v>
      </c>
      <c r="H382" s="14" t="s">
        <v>2247</v>
      </c>
      <c r="I382" s="152" t="s">
        <v>2248</v>
      </c>
      <c r="J382" s="14" t="s">
        <v>67</v>
      </c>
      <c r="K382" s="14"/>
      <c r="L382" s="14"/>
      <c r="M382" s="14"/>
      <c r="N382" s="14"/>
      <c r="O382" s="14"/>
      <c r="P382" s="14"/>
      <c r="Q382" s="14"/>
      <c r="R382" s="14"/>
      <c r="S382" s="14"/>
      <c r="T382" s="14"/>
      <c r="U382" s="14"/>
      <c r="V382" s="14"/>
      <c r="W382" s="14" t="s">
        <v>67</v>
      </c>
      <c r="X382" s="14"/>
      <c r="Y382" s="14"/>
      <c r="Z382" s="14"/>
      <c r="AA382" s="14"/>
      <c r="AB382" s="14" t="s">
        <v>1752</v>
      </c>
      <c r="AC382" s="135">
        <v>44034</v>
      </c>
      <c r="AD382" s="14" t="s">
        <v>754</v>
      </c>
      <c r="AE382" s="24" t="e">
        <f>VLOOKUP(F382,Stakeholders!E:K,7,0)</f>
        <v>#N/A</v>
      </c>
      <c r="AF382" s="14"/>
      <c r="AG382" s="14"/>
      <c r="AH382" s="24" t="s">
        <v>82</v>
      </c>
      <c r="AI382" s="14"/>
      <c r="AJ382" s="14"/>
      <c r="AK382" s="14"/>
      <c r="AL382" s="14"/>
      <c r="AM382" s="14"/>
      <c r="AN382" s="14"/>
      <c r="AO382" s="14"/>
      <c r="AP382" s="14"/>
      <c r="AQ382" s="14"/>
      <c r="AR382" s="14"/>
      <c r="AS382" s="14"/>
      <c r="AT382" s="14"/>
      <c r="AU382" s="14"/>
      <c r="AV382" s="14"/>
      <c r="AW382" s="14"/>
    </row>
    <row r="383" spans="1:49" ht="14">
      <c r="A383" s="133">
        <v>2016</v>
      </c>
      <c r="B383" s="143" t="s">
        <v>80</v>
      </c>
      <c r="C383" s="29" t="s">
        <v>2244</v>
      </c>
      <c r="D383" s="29" t="s">
        <v>2244</v>
      </c>
      <c r="E383" s="29" t="e">
        <v>#N/A</v>
      </c>
      <c r="F383" s="29"/>
      <c r="G383" s="29">
        <f>COUNTIF(Stakeholders!$E$2:$E960,F383)</f>
        <v>0</v>
      </c>
      <c r="H383" s="29" t="s">
        <v>2249</v>
      </c>
      <c r="I383" s="151" t="s">
        <v>2250</v>
      </c>
      <c r="J383" s="29" t="s">
        <v>67</v>
      </c>
      <c r="K383" s="29"/>
      <c r="L383" s="29"/>
      <c r="M383" s="29"/>
      <c r="N383" s="29"/>
      <c r="O383" s="29"/>
      <c r="P383" s="29"/>
      <c r="Q383" s="29"/>
      <c r="R383" s="29"/>
      <c r="S383" s="29"/>
      <c r="T383" s="29"/>
      <c r="U383" s="29"/>
      <c r="V383" s="29"/>
      <c r="W383" s="29" t="s">
        <v>67</v>
      </c>
      <c r="X383" s="29"/>
      <c r="Y383" s="29"/>
      <c r="Z383" s="29"/>
      <c r="AA383" s="29"/>
      <c r="AB383" s="29" t="s">
        <v>1752</v>
      </c>
      <c r="AC383" s="136">
        <v>44035</v>
      </c>
      <c r="AD383" s="29" t="s">
        <v>1286</v>
      </c>
      <c r="AE383" s="34" t="e">
        <f>VLOOKUP(F383,Stakeholders!E:K,7,0)</f>
        <v>#N/A</v>
      </c>
      <c r="AF383" s="29"/>
      <c r="AG383" s="29"/>
      <c r="AH383" s="34" t="s">
        <v>82</v>
      </c>
      <c r="AI383" s="29"/>
      <c r="AJ383" s="29"/>
      <c r="AK383" s="29"/>
      <c r="AL383" s="29"/>
      <c r="AM383" s="29"/>
      <c r="AN383" s="29"/>
      <c r="AO383" s="29"/>
      <c r="AP383" s="29"/>
      <c r="AQ383" s="29"/>
      <c r="AR383" s="29"/>
      <c r="AS383" s="29"/>
      <c r="AT383" s="29"/>
      <c r="AU383" s="29"/>
      <c r="AV383" s="29"/>
      <c r="AW383" s="29"/>
    </row>
    <row r="384" spans="1:49" ht="14">
      <c r="A384" s="132">
        <v>2017</v>
      </c>
      <c r="B384" s="140" t="s">
        <v>80</v>
      </c>
      <c r="C384" s="14" t="s">
        <v>2244</v>
      </c>
      <c r="D384" s="14" t="s">
        <v>2244</v>
      </c>
      <c r="E384" s="14" t="e">
        <v>#N/A</v>
      </c>
      <c r="F384" s="14"/>
      <c r="G384" s="14">
        <f>COUNTIF(Stakeholders!$E$2:$E960,F384)</f>
        <v>0</v>
      </c>
      <c r="H384" s="14" t="s">
        <v>2251</v>
      </c>
      <c r="I384" s="152" t="s">
        <v>2252</v>
      </c>
      <c r="J384" s="14" t="s">
        <v>67</v>
      </c>
      <c r="K384" s="14"/>
      <c r="L384" s="14"/>
      <c r="M384" s="14"/>
      <c r="N384" s="14"/>
      <c r="O384" s="14"/>
      <c r="P384" s="14"/>
      <c r="Q384" s="14"/>
      <c r="R384" s="14"/>
      <c r="S384" s="14"/>
      <c r="T384" s="14"/>
      <c r="U384" s="14"/>
      <c r="V384" s="14"/>
      <c r="W384" s="14" t="s">
        <v>67</v>
      </c>
      <c r="X384" s="14"/>
      <c r="Y384" s="14"/>
      <c r="Z384" s="14"/>
      <c r="AA384" s="14"/>
      <c r="AB384" s="14" t="s">
        <v>1752</v>
      </c>
      <c r="AC384" s="135">
        <v>44036</v>
      </c>
      <c r="AD384" s="14" t="s">
        <v>1287</v>
      </c>
      <c r="AE384" s="24" t="e">
        <f>VLOOKUP(F384,Stakeholders!E:K,7,0)</f>
        <v>#N/A</v>
      </c>
      <c r="AF384" s="14"/>
      <c r="AG384" s="14"/>
      <c r="AH384" s="24" t="s">
        <v>82</v>
      </c>
      <c r="AI384" s="14"/>
      <c r="AJ384" s="14"/>
      <c r="AK384" s="14"/>
      <c r="AL384" s="14"/>
      <c r="AM384" s="14"/>
      <c r="AN384" s="14"/>
      <c r="AO384" s="14"/>
      <c r="AP384" s="14"/>
      <c r="AQ384" s="14"/>
      <c r="AR384" s="14"/>
      <c r="AS384" s="14"/>
      <c r="AT384" s="14"/>
      <c r="AU384" s="14"/>
      <c r="AV384" s="14"/>
      <c r="AW384" s="14"/>
    </row>
    <row r="385" spans="1:49" ht="14">
      <c r="A385" s="133">
        <v>2017</v>
      </c>
      <c r="B385" s="143" t="s">
        <v>80</v>
      </c>
      <c r="C385" s="29" t="s">
        <v>2244</v>
      </c>
      <c r="D385" s="29" t="s">
        <v>2244</v>
      </c>
      <c r="E385" s="29" t="e">
        <v>#N/A</v>
      </c>
      <c r="F385" s="29"/>
      <c r="G385" s="29">
        <f>COUNTIF(Stakeholders!$E$2:$E960,F385)</f>
        <v>0</v>
      </c>
      <c r="H385" s="29" t="s">
        <v>2253</v>
      </c>
      <c r="I385" s="151" t="s">
        <v>2254</v>
      </c>
      <c r="J385" s="29" t="s">
        <v>67</v>
      </c>
      <c r="K385" s="29"/>
      <c r="L385" s="29"/>
      <c r="M385" s="29"/>
      <c r="N385" s="29"/>
      <c r="O385" s="29"/>
      <c r="P385" s="29"/>
      <c r="Q385" s="29"/>
      <c r="R385" s="29"/>
      <c r="S385" s="29"/>
      <c r="T385" s="29"/>
      <c r="U385" s="29"/>
      <c r="V385" s="29"/>
      <c r="W385" s="29" t="s">
        <v>67</v>
      </c>
      <c r="X385" s="29"/>
      <c r="Y385" s="29"/>
      <c r="Z385" s="29"/>
      <c r="AA385" s="29"/>
      <c r="AB385" s="29" t="s">
        <v>1752</v>
      </c>
      <c r="AC385" s="136">
        <v>44037</v>
      </c>
      <c r="AD385" s="29" t="s">
        <v>1288</v>
      </c>
      <c r="AE385" s="34" t="e">
        <f>VLOOKUP(F385,Stakeholders!E:K,7,0)</f>
        <v>#N/A</v>
      </c>
      <c r="AF385" s="29"/>
      <c r="AG385" s="29"/>
      <c r="AH385" s="34" t="s">
        <v>82</v>
      </c>
      <c r="AI385" s="29"/>
      <c r="AJ385" s="29"/>
      <c r="AK385" s="29"/>
      <c r="AL385" s="29"/>
      <c r="AM385" s="29"/>
      <c r="AN385" s="29"/>
      <c r="AO385" s="29"/>
      <c r="AP385" s="29"/>
      <c r="AQ385" s="29"/>
      <c r="AR385" s="29"/>
      <c r="AS385" s="29"/>
      <c r="AT385" s="29"/>
      <c r="AU385" s="29"/>
      <c r="AV385" s="29"/>
      <c r="AW385" s="29"/>
    </row>
    <row r="386" spans="1:49" ht="14">
      <c r="A386" s="132">
        <v>2017</v>
      </c>
      <c r="B386" s="140" t="s">
        <v>80</v>
      </c>
      <c r="C386" s="14" t="s">
        <v>2244</v>
      </c>
      <c r="D386" s="14" t="s">
        <v>2244</v>
      </c>
      <c r="E386" s="14" t="e">
        <v>#N/A</v>
      </c>
      <c r="F386" s="14"/>
      <c r="G386" s="14">
        <f>COUNTIF(Stakeholders!$E$2:$E960,F386)</f>
        <v>0</v>
      </c>
      <c r="H386" s="14" t="s">
        <v>2255</v>
      </c>
      <c r="I386" s="152" t="s">
        <v>2256</v>
      </c>
      <c r="J386" s="14" t="s">
        <v>67</v>
      </c>
      <c r="K386" s="14"/>
      <c r="L386" s="14"/>
      <c r="M386" s="14"/>
      <c r="N386" s="14"/>
      <c r="O386" s="14"/>
      <c r="P386" s="14"/>
      <c r="Q386" s="14"/>
      <c r="R386" s="14"/>
      <c r="S386" s="14"/>
      <c r="T386" s="14"/>
      <c r="U386" s="14"/>
      <c r="V386" s="14"/>
      <c r="W386" s="14" t="s">
        <v>67</v>
      </c>
      <c r="X386" s="14"/>
      <c r="Y386" s="14"/>
      <c r="Z386" s="14"/>
      <c r="AA386" s="14"/>
      <c r="AB386" s="14" t="s">
        <v>1752</v>
      </c>
      <c r="AC386" s="135">
        <v>44038</v>
      </c>
      <c r="AD386" s="14" t="s">
        <v>985</v>
      </c>
      <c r="AE386" s="24" t="e">
        <f>VLOOKUP(F386,Stakeholders!E:K,7,0)</f>
        <v>#N/A</v>
      </c>
      <c r="AF386" s="14"/>
      <c r="AG386" s="14"/>
      <c r="AH386" s="24" t="s">
        <v>82</v>
      </c>
      <c r="AI386" s="14"/>
      <c r="AJ386" s="14"/>
      <c r="AK386" s="14"/>
      <c r="AL386" s="14"/>
      <c r="AM386" s="14"/>
      <c r="AN386" s="14"/>
      <c r="AO386" s="14"/>
      <c r="AP386" s="14"/>
      <c r="AQ386" s="14"/>
      <c r="AR386" s="14"/>
      <c r="AS386" s="14"/>
      <c r="AT386" s="14"/>
      <c r="AU386" s="14"/>
      <c r="AV386" s="14"/>
      <c r="AW386" s="14"/>
    </row>
    <row r="387" spans="1:49" ht="14">
      <c r="A387" s="133">
        <v>2017</v>
      </c>
      <c r="B387" s="143" t="s">
        <v>80</v>
      </c>
      <c r="C387" s="29" t="s">
        <v>2244</v>
      </c>
      <c r="D387" s="29" t="s">
        <v>2244</v>
      </c>
      <c r="E387" s="29" t="e">
        <v>#N/A</v>
      </c>
      <c r="F387" s="29"/>
      <c r="G387" s="29">
        <f>COUNTIF(Stakeholders!$E$2:$E960,F387)</f>
        <v>0</v>
      </c>
      <c r="H387" s="29" t="s">
        <v>2257</v>
      </c>
      <c r="I387" s="151" t="s">
        <v>2258</v>
      </c>
      <c r="J387" s="29" t="s">
        <v>67</v>
      </c>
      <c r="K387" s="29"/>
      <c r="L387" s="29"/>
      <c r="M387" s="29"/>
      <c r="N387" s="29"/>
      <c r="O387" s="29"/>
      <c r="P387" s="29"/>
      <c r="Q387" s="29"/>
      <c r="R387" s="29"/>
      <c r="S387" s="29"/>
      <c r="T387" s="29"/>
      <c r="U387" s="29"/>
      <c r="V387" s="29"/>
      <c r="W387" s="29" t="s">
        <v>67</v>
      </c>
      <c r="X387" s="29"/>
      <c r="Y387" s="29"/>
      <c r="Z387" s="29"/>
      <c r="AA387" s="29"/>
      <c r="AB387" s="29" t="s">
        <v>1752</v>
      </c>
      <c r="AC387" s="136">
        <v>44039</v>
      </c>
      <c r="AD387" s="29" t="s">
        <v>1289</v>
      </c>
      <c r="AE387" s="34" t="e">
        <f>VLOOKUP(F387,Stakeholders!E:K,7,0)</f>
        <v>#N/A</v>
      </c>
      <c r="AF387" s="29"/>
      <c r="AG387" s="29"/>
      <c r="AH387" s="34" t="s">
        <v>82</v>
      </c>
      <c r="AI387" s="29"/>
      <c r="AJ387" s="29"/>
      <c r="AK387" s="29"/>
      <c r="AL387" s="29"/>
      <c r="AM387" s="29"/>
      <c r="AN387" s="29"/>
      <c r="AO387" s="29"/>
      <c r="AP387" s="29"/>
      <c r="AQ387" s="29"/>
      <c r="AR387" s="29"/>
      <c r="AS387" s="29"/>
      <c r="AT387" s="29"/>
      <c r="AU387" s="29"/>
      <c r="AV387" s="29"/>
      <c r="AW387" s="29"/>
    </row>
    <row r="388" spans="1:49" ht="14">
      <c r="A388" s="132">
        <v>2011</v>
      </c>
      <c r="B388" s="140" t="s">
        <v>80</v>
      </c>
      <c r="C388" s="14" t="s">
        <v>2259</v>
      </c>
      <c r="D388" s="14" t="s">
        <v>2259</v>
      </c>
      <c r="E388" s="14" t="e">
        <v>#N/A</v>
      </c>
      <c r="F388" s="14"/>
      <c r="G388" s="14">
        <f>COUNTIF(Stakeholders!$E$2:$E960,F388)</f>
        <v>0</v>
      </c>
      <c r="H388" s="14" t="s">
        <v>2260</v>
      </c>
      <c r="I388" s="152" t="s">
        <v>2261</v>
      </c>
      <c r="J388" s="14" t="s">
        <v>67</v>
      </c>
      <c r="K388" s="14"/>
      <c r="L388" s="14"/>
      <c r="M388" s="14"/>
      <c r="N388" s="14"/>
      <c r="O388" s="14"/>
      <c r="P388" s="14"/>
      <c r="Q388" s="14"/>
      <c r="R388" s="14"/>
      <c r="S388" s="14"/>
      <c r="T388" s="14"/>
      <c r="U388" s="14"/>
      <c r="V388" s="14"/>
      <c r="W388" s="14" t="s">
        <v>67</v>
      </c>
      <c r="X388" s="14"/>
      <c r="Y388" s="14"/>
      <c r="Z388" s="14"/>
      <c r="AA388" s="14"/>
      <c r="AB388" s="14" t="s">
        <v>1752</v>
      </c>
      <c r="AC388" s="135">
        <v>44040</v>
      </c>
      <c r="AD388" s="14" t="s">
        <v>1291</v>
      </c>
      <c r="AE388" s="24" t="e">
        <f>VLOOKUP(F388,Stakeholders!E:K,7,0)</f>
        <v>#N/A</v>
      </c>
      <c r="AF388" s="14"/>
      <c r="AG388" s="14"/>
      <c r="AH388" s="24" t="s">
        <v>82</v>
      </c>
      <c r="AI388" s="14"/>
      <c r="AJ388" s="14"/>
      <c r="AK388" s="14"/>
      <c r="AL388" s="14"/>
      <c r="AM388" s="14"/>
      <c r="AN388" s="14"/>
      <c r="AO388" s="14"/>
      <c r="AP388" s="14"/>
      <c r="AQ388" s="14"/>
      <c r="AR388" s="14"/>
      <c r="AS388" s="14"/>
      <c r="AT388" s="14"/>
      <c r="AU388" s="14"/>
      <c r="AV388" s="14"/>
      <c r="AW388" s="14"/>
    </row>
    <row r="389" spans="1:49" ht="14">
      <c r="A389" s="133">
        <v>2015</v>
      </c>
      <c r="B389" s="143" t="s">
        <v>80</v>
      </c>
      <c r="C389" s="29" t="s">
        <v>2259</v>
      </c>
      <c r="D389" s="29" t="s">
        <v>2259</v>
      </c>
      <c r="E389" s="29" t="e">
        <v>#N/A</v>
      </c>
      <c r="F389" s="29"/>
      <c r="G389" s="29">
        <f>COUNTIF(Stakeholders!$E$2:$E960,F389)</f>
        <v>0</v>
      </c>
      <c r="H389" s="29" t="s">
        <v>2262</v>
      </c>
      <c r="I389" s="151" t="s">
        <v>2263</v>
      </c>
      <c r="J389" s="29" t="s">
        <v>67</v>
      </c>
      <c r="K389" s="29"/>
      <c r="L389" s="29"/>
      <c r="M389" s="29"/>
      <c r="N389" s="29"/>
      <c r="O389" s="29"/>
      <c r="P389" s="29"/>
      <c r="Q389" s="29"/>
      <c r="R389" s="29"/>
      <c r="S389" s="29"/>
      <c r="T389" s="29"/>
      <c r="U389" s="29"/>
      <c r="V389" s="29"/>
      <c r="W389" s="29" t="s">
        <v>67</v>
      </c>
      <c r="X389" s="29"/>
      <c r="Y389" s="29"/>
      <c r="Z389" s="29"/>
      <c r="AA389" s="29"/>
      <c r="AB389" s="29" t="s">
        <v>1752</v>
      </c>
      <c r="AC389" s="136">
        <v>44041</v>
      </c>
      <c r="AD389" s="29" t="s">
        <v>1293</v>
      </c>
      <c r="AE389" s="34" t="e">
        <f>VLOOKUP(F389,Stakeholders!E:K,7,0)</f>
        <v>#N/A</v>
      </c>
      <c r="AF389" s="29"/>
      <c r="AG389" s="29"/>
      <c r="AH389" s="34" t="s">
        <v>82</v>
      </c>
      <c r="AI389" s="29"/>
      <c r="AJ389" s="29"/>
      <c r="AK389" s="29"/>
      <c r="AL389" s="29"/>
      <c r="AM389" s="29"/>
      <c r="AN389" s="29"/>
      <c r="AO389" s="29"/>
      <c r="AP389" s="29"/>
      <c r="AQ389" s="29"/>
      <c r="AR389" s="29"/>
      <c r="AS389" s="29"/>
      <c r="AT389" s="29"/>
      <c r="AU389" s="29"/>
      <c r="AV389" s="29"/>
      <c r="AW389" s="29"/>
    </row>
    <row r="390" spans="1:49" ht="14">
      <c r="A390" s="132">
        <v>2013</v>
      </c>
      <c r="B390" s="140" t="s">
        <v>80</v>
      </c>
      <c r="C390" s="14" t="s">
        <v>2264</v>
      </c>
      <c r="D390" s="14" t="s">
        <v>2265</v>
      </c>
      <c r="E390" s="14" t="e">
        <v>#N/A</v>
      </c>
      <c r="F390" s="14"/>
      <c r="G390" s="14">
        <f>COUNTIF(Stakeholders!$E$2:$E960,F390)</f>
        <v>0</v>
      </c>
      <c r="H390" s="14" t="s">
        <v>2266</v>
      </c>
      <c r="I390" s="152" t="s">
        <v>2267</v>
      </c>
      <c r="J390" s="14" t="s">
        <v>67</v>
      </c>
      <c r="K390" s="14"/>
      <c r="L390" s="14"/>
      <c r="M390" s="14"/>
      <c r="N390" s="14"/>
      <c r="O390" s="14"/>
      <c r="P390" s="14"/>
      <c r="Q390" s="14"/>
      <c r="R390" s="14"/>
      <c r="S390" s="14"/>
      <c r="T390" s="14"/>
      <c r="U390" s="14"/>
      <c r="V390" s="14"/>
      <c r="W390" s="14" t="s">
        <v>67</v>
      </c>
      <c r="X390" s="14"/>
      <c r="Y390" s="14"/>
      <c r="Z390" s="14"/>
      <c r="AA390" s="14"/>
      <c r="AB390" s="14" t="s">
        <v>1752</v>
      </c>
      <c r="AC390" s="135">
        <v>44042</v>
      </c>
      <c r="AD390" s="14" t="s">
        <v>755</v>
      </c>
      <c r="AE390" s="24" t="e">
        <f>VLOOKUP(F390,Stakeholders!E:K,7,0)</f>
        <v>#N/A</v>
      </c>
      <c r="AF390" s="14"/>
      <c r="AG390" s="14"/>
      <c r="AH390" s="24" t="s">
        <v>82</v>
      </c>
      <c r="AI390" s="14"/>
      <c r="AJ390" s="14"/>
      <c r="AK390" s="14"/>
      <c r="AL390" s="14"/>
      <c r="AM390" s="14"/>
      <c r="AN390" s="14"/>
      <c r="AO390" s="14"/>
      <c r="AP390" s="14"/>
      <c r="AQ390" s="14"/>
      <c r="AR390" s="14"/>
      <c r="AS390" s="14"/>
      <c r="AT390" s="14"/>
      <c r="AU390" s="14"/>
      <c r="AV390" s="14"/>
      <c r="AW390" s="14"/>
    </row>
    <row r="391" spans="1:49" ht="14">
      <c r="A391" s="133">
        <v>2015</v>
      </c>
      <c r="B391" s="143" t="s">
        <v>80</v>
      </c>
      <c r="C391" s="29" t="s">
        <v>607</v>
      </c>
      <c r="D391" s="29" t="s">
        <v>1846</v>
      </c>
      <c r="E391" s="29" t="e">
        <v>#N/A</v>
      </c>
      <c r="F391" s="29"/>
      <c r="G391" s="29">
        <f>COUNTIF(Stakeholders!$E$2:$E960,F391)</f>
        <v>0</v>
      </c>
      <c r="H391" s="29" t="s">
        <v>2268</v>
      </c>
      <c r="I391" s="151" t="s">
        <v>2269</v>
      </c>
      <c r="J391" s="29" t="s">
        <v>67</v>
      </c>
      <c r="K391" s="29"/>
      <c r="L391" s="29"/>
      <c r="M391" s="29"/>
      <c r="N391" s="29"/>
      <c r="O391" s="29"/>
      <c r="P391" s="29"/>
      <c r="Q391" s="29"/>
      <c r="R391" s="29"/>
      <c r="S391" s="29"/>
      <c r="T391" s="29"/>
      <c r="U391" s="29"/>
      <c r="V391" s="29"/>
      <c r="W391" s="29" t="s">
        <v>67</v>
      </c>
      <c r="X391" s="29"/>
      <c r="Y391" s="29"/>
      <c r="Z391" s="29"/>
      <c r="AA391" s="29"/>
      <c r="AB391" s="29" t="s">
        <v>1752</v>
      </c>
      <c r="AC391" s="136">
        <v>44043</v>
      </c>
      <c r="AD391" s="29" t="s">
        <v>756</v>
      </c>
      <c r="AE391" s="34" t="e">
        <f>VLOOKUP(F391,Stakeholders!E:K,7,0)</f>
        <v>#N/A</v>
      </c>
      <c r="AF391" s="29"/>
      <c r="AG391" s="29"/>
      <c r="AH391" s="34" t="s">
        <v>82</v>
      </c>
      <c r="AI391" s="29"/>
      <c r="AJ391" s="29"/>
      <c r="AK391" s="29"/>
      <c r="AL391" s="29"/>
      <c r="AM391" s="29"/>
      <c r="AN391" s="29"/>
      <c r="AO391" s="29"/>
      <c r="AP391" s="29"/>
      <c r="AQ391" s="29"/>
      <c r="AR391" s="29"/>
      <c r="AS391" s="29"/>
      <c r="AT391" s="29"/>
      <c r="AU391" s="29"/>
      <c r="AV391" s="29"/>
      <c r="AW391" s="29"/>
    </row>
    <row r="392" spans="1:49" ht="14">
      <c r="A392" s="132">
        <v>2012</v>
      </c>
      <c r="B392" s="140" t="s">
        <v>80</v>
      </c>
      <c r="C392" s="14" t="s">
        <v>2270</v>
      </c>
      <c r="D392" s="14" t="s">
        <v>2270</v>
      </c>
      <c r="E392" s="14" t="e">
        <v>#N/A</v>
      </c>
      <c r="F392" s="14"/>
      <c r="G392" s="14">
        <f>COUNTIF(Stakeholders!$E$2:$E960,F392)</f>
        <v>0</v>
      </c>
      <c r="H392" s="14" t="s">
        <v>2271</v>
      </c>
      <c r="I392" s="152" t="s">
        <v>2272</v>
      </c>
      <c r="J392" s="14" t="s">
        <v>67</v>
      </c>
      <c r="K392" s="14"/>
      <c r="L392" s="14"/>
      <c r="M392" s="14"/>
      <c r="N392" s="14"/>
      <c r="O392" s="14"/>
      <c r="P392" s="14"/>
      <c r="Q392" s="14"/>
      <c r="R392" s="14"/>
      <c r="S392" s="14"/>
      <c r="T392" s="14"/>
      <c r="U392" s="14"/>
      <c r="V392" s="14"/>
      <c r="W392" s="14" t="s">
        <v>67</v>
      </c>
      <c r="X392" s="14"/>
      <c r="Y392" s="14"/>
      <c r="Z392" s="14"/>
      <c r="AA392" s="14"/>
      <c r="AB392" s="14" t="s">
        <v>1752</v>
      </c>
      <c r="AC392" s="135">
        <v>44044</v>
      </c>
      <c r="AD392" s="14" t="s">
        <v>1294</v>
      </c>
      <c r="AE392" s="24" t="e">
        <f>VLOOKUP(F392,Stakeholders!E:K,7,0)</f>
        <v>#N/A</v>
      </c>
      <c r="AF392" s="14"/>
      <c r="AG392" s="14"/>
      <c r="AH392" s="24" t="s">
        <v>82</v>
      </c>
      <c r="AI392" s="14"/>
      <c r="AJ392" s="14"/>
      <c r="AK392" s="14"/>
      <c r="AL392" s="14"/>
      <c r="AM392" s="14"/>
      <c r="AN392" s="14"/>
      <c r="AO392" s="14"/>
      <c r="AP392" s="14"/>
      <c r="AQ392" s="14"/>
      <c r="AR392" s="14"/>
      <c r="AS392" s="14"/>
      <c r="AT392" s="14"/>
      <c r="AU392" s="14"/>
      <c r="AV392" s="14"/>
      <c r="AW392" s="14"/>
    </row>
    <row r="393" spans="1:49" ht="14">
      <c r="A393" s="133">
        <v>2011</v>
      </c>
      <c r="B393" s="143" t="s">
        <v>80</v>
      </c>
      <c r="C393" s="29" t="s">
        <v>2273</v>
      </c>
      <c r="D393" s="29" t="s">
        <v>2273</v>
      </c>
      <c r="E393" s="29" t="e">
        <v>#N/A</v>
      </c>
      <c r="F393" s="29"/>
      <c r="G393" s="29">
        <f>COUNTIF(Stakeholders!$E$2:$E960,F393)</f>
        <v>0</v>
      </c>
      <c r="H393" s="29" t="s">
        <v>2274</v>
      </c>
      <c r="I393" s="151" t="s">
        <v>2275</v>
      </c>
      <c r="J393" s="29" t="s">
        <v>67</v>
      </c>
      <c r="K393" s="29"/>
      <c r="L393" s="29"/>
      <c r="M393" s="29"/>
      <c r="N393" s="29"/>
      <c r="O393" s="29"/>
      <c r="P393" s="29"/>
      <c r="Q393" s="29"/>
      <c r="R393" s="29"/>
      <c r="S393" s="29"/>
      <c r="T393" s="29"/>
      <c r="U393" s="29"/>
      <c r="V393" s="29"/>
      <c r="W393" s="29" t="s">
        <v>67</v>
      </c>
      <c r="X393" s="29"/>
      <c r="Y393" s="29"/>
      <c r="Z393" s="29"/>
      <c r="AA393" s="29"/>
      <c r="AB393" s="29" t="s">
        <v>1752</v>
      </c>
      <c r="AC393" s="136">
        <v>44045</v>
      </c>
      <c r="AD393" s="29" t="s">
        <v>757</v>
      </c>
      <c r="AE393" s="34" t="e">
        <f>VLOOKUP(F393,Stakeholders!E:K,7,0)</f>
        <v>#N/A</v>
      </c>
      <c r="AF393" s="29"/>
      <c r="AG393" s="29"/>
      <c r="AH393" s="34" t="s">
        <v>82</v>
      </c>
      <c r="AI393" s="29"/>
      <c r="AJ393" s="29"/>
      <c r="AK393" s="29"/>
      <c r="AL393" s="29"/>
      <c r="AM393" s="29"/>
      <c r="AN393" s="29"/>
      <c r="AO393" s="29"/>
      <c r="AP393" s="29"/>
      <c r="AQ393" s="29"/>
      <c r="AR393" s="29"/>
      <c r="AS393" s="29"/>
      <c r="AT393" s="29"/>
      <c r="AU393" s="29"/>
      <c r="AV393" s="29"/>
      <c r="AW393" s="29"/>
    </row>
    <row r="394" spans="1:49" ht="14">
      <c r="A394" s="132">
        <v>2014</v>
      </c>
      <c r="B394" s="140" t="s">
        <v>80</v>
      </c>
      <c r="C394" s="14" t="s">
        <v>2273</v>
      </c>
      <c r="D394" s="14" t="s">
        <v>2276</v>
      </c>
      <c r="E394" s="14" t="e">
        <v>#N/A</v>
      </c>
      <c r="F394" s="14"/>
      <c r="G394" s="14">
        <f>COUNTIF(Stakeholders!$E$2:$E960,F394)</f>
        <v>0</v>
      </c>
      <c r="H394" s="14" t="s">
        <v>2277</v>
      </c>
      <c r="I394" s="152" t="s">
        <v>2278</v>
      </c>
      <c r="J394" s="14" t="s">
        <v>67</v>
      </c>
      <c r="K394" s="14"/>
      <c r="L394" s="14"/>
      <c r="M394" s="14"/>
      <c r="N394" s="14"/>
      <c r="O394" s="14"/>
      <c r="P394" s="14"/>
      <c r="Q394" s="14"/>
      <c r="R394" s="14"/>
      <c r="S394" s="14"/>
      <c r="T394" s="14"/>
      <c r="U394" s="14"/>
      <c r="V394" s="14"/>
      <c r="W394" s="14" t="s">
        <v>67</v>
      </c>
      <c r="X394" s="14"/>
      <c r="Y394" s="14"/>
      <c r="Z394" s="14"/>
      <c r="AA394" s="14"/>
      <c r="AB394" s="14" t="s">
        <v>1752</v>
      </c>
      <c r="AC394" s="135">
        <v>44046</v>
      </c>
      <c r="AD394" s="14" t="s">
        <v>1296</v>
      </c>
      <c r="AE394" s="24" t="e">
        <f>VLOOKUP(F394,Stakeholders!E:K,7,0)</f>
        <v>#N/A</v>
      </c>
      <c r="AF394" s="14"/>
      <c r="AG394" s="14"/>
      <c r="AH394" s="24" t="s">
        <v>82</v>
      </c>
      <c r="AI394" s="14"/>
      <c r="AJ394" s="14"/>
      <c r="AK394" s="14"/>
      <c r="AL394" s="14"/>
      <c r="AM394" s="14"/>
      <c r="AN394" s="14"/>
      <c r="AO394" s="14"/>
      <c r="AP394" s="14"/>
      <c r="AQ394" s="14"/>
      <c r="AR394" s="14"/>
      <c r="AS394" s="14"/>
      <c r="AT394" s="14"/>
      <c r="AU394" s="14"/>
      <c r="AV394" s="14"/>
      <c r="AW394" s="14"/>
    </row>
    <row r="395" spans="1:49" ht="14">
      <c r="A395" s="133">
        <v>2016</v>
      </c>
      <c r="B395" s="143" t="s">
        <v>80</v>
      </c>
      <c r="C395" s="29" t="s">
        <v>2279</v>
      </c>
      <c r="D395" s="29" t="s">
        <v>2273</v>
      </c>
      <c r="E395" s="29" t="e">
        <v>#N/A</v>
      </c>
      <c r="F395" s="29"/>
      <c r="G395" s="29">
        <f>COUNTIF(Stakeholders!$E$2:$E960,F395)</f>
        <v>0</v>
      </c>
      <c r="H395" s="29" t="s">
        <v>2280</v>
      </c>
      <c r="I395" s="151" t="s">
        <v>2281</v>
      </c>
      <c r="J395" s="29" t="s">
        <v>67</v>
      </c>
      <c r="K395" s="29"/>
      <c r="L395" s="29"/>
      <c r="M395" s="29"/>
      <c r="N395" s="29"/>
      <c r="O395" s="29"/>
      <c r="P395" s="29"/>
      <c r="Q395" s="29"/>
      <c r="R395" s="29"/>
      <c r="S395" s="29"/>
      <c r="T395" s="29"/>
      <c r="U395" s="29"/>
      <c r="V395" s="29"/>
      <c r="W395" s="29" t="s">
        <v>67</v>
      </c>
      <c r="X395" s="29"/>
      <c r="Y395" s="29"/>
      <c r="Z395" s="29"/>
      <c r="AA395" s="29"/>
      <c r="AB395" s="29" t="s">
        <v>1752</v>
      </c>
      <c r="AC395" s="136">
        <v>44047</v>
      </c>
      <c r="AD395" s="29" t="s">
        <v>1297</v>
      </c>
      <c r="AE395" s="34" t="e">
        <f>VLOOKUP(F395,Stakeholders!E:K,7,0)</f>
        <v>#N/A</v>
      </c>
      <c r="AF395" s="29"/>
      <c r="AG395" s="29"/>
      <c r="AH395" s="34" t="s">
        <v>82</v>
      </c>
      <c r="AI395" s="29"/>
      <c r="AJ395" s="29"/>
      <c r="AK395" s="29"/>
      <c r="AL395" s="29"/>
      <c r="AM395" s="29"/>
      <c r="AN395" s="29"/>
      <c r="AO395" s="29"/>
      <c r="AP395" s="29"/>
      <c r="AQ395" s="29"/>
      <c r="AR395" s="29"/>
      <c r="AS395" s="29"/>
      <c r="AT395" s="29"/>
      <c r="AU395" s="29"/>
      <c r="AV395" s="29"/>
      <c r="AW395" s="29"/>
    </row>
    <row r="396" spans="1:49" ht="14">
      <c r="A396" s="132">
        <v>2017</v>
      </c>
      <c r="B396" s="140" t="s">
        <v>80</v>
      </c>
      <c r="C396" s="14" t="s">
        <v>2273</v>
      </c>
      <c r="D396" s="14" t="s">
        <v>1846</v>
      </c>
      <c r="E396" s="14" t="e">
        <v>#N/A</v>
      </c>
      <c r="F396" s="14"/>
      <c r="G396" s="14">
        <f>COUNTIF(Stakeholders!$E$2:$E960,F396)</f>
        <v>0</v>
      </c>
      <c r="H396" s="14" t="s">
        <v>2282</v>
      </c>
      <c r="I396" s="152" t="s">
        <v>2283</v>
      </c>
      <c r="J396" s="14" t="s">
        <v>67</v>
      </c>
      <c r="K396" s="14"/>
      <c r="L396" s="14"/>
      <c r="M396" s="14"/>
      <c r="N396" s="14"/>
      <c r="O396" s="14"/>
      <c r="P396" s="14"/>
      <c r="Q396" s="14"/>
      <c r="R396" s="14"/>
      <c r="S396" s="14"/>
      <c r="T396" s="14"/>
      <c r="U396" s="14"/>
      <c r="V396" s="14"/>
      <c r="W396" s="14" t="s">
        <v>67</v>
      </c>
      <c r="X396" s="14"/>
      <c r="Y396" s="14"/>
      <c r="Z396" s="14"/>
      <c r="AA396" s="14"/>
      <c r="AB396" s="14" t="s">
        <v>1752</v>
      </c>
      <c r="AC396" s="135">
        <v>44048</v>
      </c>
      <c r="AD396" s="14" t="s">
        <v>729</v>
      </c>
      <c r="AE396" s="24" t="e">
        <f>VLOOKUP(F396,Stakeholders!E:K,7,0)</f>
        <v>#N/A</v>
      </c>
      <c r="AF396" s="14"/>
      <c r="AG396" s="14"/>
      <c r="AH396" s="24" t="s">
        <v>82</v>
      </c>
      <c r="AI396" s="14"/>
      <c r="AJ396" s="14"/>
      <c r="AK396" s="14"/>
      <c r="AL396" s="14"/>
      <c r="AM396" s="14"/>
      <c r="AN396" s="14"/>
      <c r="AO396" s="14"/>
      <c r="AP396" s="14"/>
      <c r="AQ396" s="14"/>
      <c r="AR396" s="14"/>
      <c r="AS396" s="14"/>
      <c r="AT396" s="14"/>
      <c r="AU396" s="14"/>
      <c r="AV396" s="14"/>
      <c r="AW396" s="14"/>
    </row>
    <row r="397" spans="1:49" ht="14">
      <c r="A397" s="133">
        <v>2007</v>
      </c>
      <c r="B397" s="143" t="s">
        <v>80</v>
      </c>
      <c r="C397" s="29" t="s">
        <v>2284</v>
      </c>
      <c r="D397" s="29" t="s">
        <v>2284</v>
      </c>
      <c r="E397" s="29" t="e">
        <v>#N/A</v>
      </c>
      <c r="F397" s="29"/>
      <c r="G397" s="29">
        <f>COUNTIF(Stakeholders!$E$2:$E960,F397)</f>
        <v>0</v>
      </c>
      <c r="H397" s="29" t="s">
        <v>2285</v>
      </c>
      <c r="I397" s="151" t="s">
        <v>2286</v>
      </c>
      <c r="J397" s="29" t="s">
        <v>67</v>
      </c>
      <c r="K397" s="29"/>
      <c r="L397" s="29"/>
      <c r="M397" s="29"/>
      <c r="N397" s="29"/>
      <c r="O397" s="29"/>
      <c r="P397" s="29"/>
      <c r="Q397" s="29"/>
      <c r="R397" s="29"/>
      <c r="S397" s="29"/>
      <c r="T397" s="29"/>
      <c r="U397" s="29"/>
      <c r="V397" s="29"/>
      <c r="W397" s="29" t="s">
        <v>67</v>
      </c>
      <c r="X397" s="29"/>
      <c r="Y397" s="29"/>
      <c r="Z397" s="29"/>
      <c r="AA397" s="29"/>
      <c r="AB397" s="29" t="s">
        <v>1752</v>
      </c>
      <c r="AC397" s="136">
        <v>44049</v>
      </c>
      <c r="AD397" s="29" t="s">
        <v>1299</v>
      </c>
      <c r="AE397" s="34" t="e">
        <f>VLOOKUP(F397,Stakeholders!E:K,7,0)</f>
        <v>#N/A</v>
      </c>
      <c r="AF397" s="29"/>
      <c r="AG397" s="29"/>
      <c r="AH397" s="34" t="s">
        <v>82</v>
      </c>
      <c r="AI397" s="29"/>
      <c r="AJ397" s="29"/>
      <c r="AK397" s="29"/>
      <c r="AL397" s="29"/>
      <c r="AM397" s="29"/>
      <c r="AN397" s="29"/>
      <c r="AO397" s="29"/>
      <c r="AP397" s="29"/>
      <c r="AQ397" s="29"/>
      <c r="AR397" s="29"/>
      <c r="AS397" s="29"/>
      <c r="AT397" s="29"/>
      <c r="AU397" s="29"/>
      <c r="AV397" s="29"/>
      <c r="AW397" s="29"/>
    </row>
    <row r="398" spans="1:49" ht="14">
      <c r="A398" s="132">
        <v>2010</v>
      </c>
      <c r="B398" s="140" t="s">
        <v>80</v>
      </c>
      <c r="C398" s="14" t="s">
        <v>2287</v>
      </c>
      <c r="D398" s="14" t="s">
        <v>2287</v>
      </c>
      <c r="E398" s="14" t="e">
        <v>#N/A</v>
      </c>
      <c r="F398" s="14"/>
      <c r="G398" s="14">
        <f>COUNTIF(Stakeholders!$E$2:$E960,F398)</f>
        <v>0</v>
      </c>
      <c r="H398" s="14" t="s">
        <v>2288</v>
      </c>
      <c r="I398" s="152" t="s">
        <v>2289</v>
      </c>
      <c r="J398" s="14" t="s">
        <v>67</v>
      </c>
      <c r="K398" s="14"/>
      <c r="L398" s="14"/>
      <c r="M398" s="14"/>
      <c r="N398" s="14"/>
      <c r="O398" s="14"/>
      <c r="P398" s="14"/>
      <c r="Q398" s="14"/>
      <c r="R398" s="14"/>
      <c r="S398" s="14"/>
      <c r="T398" s="14"/>
      <c r="U398" s="14"/>
      <c r="V398" s="14"/>
      <c r="W398" s="14" t="s">
        <v>67</v>
      </c>
      <c r="X398" s="14"/>
      <c r="Y398" s="14"/>
      <c r="Z398" s="14"/>
      <c r="AA398" s="14"/>
      <c r="AB398" s="14" t="s">
        <v>1752</v>
      </c>
      <c r="AC398" s="135">
        <v>44050</v>
      </c>
      <c r="AD398" s="14" t="s">
        <v>1018</v>
      </c>
      <c r="AE398" s="24" t="e">
        <f>VLOOKUP(F398,Stakeholders!E:K,7,0)</f>
        <v>#N/A</v>
      </c>
      <c r="AF398" s="14"/>
      <c r="AG398" s="14"/>
      <c r="AH398" s="24" t="s">
        <v>82</v>
      </c>
      <c r="AI398" s="14"/>
      <c r="AJ398" s="14"/>
      <c r="AK398" s="14"/>
      <c r="AL398" s="14"/>
      <c r="AM398" s="14"/>
      <c r="AN398" s="14"/>
      <c r="AO398" s="14"/>
      <c r="AP398" s="14"/>
      <c r="AQ398" s="14"/>
      <c r="AR398" s="14"/>
      <c r="AS398" s="14"/>
      <c r="AT398" s="14"/>
      <c r="AU398" s="14"/>
      <c r="AV398" s="14"/>
      <c r="AW398" s="14"/>
    </row>
    <row r="399" spans="1:49" ht="14">
      <c r="A399" s="133">
        <v>2010</v>
      </c>
      <c r="B399" s="143" t="s">
        <v>80</v>
      </c>
      <c r="C399" s="29" t="s">
        <v>2290</v>
      </c>
      <c r="D399" s="29" t="s">
        <v>2290</v>
      </c>
      <c r="E399" s="29" t="e">
        <v>#N/A</v>
      </c>
      <c r="F399" s="29"/>
      <c r="G399" s="29">
        <f>COUNTIF(Stakeholders!$E$2:$E960,F399)</f>
        <v>0</v>
      </c>
      <c r="H399" s="29" t="s">
        <v>2291</v>
      </c>
      <c r="I399" s="151" t="s">
        <v>2292</v>
      </c>
      <c r="J399" s="29" t="s">
        <v>67</v>
      </c>
      <c r="K399" s="29"/>
      <c r="L399" s="29"/>
      <c r="M399" s="29"/>
      <c r="N399" s="29"/>
      <c r="O399" s="29"/>
      <c r="P399" s="29"/>
      <c r="Q399" s="29"/>
      <c r="R399" s="29"/>
      <c r="S399" s="29"/>
      <c r="T399" s="29"/>
      <c r="U399" s="29"/>
      <c r="V399" s="29"/>
      <c r="W399" s="29" t="s">
        <v>67</v>
      </c>
      <c r="X399" s="29"/>
      <c r="Y399" s="29"/>
      <c r="Z399" s="29"/>
      <c r="AA399" s="29"/>
      <c r="AB399" s="29" t="s">
        <v>1752</v>
      </c>
      <c r="AC399" s="136">
        <v>44051</v>
      </c>
      <c r="AD399" s="29" t="s">
        <v>758</v>
      </c>
      <c r="AE399" s="34" t="e">
        <f>VLOOKUP(F399,Stakeholders!E:K,7,0)</f>
        <v>#N/A</v>
      </c>
      <c r="AF399" s="29"/>
      <c r="AG399" s="29"/>
      <c r="AH399" s="34" t="s">
        <v>82</v>
      </c>
      <c r="AI399" s="29"/>
      <c r="AJ399" s="29"/>
      <c r="AK399" s="29"/>
      <c r="AL399" s="29"/>
      <c r="AM399" s="29"/>
      <c r="AN399" s="29"/>
      <c r="AO399" s="29"/>
      <c r="AP399" s="29"/>
      <c r="AQ399" s="29"/>
      <c r="AR399" s="29"/>
      <c r="AS399" s="29"/>
      <c r="AT399" s="29"/>
      <c r="AU399" s="29"/>
      <c r="AV399" s="29"/>
      <c r="AW399" s="29"/>
    </row>
    <row r="400" spans="1:49" ht="14">
      <c r="A400" s="132">
        <v>2010</v>
      </c>
      <c r="B400" s="140" t="s">
        <v>80</v>
      </c>
      <c r="C400" s="14" t="s">
        <v>2293</v>
      </c>
      <c r="D400" s="14" t="s">
        <v>2293</v>
      </c>
      <c r="E400" s="14" t="e">
        <v>#N/A</v>
      </c>
      <c r="F400" s="14"/>
      <c r="G400" s="14">
        <f>COUNTIF(Stakeholders!$E$2:$E960,F400)</f>
        <v>0</v>
      </c>
      <c r="H400" s="14" t="s">
        <v>2294</v>
      </c>
      <c r="I400" s="152" t="s">
        <v>2295</v>
      </c>
      <c r="J400" s="14" t="s">
        <v>67</v>
      </c>
      <c r="K400" s="14"/>
      <c r="L400" s="14"/>
      <c r="M400" s="14"/>
      <c r="N400" s="14"/>
      <c r="O400" s="14"/>
      <c r="P400" s="14"/>
      <c r="Q400" s="14"/>
      <c r="R400" s="14"/>
      <c r="S400" s="14"/>
      <c r="T400" s="14"/>
      <c r="U400" s="14"/>
      <c r="V400" s="14"/>
      <c r="W400" s="14" t="s">
        <v>67</v>
      </c>
      <c r="X400" s="14"/>
      <c r="Y400" s="14"/>
      <c r="Z400" s="14"/>
      <c r="AA400" s="14"/>
      <c r="AB400" s="14" t="s">
        <v>1752</v>
      </c>
      <c r="AC400" s="135">
        <v>44052</v>
      </c>
      <c r="AD400" s="14" t="s">
        <v>1301</v>
      </c>
      <c r="AE400" s="24" t="e">
        <f>VLOOKUP(F400,Stakeholders!E:K,7,0)</f>
        <v>#N/A</v>
      </c>
      <c r="AF400" s="14"/>
      <c r="AG400" s="14"/>
      <c r="AH400" s="24" t="s">
        <v>82</v>
      </c>
      <c r="AI400" s="14"/>
      <c r="AJ400" s="14"/>
      <c r="AK400" s="14"/>
      <c r="AL400" s="14"/>
      <c r="AM400" s="14"/>
      <c r="AN400" s="14"/>
      <c r="AO400" s="14"/>
      <c r="AP400" s="14"/>
      <c r="AQ400" s="14"/>
      <c r="AR400" s="14"/>
      <c r="AS400" s="14"/>
      <c r="AT400" s="14"/>
      <c r="AU400" s="14"/>
      <c r="AV400" s="14"/>
      <c r="AW400" s="14"/>
    </row>
    <row r="401" spans="1:49" ht="14">
      <c r="A401" s="133">
        <v>2011</v>
      </c>
      <c r="B401" s="143" t="s">
        <v>80</v>
      </c>
      <c r="C401" s="29" t="s">
        <v>2290</v>
      </c>
      <c r="D401" s="29" t="s">
        <v>2290</v>
      </c>
      <c r="E401" s="29" t="e">
        <v>#N/A</v>
      </c>
      <c r="F401" s="29"/>
      <c r="G401" s="29">
        <f>COUNTIF(Stakeholders!$E$2:$E960,F401)</f>
        <v>0</v>
      </c>
      <c r="H401" s="29" t="s">
        <v>2296</v>
      </c>
      <c r="I401" s="151" t="s">
        <v>2297</v>
      </c>
      <c r="J401" s="29" t="s">
        <v>67</v>
      </c>
      <c r="K401" s="29"/>
      <c r="L401" s="29"/>
      <c r="M401" s="29"/>
      <c r="N401" s="29"/>
      <c r="O401" s="29"/>
      <c r="P401" s="29"/>
      <c r="Q401" s="29"/>
      <c r="R401" s="29"/>
      <c r="S401" s="29"/>
      <c r="T401" s="29"/>
      <c r="U401" s="29"/>
      <c r="V401" s="29"/>
      <c r="W401" s="29" t="s">
        <v>67</v>
      </c>
      <c r="X401" s="29"/>
      <c r="Y401" s="29"/>
      <c r="Z401" s="29"/>
      <c r="AA401" s="29"/>
      <c r="AB401" s="29" t="s">
        <v>1752</v>
      </c>
      <c r="AC401" s="136">
        <v>44053</v>
      </c>
      <c r="AD401" s="29" t="s">
        <v>1302</v>
      </c>
      <c r="AE401" s="34" t="e">
        <f>VLOOKUP(F401,Stakeholders!E:K,7,0)</f>
        <v>#N/A</v>
      </c>
      <c r="AF401" s="29"/>
      <c r="AG401" s="29"/>
      <c r="AH401" s="34" t="s">
        <v>82</v>
      </c>
      <c r="AI401" s="29"/>
      <c r="AJ401" s="29"/>
      <c r="AK401" s="29"/>
      <c r="AL401" s="29"/>
      <c r="AM401" s="29"/>
      <c r="AN401" s="29"/>
      <c r="AO401" s="29"/>
      <c r="AP401" s="29"/>
      <c r="AQ401" s="29"/>
      <c r="AR401" s="29"/>
      <c r="AS401" s="29"/>
      <c r="AT401" s="29"/>
      <c r="AU401" s="29"/>
      <c r="AV401" s="29"/>
      <c r="AW401" s="29"/>
    </row>
    <row r="402" spans="1:49" ht="14">
      <c r="A402" s="132">
        <v>2014</v>
      </c>
      <c r="B402" s="140" t="s">
        <v>80</v>
      </c>
      <c r="C402" s="14" t="s">
        <v>2290</v>
      </c>
      <c r="D402" s="14" t="s">
        <v>2290</v>
      </c>
      <c r="E402" s="14" t="e">
        <v>#N/A</v>
      </c>
      <c r="F402" s="14"/>
      <c r="G402" s="14">
        <f>COUNTIF(Stakeholders!$E$2:$E960,F402)</f>
        <v>0</v>
      </c>
      <c r="H402" s="14" t="s">
        <v>2298</v>
      </c>
      <c r="I402" s="152" t="s">
        <v>2299</v>
      </c>
      <c r="J402" s="14" t="s">
        <v>67</v>
      </c>
      <c r="K402" s="14"/>
      <c r="L402" s="14"/>
      <c r="M402" s="14"/>
      <c r="N402" s="14"/>
      <c r="O402" s="14"/>
      <c r="P402" s="14"/>
      <c r="Q402" s="14"/>
      <c r="R402" s="14"/>
      <c r="S402" s="14"/>
      <c r="T402" s="14"/>
      <c r="U402" s="14"/>
      <c r="V402" s="14"/>
      <c r="W402" s="14" t="s">
        <v>67</v>
      </c>
      <c r="X402" s="14"/>
      <c r="Y402" s="14"/>
      <c r="Z402" s="14"/>
      <c r="AA402" s="14"/>
      <c r="AB402" s="14" t="s">
        <v>1752</v>
      </c>
      <c r="AC402" s="135">
        <v>44054</v>
      </c>
      <c r="AD402" s="14" t="s">
        <v>1303</v>
      </c>
      <c r="AE402" s="24" t="e">
        <f>VLOOKUP(F402,Stakeholders!E:K,7,0)</f>
        <v>#N/A</v>
      </c>
      <c r="AF402" s="14"/>
      <c r="AG402" s="14"/>
      <c r="AH402" s="24" t="s">
        <v>82</v>
      </c>
      <c r="AI402" s="14"/>
      <c r="AJ402" s="14"/>
      <c r="AK402" s="14"/>
      <c r="AL402" s="14"/>
      <c r="AM402" s="14"/>
      <c r="AN402" s="14"/>
      <c r="AO402" s="14"/>
      <c r="AP402" s="14"/>
      <c r="AQ402" s="14"/>
      <c r="AR402" s="14"/>
      <c r="AS402" s="14"/>
      <c r="AT402" s="14"/>
      <c r="AU402" s="14"/>
      <c r="AV402" s="14"/>
      <c r="AW402" s="14"/>
    </row>
    <row r="403" spans="1:49" ht="14">
      <c r="A403" s="133">
        <v>2014</v>
      </c>
      <c r="B403" s="143" t="s">
        <v>80</v>
      </c>
      <c r="C403" s="29" t="s">
        <v>2300</v>
      </c>
      <c r="D403" s="29" t="s">
        <v>2301</v>
      </c>
      <c r="E403" s="29" t="e">
        <v>#N/A</v>
      </c>
      <c r="F403" s="29"/>
      <c r="G403" s="29">
        <f>COUNTIF(Stakeholders!$E$2:$E960,F403)</f>
        <v>0</v>
      </c>
      <c r="H403" s="29" t="s">
        <v>2302</v>
      </c>
      <c r="I403" s="151" t="s">
        <v>2303</v>
      </c>
      <c r="J403" s="29" t="s">
        <v>67</v>
      </c>
      <c r="K403" s="29"/>
      <c r="L403" s="29"/>
      <c r="M403" s="29"/>
      <c r="N403" s="29"/>
      <c r="O403" s="29"/>
      <c r="P403" s="29"/>
      <c r="Q403" s="29"/>
      <c r="R403" s="29"/>
      <c r="S403" s="29"/>
      <c r="T403" s="29"/>
      <c r="U403" s="29"/>
      <c r="V403" s="29"/>
      <c r="W403" s="29" t="s">
        <v>67</v>
      </c>
      <c r="X403" s="29"/>
      <c r="Y403" s="29"/>
      <c r="Z403" s="29"/>
      <c r="AA403" s="29"/>
      <c r="AB403" s="29" t="s">
        <v>1752</v>
      </c>
      <c r="AC403" s="136">
        <v>44055</v>
      </c>
      <c r="AD403" s="29" t="s">
        <v>759</v>
      </c>
      <c r="AE403" s="34" t="e">
        <f>VLOOKUP(F403,Stakeholders!E:K,7,0)</f>
        <v>#N/A</v>
      </c>
      <c r="AF403" s="29"/>
      <c r="AG403" s="29"/>
      <c r="AH403" s="34" t="s">
        <v>82</v>
      </c>
      <c r="AI403" s="29"/>
      <c r="AJ403" s="29"/>
      <c r="AK403" s="29"/>
      <c r="AL403" s="29"/>
      <c r="AM403" s="29"/>
      <c r="AN403" s="29"/>
      <c r="AO403" s="29"/>
      <c r="AP403" s="29"/>
      <c r="AQ403" s="29"/>
      <c r="AR403" s="29"/>
      <c r="AS403" s="29"/>
      <c r="AT403" s="29"/>
      <c r="AU403" s="29"/>
      <c r="AV403" s="29"/>
      <c r="AW403" s="29"/>
    </row>
    <row r="404" spans="1:49" ht="14">
      <c r="A404" s="132">
        <v>2016</v>
      </c>
      <c r="B404" s="140" t="s">
        <v>80</v>
      </c>
      <c r="C404" s="14" t="s">
        <v>2304</v>
      </c>
      <c r="D404" s="14" t="s">
        <v>2304</v>
      </c>
      <c r="E404" s="14" t="e">
        <v>#N/A</v>
      </c>
      <c r="F404" s="14"/>
      <c r="G404" s="14">
        <f>COUNTIF(Stakeholders!$E$2:$E960,F404)</f>
        <v>0</v>
      </c>
      <c r="H404" s="14" t="s">
        <v>2305</v>
      </c>
      <c r="I404" s="152" t="s">
        <v>2306</v>
      </c>
      <c r="J404" s="14" t="s">
        <v>67</v>
      </c>
      <c r="K404" s="14"/>
      <c r="L404" s="14"/>
      <c r="M404" s="14"/>
      <c r="N404" s="14"/>
      <c r="O404" s="14"/>
      <c r="P404" s="14"/>
      <c r="Q404" s="14"/>
      <c r="R404" s="14"/>
      <c r="S404" s="14"/>
      <c r="T404" s="14"/>
      <c r="U404" s="14"/>
      <c r="V404" s="14"/>
      <c r="W404" s="14" t="s">
        <v>67</v>
      </c>
      <c r="X404" s="14"/>
      <c r="Y404" s="14"/>
      <c r="Z404" s="14"/>
      <c r="AA404" s="14"/>
      <c r="AB404" s="14" t="s">
        <v>1752</v>
      </c>
      <c r="AC404" s="135">
        <v>44056</v>
      </c>
      <c r="AD404" s="14" t="s">
        <v>986</v>
      </c>
      <c r="AE404" s="24" t="e">
        <f>VLOOKUP(F404,Stakeholders!E:K,7,0)</f>
        <v>#N/A</v>
      </c>
      <c r="AF404" s="14"/>
      <c r="AG404" s="14"/>
      <c r="AH404" s="24" t="s">
        <v>82</v>
      </c>
      <c r="AI404" s="14"/>
      <c r="AJ404" s="14"/>
      <c r="AK404" s="14"/>
      <c r="AL404" s="14"/>
      <c r="AM404" s="14"/>
      <c r="AN404" s="14"/>
      <c r="AO404" s="14"/>
      <c r="AP404" s="14"/>
      <c r="AQ404" s="14"/>
      <c r="AR404" s="14"/>
      <c r="AS404" s="14"/>
      <c r="AT404" s="14"/>
      <c r="AU404" s="14"/>
      <c r="AV404" s="14"/>
      <c r="AW404" s="14"/>
    </row>
    <row r="405" spans="1:49" ht="14">
      <c r="A405" s="133">
        <v>2016</v>
      </c>
      <c r="B405" s="143" t="s">
        <v>80</v>
      </c>
      <c r="C405" s="29" t="s">
        <v>2293</v>
      </c>
      <c r="D405" s="29" t="s">
        <v>2293</v>
      </c>
      <c r="E405" s="29" t="e">
        <v>#N/A</v>
      </c>
      <c r="F405" s="29"/>
      <c r="G405" s="29">
        <f>COUNTIF(Stakeholders!$E$2:$E960,F405)</f>
        <v>0</v>
      </c>
      <c r="H405" s="29" t="s">
        <v>2307</v>
      </c>
      <c r="I405" s="151" t="s">
        <v>2308</v>
      </c>
      <c r="J405" s="29" t="s">
        <v>67</v>
      </c>
      <c r="K405" s="29"/>
      <c r="L405" s="29"/>
      <c r="M405" s="29"/>
      <c r="N405" s="29"/>
      <c r="O405" s="29"/>
      <c r="P405" s="29"/>
      <c r="Q405" s="29"/>
      <c r="R405" s="29"/>
      <c r="S405" s="29"/>
      <c r="T405" s="29"/>
      <c r="U405" s="29"/>
      <c r="V405" s="29"/>
      <c r="W405" s="29" t="s">
        <v>67</v>
      </c>
      <c r="X405" s="29"/>
      <c r="Y405" s="29"/>
      <c r="Z405" s="29"/>
      <c r="AA405" s="29"/>
      <c r="AB405" s="29" t="s">
        <v>1752</v>
      </c>
      <c r="AC405" s="136">
        <v>44057</v>
      </c>
      <c r="AD405" s="29" t="s">
        <v>1304</v>
      </c>
      <c r="AE405" s="34" t="e">
        <f>VLOOKUP(F405,Stakeholders!E:K,7,0)</f>
        <v>#N/A</v>
      </c>
      <c r="AF405" s="29"/>
      <c r="AG405" s="29"/>
      <c r="AH405" s="34" t="s">
        <v>82</v>
      </c>
      <c r="AI405" s="29"/>
      <c r="AJ405" s="29"/>
      <c r="AK405" s="29"/>
      <c r="AL405" s="29"/>
      <c r="AM405" s="29"/>
      <c r="AN405" s="29"/>
      <c r="AO405" s="29"/>
      <c r="AP405" s="29"/>
      <c r="AQ405" s="29"/>
      <c r="AR405" s="29"/>
      <c r="AS405" s="29"/>
      <c r="AT405" s="29"/>
      <c r="AU405" s="29"/>
      <c r="AV405" s="29"/>
      <c r="AW405" s="29"/>
    </row>
    <row r="406" spans="1:49" ht="14">
      <c r="A406" s="132">
        <v>2018</v>
      </c>
      <c r="B406" s="140" t="s">
        <v>80</v>
      </c>
      <c r="C406" s="14" t="s">
        <v>2273</v>
      </c>
      <c r="D406" s="14" t="s">
        <v>1846</v>
      </c>
      <c r="E406" s="14" t="e">
        <v>#N/A</v>
      </c>
      <c r="F406" s="14"/>
      <c r="G406" s="14">
        <f>COUNTIF(Stakeholders!$E$2:$E960,F406)</f>
        <v>0</v>
      </c>
      <c r="H406" s="14" t="s">
        <v>2309</v>
      </c>
      <c r="I406" s="152" t="s">
        <v>2310</v>
      </c>
      <c r="J406" s="14" t="s">
        <v>67</v>
      </c>
      <c r="K406" s="14"/>
      <c r="L406" s="14"/>
      <c r="M406" s="14"/>
      <c r="N406" s="14"/>
      <c r="O406" s="14"/>
      <c r="P406" s="14"/>
      <c r="Q406" s="14"/>
      <c r="R406" s="14"/>
      <c r="S406" s="14"/>
      <c r="T406" s="14"/>
      <c r="U406" s="14"/>
      <c r="V406" s="14"/>
      <c r="W406" s="14" t="s">
        <v>67</v>
      </c>
      <c r="X406" s="14"/>
      <c r="Y406" s="14"/>
      <c r="Z406" s="14"/>
      <c r="AA406" s="14"/>
      <c r="AB406" s="14" t="s">
        <v>1752</v>
      </c>
      <c r="AC406" s="135">
        <v>44058</v>
      </c>
      <c r="AD406" s="14" t="s">
        <v>1305</v>
      </c>
      <c r="AE406" s="24" t="e">
        <f>VLOOKUP(F406,Stakeholders!E:K,7,0)</f>
        <v>#N/A</v>
      </c>
      <c r="AF406" s="14"/>
      <c r="AG406" s="14"/>
      <c r="AH406" s="24" t="s">
        <v>82</v>
      </c>
      <c r="AI406" s="14"/>
      <c r="AJ406" s="14"/>
      <c r="AK406" s="14"/>
      <c r="AL406" s="14"/>
      <c r="AM406" s="14"/>
      <c r="AN406" s="14"/>
      <c r="AO406" s="14"/>
      <c r="AP406" s="14"/>
      <c r="AQ406" s="14"/>
      <c r="AR406" s="14"/>
      <c r="AS406" s="14"/>
      <c r="AT406" s="14"/>
      <c r="AU406" s="14"/>
      <c r="AV406" s="14"/>
      <c r="AW406" s="14"/>
    </row>
    <row r="407" spans="1:49" ht="14">
      <c r="A407" s="133">
        <v>2013</v>
      </c>
      <c r="B407" s="143" t="s">
        <v>80</v>
      </c>
      <c r="C407" s="29" t="s">
        <v>2273</v>
      </c>
      <c r="D407" s="29" t="s">
        <v>2273</v>
      </c>
      <c r="E407" s="29" t="e">
        <v>#N/A</v>
      </c>
      <c r="F407" s="29"/>
      <c r="G407" s="29">
        <f>COUNTIF(Stakeholders!$E$2:$E960,F407)</f>
        <v>0</v>
      </c>
      <c r="H407" s="29" t="s">
        <v>2311</v>
      </c>
      <c r="I407" s="151" t="s">
        <v>2312</v>
      </c>
      <c r="J407" s="29" t="s">
        <v>67</v>
      </c>
      <c r="K407" s="29"/>
      <c r="L407" s="29"/>
      <c r="M407" s="29"/>
      <c r="N407" s="29"/>
      <c r="O407" s="29"/>
      <c r="P407" s="29"/>
      <c r="Q407" s="29"/>
      <c r="R407" s="29"/>
      <c r="S407" s="29"/>
      <c r="T407" s="29"/>
      <c r="U407" s="29"/>
      <c r="V407" s="29"/>
      <c r="W407" s="29" t="s">
        <v>67</v>
      </c>
      <c r="X407" s="29"/>
      <c r="Y407" s="29"/>
      <c r="Z407" s="29"/>
      <c r="AA407" s="29"/>
      <c r="AB407" s="29" t="s">
        <v>1752</v>
      </c>
      <c r="AC407" s="136">
        <v>44059</v>
      </c>
      <c r="AD407" s="29" t="s">
        <v>1307</v>
      </c>
      <c r="AE407" s="34" t="e">
        <f>VLOOKUP(F407,Stakeholders!E:K,7,0)</f>
        <v>#N/A</v>
      </c>
      <c r="AF407" s="29"/>
      <c r="AG407" s="29"/>
      <c r="AH407" s="34" t="s">
        <v>82</v>
      </c>
      <c r="AI407" s="29"/>
      <c r="AJ407" s="29"/>
      <c r="AK407" s="29"/>
      <c r="AL407" s="29"/>
      <c r="AM407" s="29"/>
      <c r="AN407" s="29"/>
      <c r="AO407" s="29"/>
      <c r="AP407" s="29"/>
      <c r="AQ407" s="29"/>
      <c r="AR407" s="29"/>
      <c r="AS407" s="29"/>
      <c r="AT407" s="29"/>
      <c r="AU407" s="29"/>
      <c r="AV407" s="29"/>
      <c r="AW407" s="29"/>
    </row>
    <row r="408" spans="1:49" ht="14">
      <c r="A408" s="14" t="s">
        <v>2313</v>
      </c>
      <c r="B408" s="140" t="s">
        <v>80</v>
      </c>
      <c r="C408" s="14" t="s">
        <v>2300</v>
      </c>
      <c r="D408" s="14" t="s">
        <v>2314</v>
      </c>
      <c r="E408" s="14" t="e">
        <v>#N/A</v>
      </c>
      <c r="F408" s="14"/>
      <c r="G408" s="14">
        <f>COUNTIF(Stakeholders!$E$2:$E960,F408)</f>
        <v>0</v>
      </c>
      <c r="H408" s="14" t="s">
        <v>2315</v>
      </c>
      <c r="I408" s="152" t="s">
        <v>2316</v>
      </c>
      <c r="J408" s="14" t="s">
        <v>67</v>
      </c>
      <c r="K408" s="14"/>
      <c r="L408" s="14"/>
      <c r="M408" s="14"/>
      <c r="N408" s="14"/>
      <c r="O408" s="14"/>
      <c r="P408" s="14"/>
      <c r="Q408" s="14"/>
      <c r="R408" s="14"/>
      <c r="S408" s="14"/>
      <c r="T408" s="14"/>
      <c r="U408" s="14"/>
      <c r="V408" s="14"/>
      <c r="W408" s="14" t="s">
        <v>67</v>
      </c>
      <c r="X408" s="14"/>
      <c r="Y408" s="14"/>
      <c r="Z408" s="14"/>
      <c r="AA408" s="14"/>
      <c r="AB408" s="14" t="s">
        <v>1752</v>
      </c>
      <c r="AC408" s="135">
        <v>44060</v>
      </c>
      <c r="AD408" s="14" t="s">
        <v>1309</v>
      </c>
      <c r="AE408" s="24" t="e">
        <f>VLOOKUP(F408,Stakeholders!E:K,7,0)</f>
        <v>#N/A</v>
      </c>
      <c r="AF408" s="14"/>
      <c r="AG408" s="14"/>
      <c r="AH408" s="24" t="s">
        <v>82</v>
      </c>
      <c r="AI408" s="14"/>
      <c r="AJ408" s="14"/>
      <c r="AK408" s="14"/>
      <c r="AL408" s="14"/>
      <c r="AM408" s="14"/>
      <c r="AN408" s="14"/>
      <c r="AO408" s="14"/>
      <c r="AP408" s="14"/>
      <c r="AQ408" s="14"/>
      <c r="AR408" s="14"/>
      <c r="AS408" s="14"/>
      <c r="AT408" s="14"/>
      <c r="AU408" s="14"/>
      <c r="AV408" s="14"/>
      <c r="AW408" s="14"/>
    </row>
    <row r="409" spans="1:49" ht="13">
      <c r="A409" s="133">
        <v>2002</v>
      </c>
      <c r="B409" s="29" t="s">
        <v>58</v>
      </c>
      <c r="C409" s="29" t="s">
        <v>2317</v>
      </c>
      <c r="D409" s="29" t="s">
        <v>2318</v>
      </c>
      <c r="E409" s="29" t="e">
        <v>#N/A</v>
      </c>
      <c r="F409" s="29"/>
      <c r="G409" s="29">
        <f>COUNTIF(Stakeholders!$E$2:$E960,F409)</f>
        <v>0</v>
      </c>
      <c r="H409" s="29" t="s">
        <v>2319</v>
      </c>
      <c r="I409" s="151" t="s">
        <v>2320</v>
      </c>
      <c r="J409" s="29" t="s">
        <v>67</v>
      </c>
      <c r="K409" s="29"/>
      <c r="L409" s="29"/>
      <c r="M409" s="29"/>
      <c r="N409" s="29"/>
      <c r="O409" s="29"/>
      <c r="P409" s="29"/>
      <c r="Q409" s="29"/>
      <c r="R409" s="29"/>
      <c r="S409" s="29"/>
      <c r="T409" s="29"/>
      <c r="U409" s="29"/>
      <c r="V409" s="29"/>
      <c r="W409" s="29" t="s">
        <v>67</v>
      </c>
      <c r="X409" s="29"/>
      <c r="Y409" s="29"/>
      <c r="Z409" s="29"/>
      <c r="AA409" s="29"/>
      <c r="AB409" s="29" t="s">
        <v>1752</v>
      </c>
      <c r="AC409" s="136">
        <v>44061</v>
      </c>
      <c r="AD409" s="29" t="s">
        <v>1310</v>
      </c>
      <c r="AE409" s="34" t="e">
        <f>VLOOKUP(F409,Stakeholders!E:K,7,0)</f>
        <v>#N/A</v>
      </c>
      <c r="AF409" s="29"/>
      <c r="AG409" s="29"/>
      <c r="AH409" s="34" t="s">
        <v>82</v>
      </c>
      <c r="AI409" s="29"/>
      <c r="AJ409" s="29"/>
      <c r="AK409" s="29"/>
      <c r="AL409" s="29"/>
      <c r="AM409" s="29"/>
      <c r="AN409" s="29"/>
      <c r="AO409" s="29"/>
      <c r="AP409" s="29"/>
      <c r="AQ409" s="29"/>
      <c r="AR409" s="29"/>
      <c r="AS409" s="29"/>
      <c r="AT409" s="29"/>
      <c r="AU409" s="29"/>
      <c r="AV409" s="29"/>
      <c r="AW409" s="29"/>
    </row>
    <row r="410" spans="1:49" ht="13">
      <c r="A410" s="132">
        <v>2005</v>
      </c>
      <c r="B410" s="14" t="s">
        <v>58</v>
      </c>
      <c r="C410" s="14" t="s">
        <v>2317</v>
      </c>
      <c r="D410" s="14" t="s">
        <v>2317</v>
      </c>
      <c r="E410" s="14" t="e">
        <v>#N/A</v>
      </c>
      <c r="F410" s="14"/>
      <c r="G410" s="14">
        <f>COUNTIF(Stakeholders!$E$2:$E960,F410)</f>
        <v>0</v>
      </c>
      <c r="H410" s="14" t="s">
        <v>2321</v>
      </c>
      <c r="I410" s="152" t="s">
        <v>2322</v>
      </c>
      <c r="J410" s="14" t="s">
        <v>67</v>
      </c>
      <c r="K410" s="14"/>
      <c r="L410" s="14"/>
      <c r="M410" s="14"/>
      <c r="N410" s="14"/>
      <c r="O410" s="14"/>
      <c r="P410" s="14"/>
      <c r="Q410" s="14"/>
      <c r="R410" s="14"/>
      <c r="S410" s="14"/>
      <c r="T410" s="14"/>
      <c r="U410" s="14"/>
      <c r="V410" s="14"/>
      <c r="W410" s="14" t="s">
        <v>67</v>
      </c>
      <c r="X410" s="14"/>
      <c r="Y410" s="14"/>
      <c r="Z410" s="14"/>
      <c r="AA410" s="14"/>
      <c r="AB410" s="14" t="s">
        <v>1752</v>
      </c>
      <c r="AC410" s="135">
        <v>44062</v>
      </c>
      <c r="AD410" s="14" t="s">
        <v>1313</v>
      </c>
      <c r="AE410" s="24" t="e">
        <f>VLOOKUP(F410,Stakeholders!E:K,7,0)</f>
        <v>#N/A</v>
      </c>
      <c r="AF410" s="14"/>
      <c r="AG410" s="14"/>
      <c r="AH410" s="24" t="s">
        <v>82</v>
      </c>
      <c r="AI410" s="14"/>
      <c r="AJ410" s="14"/>
      <c r="AK410" s="14"/>
      <c r="AL410" s="14"/>
      <c r="AM410" s="14"/>
      <c r="AN410" s="14"/>
      <c r="AO410" s="14"/>
      <c r="AP410" s="14"/>
      <c r="AQ410" s="14"/>
      <c r="AR410" s="14"/>
      <c r="AS410" s="14"/>
      <c r="AT410" s="14"/>
      <c r="AU410" s="14"/>
      <c r="AV410" s="14"/>
      <c r="AW410" s="14"/>
    </row>
    <row r="411" spans="1:49" ht="13">
      <c r="A411" s="133">
        <v>2009</v>
      </c>
      <c r="B411" s="29" t="s">
        <v>58</v>
      </c>
      <c r="C411" s="29" t="s">
        <v>2317</v>
      </c>
      <c r="D411" s="29" t="s">
        <v>2317</v>
      </c>
      <c r="E411" s="29" t="e">
        <v>#N/A</v>
      </c>
      <c r="F411" s="29"/>
      <c r="G411" s="29">
        <f>COUNTIF(Stakeholders!$E$2:$E960,F411)</f>
        <v>0</v>
      </c>
      <c r="H411" s="29" t="s">
        <v>2323</v>
      </c>
      <c r="I411" s="151" t="s">
        <v>2324</v>
      </c>
      <c r="J411" s="29" t="s">
        <v>67</v>
      </c>
      <c r="K411" s="29"/>
      <c r="L411" s="29"/>
      <c r="M411" s="29"/>
      <c r="N411" s="29"/>
      <c r="O411" s="29"/>
      <c r="P411" s="29"/>
      <c r="Q411" s="29"/>
      <c r="R411" s="29"/>
      <c r="S411" s="29"/>
      <c r="T411" s="29"/>
      <c r="U411" s="29"/>
      <c r="V411" s="29"/>
      <c r="W411" s="29" t="s">
        <v>67</v>
      </c>
      <c r="X411" s="29"/>
      <c r="Y411" s="29"/>
      <c r="Z411" s="29"/>
      <c r="AA411" s="29"/>
      <c r="AB411" s="29" t="s">
        <v>1752</v>
      </c>
      <c r="AC411" s="136">
        <v>44063</v>
      </c>
      <c r="AD411" s="29" t="s">
        <v>1314</v>
      </c>
      <c r="AE411" s="34" t="e">
        <f>VLOOKUP(F411,Stakeholders!E:K,7,0)</f>
        <v>#N/A</v>
      </c>
      <c r="AF411" s="29"/>
      <c r="AG411" s="29"/>
      <c r="AH411" s="34" t="s">
        <v>82</v>
      </c>
      <c r="AI411" s="29"/>
      <c r="AJ411" s="29"/>
      <c r="AK411" s="29"/>
      <c r="AL411" s="29"/>
      <c r="AM411" s="29"/>
      <c r="AN411" s="29"/>
      <c r="AO411" s="29"/>
      <c r="AP411" s="29"/>
      <c r="AQ411" s="29"/>
      <c r="AR411" s="29"/>
      <c r="AS411" s="29"/>
      <c r="AT411" s="29"/>
      <c r="AU411" s="29"/>
      <c r="AV411" s="29"/>
      <c r="AW411" s="29"/>
    </row>
    <row r="412" spans="1:49" ht="13">
      <c r="A412" s="132">
        <v>2012</v>
      </c>
      <c r="B412" s="14" t="s">
        <v>58</v>
      </c>
      <c r="C412" s="14" t="s">
        <v>2317</v>
      </c>
      <c r="D412" s="14" t="s">
        <v>2317</v>
      </c>
      <c r="E412" s="14" t="e">
        <v>#N/A</v>
      </c>
      <c r="F412" s="14"/>
      <c r="G412" s="14">
        <f>COUNTIF(Stakeholders!$E$2:$E960,F412)</f>
        <v>0</v>
      </c>
      <c r="H412" s="14" t="s">
        <v>2325</v>
      </c>
      <c r="I412" s="152" t="s">
        <v>2326</v>
      </c>
      <c r="J412" s="14" t="s">
        <v>67</v>
      </c>
      <c r="K412" s="14"/>
      <c r="L412" s="14"/>
      <c r="M412" s="14"/>
      <c r="N412" s="14"/>
      <c r="O412" s="14"/>
      <c r="P412" s="14"/>
      <c r="Q412" s="14"/>
      <c r="R412" s="14"/>
      <c r="S412" s="14"/>
      <c r="T412" s="14"/>
      <c r="U412" s="14"/>
      <c r="V412" s="14"/>
      <c r="W412" s="14" t="s">
        <v>67</v>
      </c>
      <c r="X412" s="14"/>
      <c r="Y412" s="14"/>
      <c r="Z412" s="14"/>
      <c r="AA412" s="14"/>
      <c r="AB412" s="14" t="s">
        <v>1752</v>
      </c>
      <c r="AC412" s="135">
        <v>44064</v>
      </c>
      <c r="AD412" s="14" t="s">
        <v>1315</v>
      </c>
      <c r="AE412" s="24" t="e">
        <f>VLOOKUP(F412,Stakeholders!E:K,7,0)</f>
        <v>#N/A</v>
      </c>
      <c r="AF412" s="14"/>
      <c r="AG412" s="14"/>
      <c r="AH412" s="24" t="s">
        <v>82</v>
      </c>
      <c r="AI412" s="14"/>
      <c r="AJ412" s="14"/>
      <c r="AK412" s="14"/>
      <c r="AL412" s="14"/>
      <c r="AM412" s="14"/>
      <c r="AN412" s="14"/>
      <c r="AO412" s="14"/>
      <c r="AP412" s="14"/>
      <c r="AQ412" s="14"/>
      <c r="AR412" s="14"/>
      <c r="AS412" s="14"/>
      <c r="AT412" s="14"/>
      <c r="AU412" s="14"/>
      <c r="AV412" s="14"/>
      <c r="AW412" s="14"/>
    </row>
    <row r="413" spans="1:49" ht="13">
      <c r="A413" s="133">
        <v>2013</v>
      </c>
      <c r="B413" s="29" t="s">
        <v>58</v>
      </c>
      <c r="C413" s="29" t="s">
        <v>2317</v>
      </c>
      <c r="D413" s="29" t="s">
        <v>2317</v>
      </c>
      <c r="E413" s="29" t="e">
        <v>#N/A</v>
      </c>
      <c r="F413" s="29"/>
      <c r="G413" s="29">
        <f>COUNTIF(Stakeholders!$E$2:$E960,F413)</f>
        <v>0</v>
      </c>
      <c r="H413" s="29" t="s">
        <v>2327</v>
      </c>
      <c r="I413" s="151" t="s">
        <v>2328</v>
      </c>
      <c r="J413" s="29" t="s">
        <v>67</v>
      </c>
      <c r="K413" s="29"/>
      <c r="L413" s="29"/>
      <c r="M413" s="29"/>
      <c r="N413" s="29"/>
      <c r="O413" s="29"/>
      <c r="P413" s="29"/>
      <c r="Q413" s="29"/>
      <c r="R413" s="29"/>
      <c r="S413" s="29"/>
      <c r="T413" s="29"/>
      <c r="U413" s="29"/>
      <c r="V413" s="29"/>
      <c r="W413" s="29" t="s">
        <v>67</v>
      </c>
      <c r="X413" s="29"/>
      <c r="Y413" s="29"/>
      <c r="Z413" s="29"/>
      <c r="AA413" s="29"/>
      <c r="AB413" s="29" t="s">
        <v>1752</v>
      </c>
      <c r="AC413" s="136">
        <v>44065</v>
      </c>
      <c r="AD413" s="29" t="s">
        <v>760</v>
      </c>
      <c r="AE413" s="34" t="e">
        <f>VLOOKUP(F413,Stakeholders!E:K,7,0)</f>
        <v>#N/A</v>
      </c>
      <c r="AF413" s="29"/>
      <c r="AG413" s="29"/>
      <c r="AH413" s="34" t="s">
        <v>82</v>
      </c>
      <c r="AI413" s="29"/>
      <c r="AJ413" s="29"/>
      <c r="AK413" s="29"/>
      <c r="AL413" s="29"/>
      <c r="AM413" s="29"/>
      <c r="AN413" s="29"/>
      <c r="AO413" s="29"/>
      <c r="AP413" s="29"/>
      <c r="AQ413" s="29"/>
      <c r="AR413" s="29"/>
      <c r="AS413" s="29"/>
      <c r="AT413" s="29"/>
      <c r="AU413" s="29"/>
      <c r="AV413" s="29"/>
      <c r="AW413" s="29"/>
    </row>
    <row r="414" spans="1:49" ht="13">
      <c r="A414" s="132">
        <v>2013</v>
      </c>
      <c r="B414" s="14" t="s">
        <v>58</v>
      </c>
      <c r="C414" s="14" t="s">
        <v>2317</v>
      </c>
      <c r="D414" s="14" t="s">
        <v>2329</v>
      </c>
      <c r="E414" s="14" t="e">
        <v>#N/A</v>
      </c>
      <c r="F414" s="14"/>
      <c r="G414" s="14">
        <f>COUNTIF(Stakeholders!$E$2:$E960,F414)</f>
        <v>0</v>
      </c>
      <c r="H414" s="14" t="s">
        <v>2330</v>
      </c>
      <c r="I414" s="152" t="s">
        <v>2331</v>
      </c>
      <c r="J414" s="14" t="s">
        <v>67</v>
      </c>
      <c r="K414" s="14"/>
      <c r="L414" s="14"/>
      <c r="M414" s="14"/>
      <c r="N414" s="14"/>
      <c r="O414" s="14"/>
      <c r="P414" s="14"/>
      <c r="Q414" s="14"/>
      <c r="R414" s="14"/>
      <c r="S414" s="14"/>
      <c r="T414" s="14"/>
      <c r="U414" s="14"/>
      <c r="V414" s="14"/>
      <c r="W414" s="14" t="s">
        <v>67</v>
      </c>
      <c r="X414" s="14"/>
      <c r="Y414" s="14"/>
      <c r="Z414" s="14"/>
      <c r="AA414" s="14"/>
      <c r="AB414" s="14" t="s">
        <v>1752</v>
      </c>
      <c r="AC414" s="135">
        <v>44066</v>
      </c>
      <c r="AD414" s="14" t="s">
        <v>1316</v>
      </c>
      <c r="AE414" s="24" t="e">
        <f>VLOOKUP(F414,Stakeholders!E:K,7,0)</f>
        <v>#N/A</v>
      </c>
      <c r="AF414" s="14"/>
      <c r="AG414" s="14"/>
      <c r="AH414" s="24" t="s">
        <v>82</v>
      </c>
      <c r="AI414" s="14"/>
      <c r="AJ414" s="14"/>
      <c r="AK414" s="14"/>
      <c r="AL414" s="14"/>
      <c r="AM414" s="14"/>
      <c r="AN414" s="14"/>
      <c r="AO414" s="14"/>
      <c r="AP414" s="14"/>
      <c r="AQ414" s="14"/>
      <c r="AR414" s="14"/>
      <c r="AS414" s="14"/>
      <c r="AT414" s="14"/>
      <c r="AU414" s="14"/>
      <c r="AV414" s="14"/>
      <c r="AW414" s="14"/>
    </row>
    <row r="415" spans="1:49" ht="13">
      <c r="A415" s="133">
        <v>2014</v>
      </c>
      <c r="B415" s="29" t="s">
        <v>58</v>
      </c>
      <c r="C415" s="29" t="s">
        <v>2317</v>
      </c>
      <c r="D415" s="29" t="s">
        <v>2317</v>
      </c>
      <c r="E415" s="29" t="e">
        <v>#N/A</v>
      </c>
      <c r="F415" s="29"/>
      <c r="G415" s="29">
        <f>COUNTIF(Stakeholders!$E$2:$E960,F415)</f>
        <v>0</v>
      </c>
      <c r="H415" s="29" t="s">
        <v>2332</v>
      </c>
      <c r="I415" s="151" t="s">
        <v>2333</v>
      </c>
      <c r="J415" s="29" t="s">
        <v>67</v>
      </c>
      <c r="K415" s="29"/>
      <c r="L415" s="29"/>
      <c r="M415" s="29"/>
      <c r="N415" s="29"/>
      <c r="O415" s="29"/>
      <c r="P415" s="29"/>
      <c r="Q415" s="29"/>
      <c r="R415" s="29"/>
      <c r="S415" s="29"/>
      <c r="T415" s="29"/>
      <c r="U415" s="29"/>
      <c r="V415" s="29"/>
      <c r="W415" s="29" t="s">
        <v>67</v>
      </c>
      <c r="X415" s="29"/>
      <c r="Y415" s="29"/>
      <c r="Z415" s="29"/>
      <c r="AA415" s="29"/>
      <c r="AB415" s="29" t="s">
        <v>1752</v>
      </c>
      <c r="AC415" s="136">
        <v>44067</v>
      </c>
      <c r="AD415" s="29" t="s">
        <v>761</v>
      </c>
      <c r="AE415" s="34" t="e">
        <f>VLOOKUP(F415,Stakeholders!E:K,7,0)</f>
        <v>#N/A</v>
      </c>
      <c r="AF415" s="29"/>
      <c r="AG415" s="29"/>
      <c r="AH415" s="34" t="s">
        <v>82</v>
      </c>
      <c r="AI415" s="29"/>
      <c r="AJ415" s="29"/>
      <c r="AK415" s="29"/>
      <c r="AL415" s="29"/>
      <c r="AM415" s="29"/>
      <c r="AN415" s="29"/>
      <c r="AO415" s="29"/>
      <c r="AP415" s="29"/>
      <c r="AQ415" s="29"/>
      <c r="AR415" s="29"/>
      <c r="AS415" s="29"/>
      <c r="AT415" s="29"/>
      <c r="AU415" s="29"/>
      <c r="AV415" s="29"/>
      <c r="AW415" s="29"/>
    </row>
    <row r="416" spans="1:49" ht="13">
      <c r="A416" s="132">
        <v>2017</v>
      </c>
      <c r="B416" s="14" t="s">
        <v>58</v>
      </c>
      <c r="C416" s="14" t="s">
        <v>2317</v>
      </c>
      <c r="D416" s="14" t="s">
        <v>2317</v>
      </c>
      <c r="E416" s="14" t="e">
        <v>#N/A</v>
      </c>
      <c r="F416" s="14"/>
      <c r="G416" s="14">
        <f>COUNTIF(Stakeholders!$E$2:$E960,F416)</f>
        <v>0</v>
      </c>
      <c r="H416" s="14" t="s">
        <v>2334</v>
      </c>
      <c r="I416" s="152" t="s">
        <v>2335</v>
      </c>
      <c r="J416" s="14" t="s">
        <v>67</v>
      </c>
      <c r="K416" s="14"/>
      <c r="L416" s="14"/>
      <c r="M416" s="14"/>
      <c r="N416" s="14"/>
      <c r="O416" s="14"/>
      <c r="P416" s="14"/>
      <c r="Q416" s="14"/>
      <c r="R416" s="14"/>
      <c r="S416" s="14"/>
      <c r="T416" s="14"/>
      <c r="U416" s="14"/>
      <c r="V416" s="14"/>
      <c r="W416" s="14" t="s">
        <v>67</v>
      </c>
      <c r="X416" s="14"/>
      <c r="Y416" s="14"/>
      <c r="Z416" s="14"/>
      <c r="AA416" s="14"/>
      <c r="AB416" s="14" t="s">
        <v>1752</v>
      </c>
      <c r="AC416" s="135">
        <v>44068</v>
      </c>
      <c r="AD416" s="14" t="s">
        <v>1319</v>
      </c>
      <c r="AE416" s="24" t="e">
        <f>VLOOKUP(F416,Stakeholders!E:K,7,0)</f>
        <v>#N/A</v>
      </c>
      <c r="AF416" s="14"/>
      <c r="AG416" s="14"/>
      <c r="AH416" s="24" t="s">
        <v>82</v>
      </c>
      <c r="AI416" s="14"/>
      <c r="AJ416" s="14"/>
      <c r="AK416" s="14"/>
      <c r="AL416" s="14"/>
      <c r="AM416" s="14"/>
      <c r="AN416" s="14"/>
      <c r="AO416" s="14"/>
      <c r="AP416" s="14"/>
      <c r="AQ416" s="14"/>
      <c r="AR416" s="14"/>
      <c r="AS416" s="14"/>
      <c r="AT416" s="14"/>
      <c r="AU416" s="14"/>
      <c r="AV416" s="14"/>
      <c r="AW416" s="14"/>
    </row>
    <row r="417" spans="1:49" ht="13">
      <c r="A417" s="133">
        <v>2017</v>
      </c>
      <c r="B417" s="29" t="s">
        <v>58</v>
      </c>
      <c r="C417" s="29" t="s">
        <v>2317</v>
      </c>
      <c r="D417" s="29" t="s">
        <v>2317</v>
      </c>
      <c r="E417" s="29" t="e">
        <v>#N/A</v>
      </c>
      <c r="F417" s="29"/>
      <c r="G417" s="29">
        <f>COUNTIF(Stakeholders!$E$2:$E960,F417)</f>
        <v>0</v>
      </c>
      <c r="H417" s="29" t="s">
        <v>2336</v>
      </c>
      <c r="I417" s="151" t="s">
        <v>2337</v>
      </c>
      <c r="J417" s="29" t="s">
        <v>67</v>
      </c>
      <c r="K417" s="29"/>
      <c r="L417" s="29"/>
      <c r="M417" s="29"/>
      <c r="N417" s="29"/>
      <c r="O417" s="29"/>
      <c r="P417" s="29"/>
      <c r="Q417" s="29"/>
      <c r="R417" s="29"/>
      <c r="S417" s="29"/>
      <c r="T417" s="29"/>
      <c r="U417" s="29"/>
      <c r="V417" s="29"/>
      <c r="W417" s="29" t="s">
        <v>67</v>
      </c>
      <c r="X417" s="29"/>
      <c r="Y417" s="29"/>
      <c r="Z417" s="29"/>
      <c r="AA417" s="29"/>
      <c r="AB417" s="29" t="s">
        <v>1752</v>
      </c>
      <c r="AC417" s="136">
        <v>44069</v>
      </c>
      <c r="AD417" s="29" t="s">
        <v>1320</v>
      </c>
      <c r="AE417" s="34" t="e">
        <f>VLOOKUP(F417,Stakeholders!E:K,7,0)</f>
        <v>#N/A</v>
      </c>
      <c r="AF417" s="29"/>
      <c r="AG417" s="29"/>
      <c r="AH417" s="34" t="s">
        <v>82</v>
      </c>
      <c r="AI417" s="29"/>
      <c r="AJ417" s="29"/>
      <c r="AK417" s="29"/>
      <c r="AL417" s="29"/>
      <c r="AM417" s="29"/>
      <c r="AN417" s="29"/>
      <c r="AO417" s="29"/>
      <c r="AP417" s="29"/>
      <c r="AQ417" s="29"/>
      <c r="AR417" s="29"/>
      <c r="AS417" s="29"/>
      <c r="AT417" s="29"/>
      <c r="AU417" s="29"/>
      <c r="AV417" s="29"/>
      <c r="AW417" s="29"/>
    </row>
    <row r="418" spans="1:49" ht="13">
      <c r="A418" s="132">
        <v>2015</v>
      </c>
      <c r="B418" s="14" t="s">
        <v>58</v>
      </c>
      <c r="C418" s="14" t="s">
        <v>1767</v>
      </c>
      <c r="D418" s="14" t="s">
        <v>2338</v>
      </c>
      <c r="E418" s="14" t="e">
        <v>#N/A</v>
      </c>
      <c r="F418" s="14"/>
      <c r="G418" s="14">
        <f>COUNTIF(Stakeholders!$E$2:$E960,F418)</f>
        <v>0</v>
      </c>
      <c r="H418" s="14" t="s">
        <v>2339</v>
      </c>
      <c r="I418" s="152" t="s">
        <v>2340</v>
      </c>
      <c r="J418" s="14" t="s">
        <v>67</v>
      </c>
      <c r="K418" s="14"/>
      <c r="L418" s="14"/>
      <c r="M418" s="14"/>
      <c r="N418" s="14"/>
      <c r="O418" s="14"/>
      <c r="P418" s="14"/>
      <c r="Q418" s="14"/>
      <c r="R418" s="14"/>
      <c r="S418" s="14"/>
      <c r="T418" s="14"/>
      <c r="U418" s="14"/>
      <c r="V418" s="14"/>
      <c r="W418" s="14" t="s">
        <v>67</v>
      </c>
      <c r="X418" s="14"/>
      <c r="Y418" s="14"/>
      <c r="Z418" s="14"/>
      <c r="AA418" s="14"/>
      <c r="AB418" s="14" t="s">
        <v>1752</v>
      </c>
      <c r="AC418" s="135">
        <v>44070</v>
      </c>
      <c r="AD418" s="14" t="s">
        <v>1321</v>
      </c>
      <c r="AE418" s="24" t="e">
        <f>VLOOKUP(F418,Stakeholders!E:K,7,0)</f>
        <v>#N/A</v>
      </c>
      <c r="AF418" s="14"/>
      <c r="AG418" s="14"/>
      <c r="AH418" s="24" t="s">
        <v>82</v>
      </c>
      <c r="AI418" s="14"/>
      <c r="AJ418" s="14"/>
      <c r="AK418" s="14"/>
      <c r="AL418" s="14"/>
      <c r="AM418" s="14"/>
      <c r="AN418" s="14"/>
      <c r="AO418" s="14"/>
      <c r="AP418" s="14"/>
      <c r="AQ418" s="14"/>
      <c r="AR418" s="14"/>
      <c r="AS418" s="14"/>
      <c r="AT418" s="14"/>
      <c r="AU418" s="14"/>
      <c r="AV418" s="14"/>
      <c r="AW418" s="14"/>
    </row>
    <row r="419" spans="1:49" ht="13">
      <c r="A419" s="133">
        <v>2016</v>
      </c>
      <c r="B419" s="29" t="s">
        <v>58</v>
      </c>
      <c r="C419" s="29" t="s">
        <v>1767</v>
      </c>
      <c r="D419" s="29" t="s">
        <v>2338</v>
      </c>
      <c r="E419" s="29" t="e">
        <v>#N/A</v>
      </c>
      <c r="F419" s="29"/>
      <c r="G419" s="29">
        <f>COUNTIF(Stakeholders!$E$2:$E960,F419)</f>
        <v>0</v>
      </c>
      <c r="H419" s="29" t="s">
        <v>2341</v>
      </c>
      <c r="I419" s="151" t="s">
        <v>2342</v>
      </c>
      <c r="J419" s="29" t="s">
        <v>67</v>
      </c>
      <c r="K419" s="29"/>
      <c r="L419" s="29"/>
      <c r="M419" s="29"/>
      <c r="N419" s="29"/>
      <c r="O419" s="29"/>
      <c r="P419" s="29"/>
      <c r="Q419" s="29"/>
      <c r="R419" s="29"/>
      <c r="S419" s="29"/>
      <c r="T419" s="29"/>
      <c r="U419" s="29"/>
      <c r="V419" s="29"/>
      <c r="W419" s="29" t="s">
        <v>67</v>
      </c>
      <c r="X419" s="29"/>
      <c r="Y419" s="29"/>
      <c r="Z419" s="29"/>
      <c r="AA419" s="29"/>
      <c r="AB419" s="29" t="s">
        <v>1752</v>
      </c>
      <c r="AC419" s="136">
        <v>44071</v>
      </c>
      <c r="AD419" s="29" t="s">
        <v>807</v>
      </c>
      <c r="AE419" s="34" t="e">
        <f>VLOOKUP(F419,Stakeholders!E:K,7,0)</f>
        <v>#N/A</v>
      </c>
      <c r="AF419" s="29"/>
      <c r="AG419" s="29"/>
      <c r="AH419" s="34" t="s">
        <v>82</v>
      </c>
      <c r="AI419" s="29"/>
      <c r="AJ419" s="29"/>
      <c r="AK419" s="29"/>
      <c r="AL419" s="29"/>
      <c r="AM419" s="29"/>
      <c r="AN419" s="29"/>
      <c r="AO419" s="29"/>
      <c r="AP419" s="29"/>
      <c r="AQ419" s="29"/>
      <c r="AR419" s="29"/>
      <c r="AS419" s="29"/>
      <c r="AT419" s="29"/>
      <c r="AU419" s="29"/>
      <c r="AV419" s="29"/>
      <c r="AW419" s="29"/>
    </row>
    <row r="420" spans="1:49" ht="13">
      <c r="A420" s="132">
        <v>2015</v>
      </c>
      <c r="B420" s="14" t="s">
        <v>58</v>
      </c>
      <c r="C420" s="14" t="s">
        <v>605</v>
      </c>
      <c r="D420" s="14" t="s">
        <v>605</v>
      </c>
      <c r="E420" s="14" t="e">
        <v>#N/A</v>
      </c>
      <c r="F420" s="14"/>
      <c r="G420" s="14">
        <f>COUNTIF(Stakeholders!$E$2:$E960,F420)</f>
        <v>0</v>
      </c>
      <c r="H420" s="14" t="s">
        <v>2343</v>
      </c>
      <c r="I420" s="152" t="s">
        <v>2344</v>
      </c>
      <c r="J420" s="14" t="s">
        <v>67</v>
      </c>
      <c r="K420" s="14"/>
      <c r="L420" s="14"/>
      <c r="M420" s="14"/>
      <c r="N420" s="14"/>
      <c r="O420" s="14"/>
      <c r="P420" s="14"/>
      <c r="Q420" s="14"/>
      <c r="R420" s="14"/>
      <c r="S420" s="14"/>
      <c r="T420" s="14"/>
      <c r="U420" s="14"/>
      <c r="V420" s="14"/>
      <c r="W420" s="14" t="s">
        <v>67</v>
      </c>
      <c r="X420" s="14"/>
      <c r="Y420" s="14"/>
      <c r="Z420" s="14"/>
      <c r="AA420" s="14"/>
      <c r="AB420" s="14" t="s">
        <v>1752</v>
      </c>
      <c r="AC420" s="135">
        <v>44072</v>
      </c>
      <c r="AD420" s="14" t="s">
        <v>808</v>
      </c>
      <c r="AE420" s="24" t="e">
        <f>VLOOKUP(F420,Stakeholders!E:K,7,0)</f>
        <v>#N/A</v>
      </c>
      <c r="AF420" s="14"/>
      <c r="AG420" s="14"/>
      <c r="AH420" s="24" t="s">
        <v>82</v>
      </c>
      <c r="AI420" s="14"/>
      <c r="AJ420" s="14"/>
      <c r="AK420" s="14"/>
      <c r="AL420" s="14"/>
      <c r="AM420" s="14"/>
      <c r="AN420" s="14"/>
      <c r="AO420" s="14"/>
      <c r="AP420" s="14"/>
      <c r="AQ420" s="14"/>
      <c r="AR420" s="14"/>
      <c r="AS420" s="14"/>
      <c r="AT420" s="14"/>
      <c r="AU420" s="14"/>
      <c r="AV420" s="14"/>
      <c r="AW420" s="14"/>
    </row>
    <row r="421" spans="1:49" ht="13">
      <c r="A421" s="133">
        <v>2008</v>
      </c>
      <c r="B421" s="29" t="s">
        <v>58</v>
      </c>
      <c r="C421" s="29" t="s">
        <v>611</v>
      </c>
      <c r="D421" s="29" t="s">
        <v>1805</v>
      </c>
      <c r="E421" s="29" t="e">
        <v>#N/A</v>
      </c>
      <c r="F421" s="29"/>
      <c r="G421" s="29">
        <f>COUNTIF(Stakeholders!$E$2:$E960,F421)</f>
        <v>0</v>
      </c>
      <c r="H421" s="29" t="s">
        <v>2345</v>
      </c>
      <c r="I421" s="151" t="s">
        <v>2346</v>
      </c>
      <c r="J421" s="29" t="s">
        <v>67</v>
      </c>
      <c r="K421" s="29"/>
      <c r="L421" s="29"/>
      <c r="M421" s="29"/>
      <c r="N421" s="29"/>
      <c r="O421" s="29"/>
      <c r="P421" s="29"/>
      <c r="Q421" s="29"/>
      <c r="R421" s="29"/>
      <c r="S421" s="29"/>
      <c r="T421" s="29"/>
      <c r="U421" s="29"/>
      <c r="V421" s="29"/>
      <c r="W421" s="29" t="s">
        <v>67</v>
      </c>
      <c r="X421" s="29"/>
      <c r="Y421" s="29"/>
      <c r="Z421" s="29"/>
      <c r="AA421" s="29"/>
      <c r="AB421" s="29" t="s">
        <v>1752</v>
      </c>
      <c r="AC421" s="136">
        <v>44073</v>
      </c>
      <c r="AD421" s="29" t="s">
        <v>809</v>
      </c>
      <c r="AE421" s="34" t="e">
        <f>VLOOKUP(F421,Stakeholders!E:K,7,0)</f>
        <v>#N/A</v>
      </c>
      <c r="AF421" s="29"/>
      <c r="AG421" s="29"/>
      <c r="AH421" s="34" t="s">
        <v>82</v>
      </c>
      <c r="AI421" s="29"/>
      <c r="AJ421" s="29"/>
      <c r="AK421" s="29"/>
      <c r="AL421" s="29"/>
      <c r="AM421" s="29"/>
      <c r="AN421" s="29"/>
      <c r="AO421" s="29"/>
      <c r="AP421" s="29"/>
      <c r="AQ421" s="29"/>
      <c r="AR421" s="29"/>
      <c r="AS421" s="29"/>
      <c r="AT421" s="29"/>
      <c r="AU421" s="29"/>
      <c r="AV421" s="29"/>
      <c r="AW421" s="29"/>
    </row>
    <row r="422" spans="1:49" ht="13">
      <c r="A422" s="132">
        <v>2013</v>
      </c>
      <c r="B422" s="14" t="s">
        <v>58</v>
      </c>
      <c r="C422" s="14" t="s">
        <v>611</v>
      </c>
      <c r="D422" s="14" t="s">
        <v>1846</v>
      </c>
      <c r="E422" s="14" t="e">
        <v>#N/A</v>
      </c>
      <c r="F422" s="14"/>
      <c r="G422" s="14">
        <f>COUNTIF(Stakeholders!$E$2:$E960,F422)</f>
        <v>0</v>
      </c>
      <c r="H422" s="14" t="s">
        <v>2347</v>
      </c>
      <c r="I422" s="152" t="s">
        <v>2348</v>
      </c>
      <c r="J422" s="14" t="s">
        <v>67</v>
      </c>
      <c r="K422" s="14"/>
      <c r="L422" s="14"/>
      <c r="M422" s="14"/>
      <c r="N422" s="14"/>
      <c r="O422" s="14"/>
      <c r="P422" s="14"/>
      <c r="Q422" s="14"/>
      <c r="R422" s="14"/>
      <c r="S422" s="14"/>
      <c r="T422" s="14"/>
      <c r="U422" s="14"/>
      <c r="V422" s="14"/>
      <c r="W422" s="14" t="s">
        <v>67</v>
      </c>
      <c r="X422" s="14"/>
      <c r="Y422" s="14"/>
      <c r="Z422" s="14"/>
      <c r="AA422" s="14"/>
      <c r="AB422" s="14" t="s">
        <v>1752</v>
      </c>
      <c r="AC422" s="135">
        <v>44074</v>
      </c>
      <c r="AD422" s="14" t="s">
        <v>811</v>
      </c>
      <c r="AE422" s="24" t="e">
        <f>VLOOKUP(F422,Stakeholders!E:K,7,0)</f>
        <v>#N/A</v>
      </c>
      <c r="AF422" s="14"/>
      <c r="AG422" s="14"/>
      <c r="AH422" s="24" t="s">
        <v>82</v>
      </c>
      <c r="AI422" s="14"/>
      <c r="AJ422" s="14"/>
      <c r="AK422" s="14"/>
      <c r="AL422" s="14"/>
      <c r="AM422" s="14"/>
      <c r="AN422" s="14"/>
      <c r="AO422" s="14"/>
      <c r="AP422" s="14"/>
      <c r="AQ422" s="14"/>
      <c r="AR422" s="14"/>
      <c r="AS422" s="14"/>
      <c r="AT422" s="14"/>
      <c r="AU422" s="14"/>
      <c r="AV422" s="14"/>
      <c r="AW422" s="14"/>
    </row>
    <row r="423" spans="1:49" ht="13">
      <c r="A423" s="133">
        <v>2013</v>
      </c>
      <c r="B423" s="29" t="s">
        <v>58</v>
      </c>
      <c r="C423" s="29" t="s">
        <v>611</v>
      </c>
      <c r="D423" s="29" t="s">
        <v>1805</v>
      </c>
      <c r="E423" s="29" t="e">
        <v>#N/A</v>
      </c>
      <c r="F423" s="29"/>
      <c r="G423" s="29">
        <f>COUNTIF(Stakeholders!$E$2:$E960,F423)</f>
        <v>0</v>
      </c>
      <c r="H423" s="29" t="s">
        <v>2349</v>
      </c>
      <c r="I423" s="151" t="s">
        <v>2350</v>
      </c>
      <c r="J423" s="29" t="s">
        <v>67</v>
      </c>
      <c r="K423" s="29"/>
      <c r="L423" s="29"/>
      <c r="M423" s="29"/>
      <c r="N423" s="29"/>
      <c r="O423" s="29"/>
      <c r="P423" s="29"/>
      <c r="Q423" s="29"/>
      <c r="R423" s="29"/>
      <c r="S423" s="29"/>
      <c r="T423" s="29"/>
      <c r="U423" s="29"/>
      <c r="V423" s="29"/>
      <c r="W423" s="29" t="s">
        <v>67</v>
      </c>
      <c r="X423" s="29"/>
      <c r="Y423" s="29"/>
      <c r="Z423" s="29"/>
      <c r="AA423" s="29"/>
      <c r="AB423" s="29" t="s">
        <v>1752</v>
      </c>
      <c r="AC423" s="136">
        <v>44075</v>
      </c>
      <c r="AD423" s="29" t="s">
        <v>812</v>
      </c>
      <c r="AE423" s="34" t="e">
        <f>VLOOKUP(F423,Stakeholders!E:K,7,0)</f>
        <v>#N/A</v>
      </c>
      <c r="AF423" s="29"/>
      <c r="AG423" s="29"/>
      <c r="AH423" s="34" t="s">
        <v>82</v>
      </c>
      <c r="AI423" s="29"/>
      <c r="AJ423" s="29"/>
      <c r="AK423" s="29"/>
      <c r="AL423" s="29"/>
      <c r="AM423" s="29"/>
      <c r="AN423" s="29"/>
      <c r="AO423" s="29"/>
      <c r="AP423" s="29"/>
      <c r="AQ423" s="29"/>
      <c r="AR423" s="29"/>
      <c r="AS423" s="29"/>
      <c r="AT423" s="29"/>
      <c r="AU423" s="29"/>
      <c r="AV423" s="29"/>
      <c r="AW423" s="29"/>
    </row>
    <row r="424" spans="1:49" ht="13">
      <c r="A424" s="132">
        <v>2014</v>
      </c>
      <c r="B424" s="14" t="s">
        <v>58</v>
      </c>
      <c r="C424" s="14" t="s">
        <v>611</v>
      </c>
      <c r="D424" s="14" t="s">
        <v>1805</v>
      </c>
      <c r="E424" s="14" t="e">
        <v>#N/A</v>
      </c>
      <c r="F424" s="14"/>
      <c r="G424" s="14">
        <f>COUNTIF(Stakeholders!$E$2:$E960,F424)</f>
        <v>0</v>
      </c>
      <c r="H424" s="14" t="s">
        <v>2351</v>
      </c>
      <c r="I424" s="152" t="s">
        <v>2352</v>
      </c>
      <c r="J424" s="14" t="s">
        <v>67</v>
      </c>
      <c r="K424" s="14"/>
      <c r="L424" s="14"/>
      <c r="M424" s="14"/>
      <c r="N424" s="14"/>
      <c r="O424" s="14"/>
      <c r="P424" s="14"/>
      <c r="Q424" s="14"/>
      <c r="R424" s="14"/>
      <c r="S424" s="14"/>
      <c r="T424" s="14"/>
      <c r="U424" s="14"/>
      <c r="V424" s="14"/>
      <c r="W424" s="14" t="s">
        <v>67</v>
      </c>
      <c r="X424" s="14"/>
      <c r="Y424" s="14"/>
      <c r="Z424" s="14"/>
      <c r="AA424" s="14"/>
      <c r="AB424" s="14" t="s">
        <v>1752</v>
      </c>
      <c r="AC424" s="135">
        <v>44076</v>
      </c>
      <c r="AD424" s="14" t="s">
        <v>1325</v>
      </c>
      <c r="AE424" s="24" t="e">
        <f>VLOOKUP(F424,Stakeholders!E:K,7,0)</f>
        <v>#N/A</v>
      </c>
      <c r="AF424" s="14"/>
      <c r="AG424" s="14"/>
      <c r="AH424" s="24" t="s">
        <v>82</v>
      </c>
      <c r="AI424" s="14"/>
      <c r="AJ424" s="14"/>
      <c r="AK424" s="14"/>
      <c r="AL424" s="14"/>
      <c r="AM424" s="14"/>
      <c r="AN424" s="14"/>
      <c r="AO424" s="14"/>
      <c r="AP424" s="14"/>
      <c r="AQ424" s="14"/>
      <c r="AR424" s="14"/>
      <c r="AS424" s="14"/>
      <c r="AT424" s="14"/>
      <c r="AU424" s="14"/>
      <c r="AV424" s="14"/>
      <c r="AW424" s="14"/>
    </row>
    <row r="425" spans="1:49" ht="13">
      <c r="A425" s="133">
        <v>2014</v>
      </c>
      <c r="B425" s="29" t="s">
        <v>58</v>
      </c>
      <c r="C425" s="29" t="s">
        <v>611</v>
      </c>
      <c r="D425" s="29" t="s">
        <v>1805</v>
      </c>
      <c r="E425" s="29" t="e">
        <v>#N/A</v>
      </c>
      <c r="F425" s="29"/>
      <c r="G425" s="29">
        <f>COUNTIF(Stakeholders!$E$2:$E960,F425)</f>
        <v>0</v>
      </c>
      <c r="H425" s="29" t="s">
        <v>2353</v>
      </c>
      <c r="I425" s="151" t="s">
        <v>2354</v>
      </c>
      <c r="J425" s="29" t="s">
        <v>67</v>
      </c>
      <c r="K425" s="29"/>
      <c r="L425" s="29"/>
      <c r="M425" s="29"/>
      <c r="N425" s="29"/>
      <c r="O425" s="29"/>
      <c r="P425" s="29"/>
      <c r="Q425" s="29"/>
      <c r="R425" s="29"/>
      <c r="S425" s="29"/>
      <c r="T425" s="29"/>
      <c r="U425" s="29"/>
      <c r="V425" s="29"/>
      <c r="W425" s="29" t="s">
        <v>67</v>
      </c>
      <c r="X425" s="29"/>
      <c r="Y425" s="29"/>
      <c r="Z425" s="29"/>
      <c r="AA425" s="29"/>
      <c r="AB425" s="29" t="s">
        <v>1752</v>
      </c>
      <c r="AC425" s="136">
        <v>44077</v>
      </c>
      <c r="AD425" s="29" t="s">
        <v>1326</v>
      </c>
      <c r="AE425" s="34" t="e">
        <f>VLOOKUP(F425,Stakeholders!E:K,7,0)</f>
        <v>#N/A</v>
      </c>
      <c r="AF425" s="29"/>
      <c r="AG425" s="29"/>
      <c r="AH425" s="34" t="s">
        <v>82</v>
      </c>
      <c r="AI425" s="29"/>
      <c r="AJ425" s="29"/>
      <c r="AK425" s="29"/>
      <c r="AL425" s="29"/>
      <c r="AM425" s="29"/>
      <c r="AN425" s="29"/>
      <c r="AO425" s="29"/>
      <c r="AP425" s="29"/>
      <c r="AQ425" s="29"/>
      <c r="AR425" s="29"/>
      <c r="AS425" s="29"/>
      <c r="AT425" s="29"/>
      <c r="AU425" s="29"/>
      <c r="AV425" s="29"/>
      <c r="AW425" s="29"/>
    </row>
    <row r="426" spans="1:49" ht="13">
      <c r="A426" s="132">
        <v>2015</v>
      </c>
      <c r="B426" s="14" t="s">
        <v>58</v>
      </c>
      <c r="C426" s="14" t="s">
        <v>611</v>
      </c>
      <c r="D426" s="14" t="s">
        <v>1805</v>
      </c>
      <c r="E426" s="14" t="e">
        <v>#N/A</v>
      </c>
      <c r="F426" s="14"/>
      <c r="G426" s="14">
        <f>COUNTIF(Stakeholders!$E$2:$E960,F426)</f>
        <v>0</v>
      </c>
      <c r="H426" s="14" t="s">
        <v>2355</v>
      </c>
      <c r="I426" s="152" t="s">
        <v>2356</v>
      </c>
      <c r="J426" s="14" t="s">
        <v>67</v>
      </c>
      <c r="K426" s="14"/>
      <c r="L426" s="14"/>
      <c r="M426" s="14"/>
      <c r="N426" s="14"/>
      <c r="O426" s="14"/>
      <c r="P426" s="14"/>
      <c r="Q426" s="14"/>
      <c r="R426" s="14"/>
      <c r="S426" s="14"/>
      <c r="T426" s="14"/>
      <c r="U426" s="14"/>
      <c r="V426" s="14"/>
      <c r="W426" s="14" t="s">
        <v>67</v>
      </c>
      <c r="X426" s="14"/>
      <c r="Y426" s="14"/>
      <c r="Z426" s="14"/>
      <c r="AA426" s="14"/>
      <c r="AB426" s="14" t="s">
        <v>1752</v>
      </c>
      <c r="AC426" s="135">
        <v>44078</v>
      </c>
      <c r="AD426" s="14" t="s">
        <v>1327</v>
      </c>
      <c r="AE426" s="24" t="e">
        <f>VLOOKUP(F426,Stakeholders!E:K,7,0)</f>
        <v>#N/A</v>
      </c>
      <c r="AF426" s="14"/>
      <c r="AG426" s="14"/>
      <c r="AH426" s="24" t="s">
        <v>82</v>
      </c>
      <c r="AI426" s="14"/>
      <c r="AJ426" s="14"/>
      <c r="AK426" s="14"/>
      <c r="AL426" s="14"/>
      <c r="AM426" s="14"/>
      <c r="AN426" s="14"/>
      <c r="AO426" s="14"/>
      <c r="AP426" s="14"/>
      <c r="AQ426" s="14"/>
      <c r="AR426" s="14"/>
      <c r="AS426" s="14"/>
      <c r="AT426" s="14"/>
      <c r="AU426" s="14"/>
      <c r="AV426" s="14"/>
      <c r="AW426" s="14"/>
    </row>
    <row r="427" spans="1:49" ht="13">
      <c r="A427" s="133">
        <v>2015</v>
      </c>
      <c r="B427" s="29" t="s">
        <v>58</v>
      </c>
      <c r="C427" s="29" t="s">
        <v>611</v>
      </c>
      <c r="D427" s="29" t="s">
        <v>1805</v>
      </c>
      <c r="E427" s="29" t="e">
        <v>#N/A</v>
      </c>
      <c r="F427" s="29"/>
      <c r="G427" s="29">
        <f>COUNTIF(Stakeholders!$E$2:$E960,F427)</f>
        <v>0</v>
      </c>
      <c r="H427" s="29" t="s">
        <v>2357</v>
      </c>
      <c r="I427" s="151" t="s">
        <v>2358</v>
      </c>
      <c r="J427" s="29" t="s">
        <v>67</v>
      </c>
      <c r="K427" s="29"/>
      <c r="L427" s="29"/>
      <c r="M427" s="29"/>
      <c r="N427" s="29"/>
      <c r="O427" s="29"/>
      <c r="P427" s="29"/>
      <c r="Q427" s="29"/>
      <c r="R427" s="29"/>
      <c r="S427" s="29"/>
      <c r="T427" s="29"/>
      <c r="U427" s="29"/>
      <c r="V427" s="29"/>
      <c r="W427" s="29" t="s">
        <v>67</v>
      </c>
      <c r="X427" s="29"/>
      <c r="Y427" s="29"/>
      <c r="Z427" s="29"/>
      <c r="AA427" s="29"/>
      <c r="AB427" s="29" t="s">
        <v>1752</v>
      </c>
      <c r="AC427" s="136">
        <v>44079</v>
      </c>
      <c r="AD427" s="29" t="s">
        <v>1328</v>
      </c>
      <c r="AE427" s="34" t="e">
        <f>VLOOKUP(F427,Stakeholders!E:K,7,0)</f>
        <v>#N/A</v>
      </c>
      <c r="AF427" s="29"/>
      <c r="AG427" s="29"/>
      <c r="AH427" s="34" t="s">
        <v>82</v>
      </c>
      <c r="AI427" s="29"/>
      <c r="AJ427" s="29"/>
      <c r="AK427" s="29"/>
      <c r="AL427" s="29"/>
      <c r="AM427" s="29"/>
      <c r="AN427" s="29"/>
      <c r="AO427" s="29"/>
      <c r="AP427" s="29"/>
      <c r="AQ427" s="29"/>
      <c r="AR427" s="29"/>
      <c r="AS427" s="29"/>
      <c r="AT427" s="29"/>
      <c r="AU427" s="29"/>
      <c r="AV427" s="29"/>
      <c r="AW427" s="29"/>
    </row>
    <row r="428" spans="1:49" ht="13">
      <c r="A428" s="132">
        <v>2015</v>
      </c>
      <c r="B428" s="14" t="s">
        <v>58</v>
      </c>
      <c r="C428" s="14" t="s">
        <v>611</v>
      </c>
      <c r="D428" s="14" t="s">
        <v>1846</v>
      </c>
      <c r="E428" s="14" t="e">
        <v>#N/A</v>
      </c>
      <c r="F428" s="14"/>
      <c r="G428" s="14">
        <f>COUNTIF(Stakeholders!$E$2:$E960,F428)</f>
        <v>0</v>
      </c>
      <c r="H428" s="14" t="s">
        <v>2359</v>
      </c>
      <c r="I428" s="152" t="s">
        <v>2360</v>
      </c>
      <c r="J428" s="14" t="s">
        <v>67</v>
      </c>
      <c r="K428" s="14"/>
      <c r="L428" s="14"/>
      <c r="M428" s="14"/>
      <c r="N428" s="14"/>
      <c r="O428" s="14"/>
      <c r="P428" s="14"/>
      <c r="Q428" s="14"/>
      <c r="R428" s="14"/>
      <c r="S428" s="14"/>
      <c r="T428" s="14"/>
      <c r="U428" s="14"/>
      <c r="V428" s="14"/>
      <c r="W428" s="14" t="s">
        <v>67</v>
      </c>
      <c r="X428" s="14"/>
      <c r="Y428" s="14"/>
      <c r="Z428" s="14"/>
      <c r="AA428" s="14"/>
      <c r="AB428" s="14" t="s">
        <v>1752</v>
      </c>
      <c r="AC428" s="135">
        <v>44080</v>
      </c>
      <c r="AD428" s="14" t="s">
        <v>1329</v>
      </c>
      <c r="AE428" s="24" t="e">
        <f>VLOOKUP(F428,Stakeholders!E:K,7,0)</f>
        <v>#N/A</v>
      </c>
      <c r="AF428" s="14"/>
      <c r="AG428" s="14"/>
      <c r="AH428" s="24" t="s">
        <v>82</v>
      </c>
      <c r="AI428" s="14"/>
      <c r="AJ428" s="14"/>
      <c r="AK428" s="14"/>
      <c r="AL428" s="14"/>
      <c r="AM428" s="14"/>
      <c r="AN428" s="14"/>
      <c r="AO428" s="14"/>
      <c r="AP428" s="14"/>
      <c r="AQ428" s="14"/>
      <c r="AR428" s="14"/>
      <c r="AS428" s="14"/>
      <c r="AT428" s="14"/>
      <c r="AU428" s="14"/>
      <c r="AV428" s="14"/>
      <c r="AW428" s="14"/>
    </row>
    <row r="429" spans="1:49" ht="13">
      <c r="A429" s="133">
        <v>2015</v>
      </c>
      <c r="B429" s="29" t="s">
        <v>58</v>
      </c>
      <c r="C429" s="29" t="s">
        <v>611</v>
      </c>
      <c r="D429" s="29" t="s">
        <v>1846</v>
      </c>
      <c r="E429" s="29" t="e">
        <v>#N/A</v>
      </c>
      <c r="F429" s="29"/>
      <c r="G429" s="29">
        <f>COUNTIF(Stakeholders!$E$2:$E960,F429)</f>
        <v>0</v>
      </c>
      <c r="H429" s="29" t="s">
        <v>2361</v>
      </c>
      <c r="I429" s="151" t="s">
        <v>2362</v>
      </c>
      <c r="J429" s="29" t="s">
        <v>67</v>
      </c>
      <c r="K429" s="29"/>
      <c r="L429" s="29"/>
      <c r="M429" s="29"/>
      <c r="N429" s="29"/>
      <c r="O429" s="29"/>
      <c r="P429" s="29"/>
      <c r="Q429" s="29"/>
      <c r="R429" s="29"/>
      <c r="S429" s="29"/>
      <c r="T429" s="29"/>
      <c r="U429" s="29"/>
      <c r="V429" s="29"/>
      <c r="W429" s="29" t="s">
        <v>67</v>
      </c>
      <c r="X429" s="29"/>
      <c r="Y429" s="29"/>
      <c r="Z429" s="29"/>
      <c r="AA429" s="29"/>
      <c r="AB429" s="29" t="s">
        <v>1752</v>
      </c>
      <c r="AC429" s="136">
        <v>44081</v>
      </c>
      <c r="AD429" s="29" t="s">
        <v>1330</v>
      </c>
      <c r="AE429" s="34" t="e">
        <f>VLOOKUP(F429,Stakeholders!E:K,7,0)</f>
        <v>#N/A</v>
      </c>
      <c r="AF429" s="29"/>
      <c r="AG429" s="29"/>
      <c r="AH429" s="34" t="s">
        <v>82</v>
      </c>
      <c r="AI429" s="29"/>
      <c r="AJ429" s="29"/>
      <c r="AK429" s="29"/>
      <c r="AL429" s="29"/>
      <c r="AM429" s="29"/>
      <c r="AN429" s="29"/>
      <c r="AO429" s="29"/>
      <c r="AP429" s="29"/>
      <c r="AQ429" s="29"/>
      <c r="AR429" s="29"/>
      <c r="AS429" s="29"/>
      <c r="AT429" s="29"/>
      <c r="AU429" s="29"/>
      <c r="AV429" s="29"/>
      <c r="AW429" s="29"/>
    </row>
    <row r="430" spans="1:49" ht="13">
      <c r="A430" s="132">
        <v>2015</v>
      </c>
      <c r="B430" s="14" t="s">
        <v>58</v>
      </c>
      <c r="C430" s="14" t="s">
        <v>611</v>
      </c>
      <c r="D430" s="14" t="s">
        <v>1846</v>
      </c>
      <c r="E430" s="14" t="e">
        <v>#N/A</v>
      </c>
      <c r="F430" s="14"/>
      <c r="G430" s="14">
        <f>COUNTIF(Stakeholders!$E$2:$E960,F430)</f>
        <v>0</v>
      </c>
      <c r="H430" s="14" t="s">
        <v>2363</v>
      </c>
      <c r="I430" s="152" t="s">
        <v>2364</v>
      </c>
      <c r="J430" s="14" t="s">
        <v>67</v>
      </c>
      <c r="K430" s="14"/>
      <c r="L430" s="14"/>
      <c r="M430" s="14"/>
      <c r="N430" s="14"/>
      <c r="O430" s="14"/>
      <c r="P430" s="14"/>
      <c r="Q430" s="14"/>
      <c r="R430" s="14"/>
      <c r="S430" s="14"/>
      <c r="T430" s="14"/>
      <c r="U430" s="14"/>
      <c r="V430" s="14"/>
      <c r="W430" s="14" t="s">
        <v>67</v>
      </c>
      <c r="X430" s="14"/>
      <c r="Y430" s="14"/>
      <c r="Z430" s="14"/>
      <c r="AA430" s="14"/>
      <c r="AB430" s="14" t="s">
        <v>1752</v>
      </c>
      <c r="AC430" s="135">
        <v>44082</v>
      </c>
      <c r="AD430" s="14" t="s">
        <v>1331</v>
      </c>
      <c r="AE430" s="24" t="e">
        <f>VLOOKUP(F430,Stakeholders!E:K,7,0)</f>
        <v>#N/A</v>
      </c>
      <c r="AF430" s="14"/>
      <c r="AG430" s="14"/>
      <c r="AH430" s="24" t="s">
        <v>82</v>
      </c>
      <c r="AI430" s="14"/>
      <c r="AJ430" s="14"/>
      <c r="AK430" s="14"/>
      <c r="AL430" s="14"/>
      <c r="AM430" s="14"/>
      <c r="AN430" s="14"/>
      <c r="AO430" s="14"/>
      <c r="AP430" s="14"/>
      <c r="AQ430" s="14"/>
      <c r="AR430" s="14"/>
      <c r="AS430" s="14"/>
      <c r="AT430" s="14"/>
      <c r="AU430" s="14"/>
      <c r="AV430" s="14"/>
      <c r="AW430" s="14"/>
    </row>
    <row r="431" spans="1:49" ht="13">
      <c r="A431" s="133">
        <v>2016</v>
      </c>
      <c r="B431" s="29" t="s">
        <v>58</v>
      </c>
      <c r="C431" s="29" t="s">
        <v>611</v>
      </c>
      <c r="D431" s="29" t="s">
        <v>1805</v>
      </c>
      <c r="E431" s="29" t="e">
        <v>#N/A</v>
      </c>
      <c r="F431" s="29"/>
      <c r="G431" s="29">
        <f>COUNTIF(Stakeholders!$E$2:$E960,F431)</f>
        <v>0</v>
      </c>
      <c r="H431" s="29" t="s">
        <v>2365</v>
      </c>
      <c r="I431" s="151" t="s">
        <v>2366</v>
      </c>
      <c r="J431" s="29" t="s">
        <v>67</v>
      </c>
      <c r="K431" s="29"/>
      <c r="L431" s="29"/>
      <c r="M431" s="29"/>
      <c r="N431" s="29"/>
      <c r="O431" s="29"/>
      <c r="P431" s="29"/>
      <c r="Q431" s="29"/>
      <c r="R431" s="29"/>
      <c r="S431" s="29"/>
      <c r="T431" s="29"/>
      <c r="U431" s="29"/>
      <c r="V431" s="29"/>
      <c r="W431" s="29" t="s">
        <v>67</v>
      </c>
      <c r="X431" s="29"/>
      <c r="Y431" s="29"/>
      <c r="Z431" s="29"/>
      <c r="AA431" s="29"/>
      <c r="AB431" s="29" t="s">
        <v>1752</v>
      </c>
      <c r="AC431" s="136">
        <v>44083</v>
      </c>
      <c r="AD431" s="29" t="s">
        <v>1332</v>
      </c>
      <c r="AE431" s="34" t="e">
        <f>VLOOKUP(F431,Stakeholders!E:K,7,0)</f>
        <v>#N/A</v>
      </c>
      <c r="AF431" s="29"/>
      <c r="AG431" s="29"/>
      <c r="AH431" s="34" t="s">
        <v>82</v>
      </c>
      <c r="AI431" s="29"/>
      <c r="AJ431" s="29"/>
      <c r="AK431" s="29"/>
      <c r="AL431" s="29"/>
      <c r="AM431" s="29"/>
      <c r="AN431" s="29"/>
      <c r="AO431" s="29"/>
      <c r="AP431" s="29"/>
      <c r="AQ431" s="29"/>
      <c r="AR431" s="29"/>
      <c r="AS431" s="29"/>
      <c r="AT431" s="29"/>
      <c r="AU431" s="29"/>
      <c r="AV431" s="29"/>
      <c r="AW431" s="29"/>
    </row>
    <row r="432" spans="1:49" ht="13">
      <c r="A432" s="132">
        <v>2016</v>
      </c>
      <c r="B432" s="14" t="s">
        <v>58</v>
      </c>
      <c r="C432" s="14" t="s">
        <v>611</v>
      </c>
      <c r="D432" s="14" t="s">
        <v>1805</v>
      </c>
      <c r="E432" s="14" t="e">
        <v>#N/A</v>
      </c>
      <c r="F432" s="14"/>
      <c r="G432" s="14">
        <f>COUNTIF(Stakeholders!$E$2:$E960,F432)</f>
        <v>0</v>
      </c>
      <c r="H432" s="14" t="s">
        <v>2367</v>
      </c>
      <c r="I432" s="152" t="s">
        <v>2368</v>
      </c>
      <c r="J432" s="14" t="s">
        <v>67</v>
      </c>
      <c r="K432" s="14"/>
      <c r="L432" s="14"/>
      <c r="M432" s="14"/>
      <c r="N432" s="14"/>
      <c r="O432" s="14"/>
      <c r="P432" s="14"/>
      <c r="Q432" s="14"/>
      <c r="R432" s="14"/>
      <c r="S432" s="14"/>
      <c r="T432" s="14"/>
      <c r="U432" s="14"/>
      <c r="V432" s="14"/>
      <c r="W432" s="14" t="s">
        <v>67</v>
      </c>
      <c r="X432" s="14"/>
      <c r="Y432" s="14"/>
      <c r="Z432" s="14"/>
      <c r="AA432" s="14"/>
      <c r="AB432" s="14" t="s">
        <v>1752</v>
      </c>
      <c r="AC432" s="135">
        <v>44084</v>
      </c>
      <c r="AD432" s="14" t="s">
        <v>762</v>
      </c>
      <c r="AE432" s="24" t="e">
        <f>VLOOKUP(F432,Stakeholders!E:K,7,0)</f>
        <v>#N/A</v>
      </c>
      <c r="AF432" s="14"/>
      <c r="AG432" s="14"/>
      <c r="AH432" s="24" t="s">
        <v>82</v>
      </c>
      <c r="AI432" s="14"/>
      <c r="AJ432" s="14"/>
      <c r="AK432" s="14"/>
      <c r="AL432" s="14"/>
      <c r="AM432" s="14"/>
      <c r="AN432" s="14"/>
      <c r="AO432" s="14"/>
      <c r="AP432" s="14"/>
      <c r="AQ432" s="14"/>
      <c r="AR432" s="14"/>
      <c r="AS432" s="14"/>
      <c r="AT432" s="14"/>
      <c r="AU432" s="14"/>
      <c r="AV432" s="14"/>
      <c r="AW432" s="14"/>
    </row>
    <row r="433" spans="1:49" ht="13">
      <c r="A433" s="133">
        <v>2016</v>
      </c>
      <c r="B433" s="29" t="s">
        <v>58</v>
      </c>
      <c r="C433" s="29" t="s">
        <v>611</v>
      </c>
      <c r="D433" s="29" t="s">
        <v>1805</v>
      </c>
      <c r="E433" s="29" t="e">
        <v>#N/A</v>
      </c>
      <c r="F433" s="29"/>
      <c r="G433" s="29">
        <f>COUNTIF(Stakeholders!$E$2:$E960,F433)</f>
        <v>0</v>
      </c>
      <c r="H433" s="29" t="s">
        <v>2369</v>
      </c>
      <c r="I433" s="151" t="s">
        <v>2370</v>
      </c>
      <c r="J433" s="29" t="s">
        <v>67</v>
      </c>
      <c r="K433" s="29"/>
      <c r="L433" s="29"/>
      <c r="M433" s="29"/>
      <c r="N433" s="29"/>
      <c r="O433" s="29"/>
      <c r="P433" s="29"/>
      <c r="Q433" s="29"/>
      <c r="R433" s="29"/>
      <c r="S433" s="29"/>
      <c r="T433" s="29"/>
      <c r="U433" s="29"/>
      <c r="V433" s="29"/>
      <c r="W433" s="29" t="s">
        <v>67</v>
      </c>
      <c r="X433" s="29"/>
      <c r="Y433" s="29"/>
      <c r="Z433" s="29"/>
      <c r="AA433" s="29"/>
      <c r="AB433" s="29" t="s">
        <v>1752</v>
      </c>
      <c r="AC433" s="136">
        <v>44085</v>
      </c>
      <c r="AD433" s="29" t="s">
        <v>1334</v>
      </c>
      <c r="AE433" s="34" t="e">
        <f>VLOOKUP(F433,Stakeholders!E:K,7,0)</f>
        <v>#N/A</v>
      </c>
      <c r="AF433" s="29"/>
      <c r="AG433" s="29"/>
      <c r="AH433" s="34" t="s">
        <v>82</v>
      </c>
      <c r="AI433" s="29"/>
      <c r="AJ433" s="29"/>
      <c r="AK433" s="29"/>
      <c r="AL433" s="29"/>
      <c r="AM433" s="29"/>
      <c r="AN433" s="29"/>
      <c r="AO433" s="29"/>
      <c r="AP433" s="29"/>
      <c r="AQ433" s="29"/>
      <c r="AR433" s="29"/>
      <c r="AS433" s="29"/>
      <c r="AT433" s="29"/>
      <c r="AU433" s="29"/>
      <c r="AV433" s="29"/>
      <c r="AW433" s="29"/>
    </row>
    <row r="434" spans="1:49" ht="13">
      <c r="A434" s="132">
        <v>2017</v>
      </c>
      <c r="B434" s="14" t="s">
        <v>58</v>
      </c>
      <c r="C434" s="14" t="s">
        <v>611</v>
      </c>
      <c r="D434" s="14" t="s">
        <v>2371</v>
      </c>
      <c r="E434" s="14" t="e">
        <v>#N/A</v>
      </c>
      <c r="F434" s="14"/>
      <c r="G434" s="14">
        <f>COUNTIF(Stakeholders!$E$2:$E960,F434)</f>
        <v>0</v>
      </c>
      <c r="H434" s="14" t="s">
        <v>2372</v>
      </c>
      <c r="I434" s="152" t="s">
        <v>2373</v>
      </c>
      <c r="J434" s="14" t="s">
        <v>67</v>
      </c>
      <c r="K434" s="14"/>
      <c r="L434" s="14"/>
      <c r="M434" s="14"/>
      <c r="N434" s="14"/>
      <c r="O434" s="14"/>
      <c r="P434" s="14"/>
      <c r="Q434" s="14"/>
      <c r="R434" s="14"/>
      <c r="S434" s="14"/>
      <c r="T434" s="14"/>
      <c r="U434" s="14"/>
      <c r="V434" s="14"/>
      <c r="W434" s="14" t="s">
        <v>67</v>
      </c>
      <c r="X434" s="14"/>
      <c r="Y434" s="14"/>
      <c r="Z434" s="14"/>
      <c r="AA434" s="14"/>
      <c r="AB434" s="14" t="s">
        <v>1752</v>
      </c>
      <c r="AC434" s="135">
        <v>44086</v>
      </c>
      <c r="AD434" s="14" t="s">
        <v>763</v>
      </c>
      <c r="AE434" s="24" t="e">
        <f>VLOOKUP(F434,Stakeholders!E:K,7,0)</f>
        <v>#N/A</v>
      </c>
      <c r="AF434" s="14"/>
      <c r="AG434" s="14"/>
      <c r="AH434" s="24" t="s">
        <v>82</v>
      </c>
      <c r="AI434" s="14"/>
      <c r="AJ434" s="14"/>
      <c r="AK434" s="14"/>
      <c r="AL434" s="14"/>
      <c r="AM434" s="14"/>
      <c r="AN434" s="14"/>
      <c r="AO434" s="14"/>
      <c r="AP434" s="14"/>
      <c r="AQ434" s="14"/>
      <c r="AR434" s="14"/>
      <c r="AS434" s="14"/>
      <c r="AT434" s="14"/>
      <c r="AU434" s="14"/>
      <c r="AV434" s="14"/>
      <c r="AW434" s="14"/>
    </row>
    <row r="435" spans="1:49" ht="13">
      <c r="A435" s="133">
        <v>2017</v>
      </c>
      <c r="B435" s="29" t="s">
        <v>58</v>
      </c>
      <c r="C435" s="29" t="s">
        <v>611</v>
      </c>
      <c r="D435" s="29" t="s">
        <v>1805</v>
      </c>
      <c r="E435" s="29" t="e">
        <v>#N/A</v>
      </c>
      <c r="F435" s="29"/>
      <c r="G435" s="29">
        <f>COUNTIF(Stakeholders!$E$2:$E960,F435)</f>
        <v>0</v>
      </c>
      <c r="H435" s="29" t="s">
        <v>2374</v>
      </c>
      <c r="I435" s="151" t="s">
        <v>2375</v>
      </c>
      <c r="J435" s="29" t="s">
        <v>67</v>
      </c>
      <c r="K435" s="29"/>
      <c r="L435" s="29"/>
      <c r="M435" s="29"/>
      <c r="N435" s="29"/>
      <c r="O435" s="29"/>
      <c r="P435" s="29"/>
      <c r="Q435" s="29"/>
      <c r="R435" s="29"/>
      <c r="S435" s="29"/>
      <c r="T435" s="29"/>
      <c r="U435" s="29"/>
      <c r="V435" s="29"/>
      <c r="W435" s="29" t="s">
        <v>67</v>
      </c>
      <c r="X435" s="29"/>
      <c r="Y435" s="29"/>
      <c r="Z435" s="29"/>
      <c r="AA435" s="29"/>
      <c r="AB435" s="29" t="s">
        <v>1752</v>
      </c>
      <c r="AC435" s="136">
        <v>44087</v>
      </c>
      <c r="AD435" s="29" t="s">
        <v>1336</v>
      </c>
      <c r="AE435" s="34" t="e">
        <f>VLOOKUP(F435,Stakeholders!E:K,7,0)</f>
        <v>#N/A</v>
      </c>
      <c r="AF435" s="29"/>
      <c r="AG435" s="29"/>
      <c r="AH435" s="34" t="s">
        <v>82</v>
      </c>
      <c r="AI435" s="29"/>
      <c r="AJ435" s="29"/>
      <c r="AK435" s="29"/>
      <c r="AL435" s="29"/>
      <c r="AM435" s="29"/>
      <c r="AN435" s="29"/>
      <c r="AO435" s="29"/>
      <c r="AP435" s="29"/>
      <c r="AQ435" s="29"/>
      <c r="AR435" s="29"/>
      <c r="AS435" s="29"/>
      <c r="AT435" s="29"/>
      <c r="AU435" s="29"/>
      <c r="AV435" s="29"/>
      <c r="AW435" s="29"/>
    </row>
    <row r="436" spans="1:49" ht="13">
      <c r="A436" s="132">
        <v>2009</v>
      </c>
      <c r="B436" s="14" t="s">
        <v>58</v>
      </c>
      <c r="C436" s="14" t="s">
        <v>2376</v>
      </c>
      <c r="D436" s="14" t="s">
        <v>2377</v>
      </c>
      <c r="E436" s="14" t="e">
        <v>#N/A</v>
      </c>
      <c r="F436" s="14"/>
      <c r="G436" s="14">
        <f>COUNTIF(Stakeholders!$E$2:$E960,F436)</f>
        <v>0</v>
      </c>
      <c r="H436" s="14" t="s">
        <v>2378</v>
      </c>
      <c r="I436" s="152" t="s">
        <v>2379</v>
      </c>
      <c r="J436" s="14" t="s">
        <v>67</v>
      </c>
      <c r="K436" s="14"/>
      <c r="L436" s="14"/>
      <c r="M436" s="14"/>
      <c r="N436" s="14"/>
      <c r="O436" s="14"/>
      <c r="P436" s="14"/>
      <c r="Q436" s="14"/>
      <c r="R436" s="14"/>
      <c r="S436" s="14"/>
      <c r="T436" s="14"/>
      <c r="U436" s="14"/>
      <c r="V436" s="14"/>
      <c r="W436" s="14" t="s">
        <v>67</v>
      </c>
      <c r="X436" s="14"/>
      <c r="Y436" s="14"/>
      <c r="Z436" s="14"/>
      <c r="AA436" s="14"/>
      <c r="AB436" s="14" t="s">
        <v>1752</v>
      </c>
      <c r="AC436" s="135">
        <v>44088</v>
      </c>
      <c r="AD436" s="14" t="s">
        <v>1337</v>
      </c>
      <c r="AE436" s="24" t="e">
        <f>VLOOKUP(F436,Stakeholders!E:K,7,0)</f>
        <v>#N/A</v>
      </c>
      <c r="AF436" s="14"/>
      <c r="AG436" s="14"/>
      <c r="AH436" s="24" t="s">
        <v>82</v>
      </c>
      <c r="AI436" s="14"/>
      <c r="AJ436" s="14"/>
      <c r="AK436" s="14"/>
      <c r="AL436" s="14"/>
      <c r="AM436" s="14"/>
      <c r="AN436" s="14"/>
      <c r="AO436" s="14"/>
      <c r="AP436" s="14"/>
      <c r="AQ436" s="14"/>
      <c r="AR436" s="14"/>
      <c r="AS436" s="14"/>
      <c r="AT436" s="14"/>
      <c r="AU436" s="14"/>
      <c r="AV436" s="14"/>
      <c r="AW436" s="14"/>
    </row>
    <row r="437" spans="1:49" ht="13">
      <c r="A437" s="133">
        <v>2013</v>
      </c>
      <c r="B437" s="29" t="s">
        <v>58</v>
      </c>
      <c r="C437" s="29" t="s">
        <v>2380</v>
      </c>
      <c r="D437" s="29" t="s">
        <v>2381</v>
      </c>
      <c r="E437" s="29" t="e">
        <v>#N/A</v>
      </c>
      <c r="F437" s="29"/>
      <c r="G437" s="29">
        <f>COUNTIF(Stakeholders!$E$2:$E960,F437)</f>
        <v>0</v>
      </c>
      <c r="H437" s="29" t="s">
        <v>2382</v>
      </c>
      <c r="I437" s="151" t="s">
        <v>2383</v>
      </c>
      <c r="J437" s="29" t="s">
        <v>67</v>
      </c>
      <c r="K437" s="29"/>
      <c r="L437" s="29"/>
      <c r="M437" s="29"/>
      <c r="N437" s="29"/>
      <c r="O437" s="29"/>
      <c r="P437" s="29"/>
      <c r="Q437" s="29"/>
      <c r="R437" s="29"/>
      <c r="S437" s="29"/>
      <c r="T437" s="29"/>
      <c r="U437" s="29"/>
      <c r="V437" s="29"/>
      <c r="W437" s="29" t="s">
        <v>67</v>
      </c>
      <c r="X437" s="29"/>
      <c r="Y437" s="29"/>
      <c r="Z437" s="29"/>
      <c r="AA437" s="29"/>
      <c r="AB437" s="29" t="s">
        <v>1752</v>
      </c>
      <c r="AC437" s="136">
        <v>44089</v>
      </c>
      <c r="AD437" s="29" t="s">
        <v>1339</v>
      </c>
      <c r="AE437" s="34" t="e">
        <f>VLOOKUP(F437,Stakeholders!E:K,7,0)</f>
        <v>#N/A</v>
      </c>
      <c r="AF437" s="29"/>
      <c r="AG437" s="29"/>
      <c r="AH437" s="34" t="s">
        <v>82</v>
      </c>
      <c r="AI437" s="29"/>
      <c r="AJ437" s="29"/>
      <c r="AK437" s="29"/>
      <c r="AL437" s="29"/>
      <c r="AM437" s="29"/>
      <c r="AN437" s="29"/>
      <c r="AO437" s="29"/>
      <c r="AP437" s="29"/>
      <c r="AQ437" s="29"/>
      <c r="AR437" s="29"/>
      <c r="AS437" s="29"/>
      <c r="AT437" s="29"/>
      <c r="AU437" s="29"/>
      <c r="AV437" s="29"/>
      <c r="AW437" s="29"/>
    </row>
    <row r="438" spans="1:49" ht="13">
      <c r="A438" s="132">
        <v>2017</v>
      </c>
      <c r="B438" s="14" t="s">
        <v>58</v>
      </c>
      <c r="C438" s="14" t="s">
        <v>2376</v>
      </c>
      <c r="D438" s="14" t="s">
        <v>2384</v>
      </c>
      <c r="E438" s="14" t="e">
        <v>#N/A</v>
      </c>
      <c r="F438" s="14"/>
      <c r="G438" s="14">
        <f>COUNTIF(Stakeholders!$E$2:$E960,F438)</f>
        <v>0</v>
      </c>
      <c r="H438" s="14" t="s">
        <v>2385</v>
      </c>
      <c r="I438" s="152" t="s">
        <v>2386</v>
      </c>
      <c r="J438" s="14" t="s">
        <v>67</v>
      </c>
      <c r="K438" s="14"/>
      <c r="L438" s="14"/>
      <c r="M438" s="14"/>
      <c r="N438" s="14"/>
      <c r="O438" s="14"/>
      <c r="P438" s="14"/>
      <c r="Q438" s="14"/>
      <c r="R438" s="14"/>
      <c r="S438" s="14"/>
      <c r="T438" s="14"/>
      <c r="U438" s="14"/>
      <c r="V438" s="14"/>
      <c r="W438" s="14" t="s">
        <v>67</v>
      </c>
      <c r="X438" s="14"/>
      <c r="Y438" s="14"/>
      <c r="Z438" s="14"/>
      <c r="AA438" s="14"/>
      <c r="AB438" s="14" t="s">
        <v>1752</v>
      </c>
      <c r="AC438" s="135">
        <v>44090</v>
      </c>
      <c r="AD438" s="14" t="s">
        <v>764</v>
      </c>
      <c r="AE438" s="24" t="e">
        <f>VLOOKUP(F438,Stakeholders!E:K,7,0)</f>
        <v>#N/A</v>
      </c>
      <c r="AF438" s="14"/>
      <c r="AG438" s="14"/>
      <c r="AH438" s="24" t="s">
        <v>82</v>
      </c>
      <c r="AI438" s="14"/>
      <c r="AJ438" s="14"/>
      <c r="AK438" s="14"/>
      <c r="AL438" s="14"/>
      <c r="AM438" s="14"/>
      <c r="AN438" s="14"/>
      <c r="AO438" s="14"/>
      <c r="AP438" s="14"/>
      <c r="AQ438" s="14"/>
      <c r="AR438" s="14"/>
      <c r="AS438" s="14"/>
      <c r="AT438" s="14"/>
      <c r="AU438" s="14"/>
      <c r="AV438" s="14"/>
      <c r="AW438" s="14"/>
    </row>
    <row r="439" spans="1:49" ht="13">
      <c r="A439" s="133">
        <v>2017</v>
      </c>
      <c r="B439" s="29" t="s">
        <v>58</v>
      </c>
      <c r="C439" s="29" t="s">
        <v>920</v>
      </c>
      <c r="D439" s="29" t="s">
        <v>2067</v>
      </c>
      <c r="E439" s="29" t="e">
        <v>#N/A</v>
      </c>
      <c r="F439" s="29"/>
      <c r="G439" s="29">
        <f>COUNTIF(Stakeholders!$E$2:$E960,F439)</f>
        <v>0</v>
      </c>
      <c r="H439" s="29" t="s">
        <v>2387</v>
      </c>
      <c r="I439" s="151" t="s">
        <v>2388</v>
      </c>
      <c r="J439" s="29" t="s">
        <v>67</v>
      </c>
      <c r="K439" s="29"/>
      <c r="L439" s="29"/>
      <c r="M439" s="29"/>
      <c r="N439" s="29"/>
      <c r="O439" s="29"/>
      <c r="P439" s="29"/>
      <c r="Q439" s="29"/>
      <c r="R439" s="29"/>
      <c r="S439" s="29"/>
      <c r="T439" s="29"/>
      <c r="U439" s="29"/>
      <c r="V439" s="29"/>
      <c r="W439" s="29" t="s">
        <v>67</v>
      </c>
      <c r="X439" s="29"/>
      <c r="Y439" s="29"/>
      <c r="Z439" s="29"/>
      <c r="AA439" s="29"/>
      <c r="AB439" s="29" t="s">
        <v>1752</v>
      </c>
      <c r="AC439" s="136">
        <v>44091</v>
      </c>
      <c r="AD439" s="29" t="s">
        <v>1341</v>
      </c>
      <c r="AE439" s="34" t="e">
        <f>VLOOKUP(F439,Stakeholders!E:K,7,0)</f>
        <v>#N/A</v>
      </c>
      <c r="AF439" s="29"/>
      <c r="AG439" s="29"/>
      <c r="AH439" s="34" t="s">
        <v>82</v>
      </c>
      <c r="AI439" s="29"/>
      <c r="AJ439" s="29"/>
      <c r="AK439" s="29"/>
      <c r="AL439" s="29"/>
      <c r="AM439" s="29"/>
      <c r="AN439" s="29"/>
      <c r="AO439" s="29"/>
      <c r="AP439" s="29"/>
      <c r="AQ439" s="29"/>
      <c r="AR439" s="29"/>
      <c r="AS439" s="29"/>
      <c r="AT439" s="29"/>
      <c r="AU439" s="29"/>
      <c r="AV439" s="29"/>
      <c r="AW439" s="29"/>
    </row>
    <row r="440" spans="1:49" ht="13">
      <c r="A440" s="132">
        <v>2017</v>
      </c>
      <c r="B440" s="14" t="s">
        <v>58</v>
      </c>
      <c r="C440" s="14" t="s">
        <v>2376</v>
      </c>
      <c r="D440" s="14" t="s">
        <v>2384</v>
      </c>
      <c r="E440" s="14" t="e">
        <v>#N/A</v>
      </c>
      <c r="F440" s="14"/>
      <c r="G440" s="14">
        <f>COUNTIF(Stakeholders!$E$2:$E960,F440)</f>
        <v>0</v>
      </c>
      <c r="H440" s="14" t="s">
        <v>2389</v>
      </c>
      <c r="I440" s="152" t="s">
        <v>2390</v>
      </c>
      <c r="J440" s="14" t="s">
        <v>67</v>
      </c>
      <c r="K440" s="14"/>
      <c r="L440" s="14"/>
      <c r="M440" s="14"/>
      <c r="N440" s="14"/>
      <c r="O440" s="14"/>
      <c r="P440" s="14"/>
      <c r="Q440" s="14"/>
      <c r="R440" s="14"/>
      <c r="S440" s="14"/>
      <c r="T440" s="14"/>
      <c r="U440" s="14"/>
      <c r="V440" s="14"/>
      <c r="W440" s="14" t="s">
        <v>67</v>
      </c>
      <c r="X440" s="14"/>
      <c r="Y440" s="14"/>
      <c r="Z440" s="14"/>
      <c r="AA440" s="14"/>
      <c r="AB440" s="14" t="s">
        <v>1752</v>
      </c>
      <c r="AC440" s="135">
        <v>44092</v>
      </c>
      <c r="AD440" s="14" t="s">
        <v>1342</v>
      </c>
      <c r="AE440" s="24" t="e">
        <f>VLOOKUP(F440,Stakeholders!E:K,7,0)</f>
        <v>#N/A</v>
      </c>
      <c r="AF440" s="14"/>
      <c r="AG440" s="14"/>
      <c r="AH440" s="24" t="s">
        <v>82</v>
      </c>
      <c r="AI440" s="14"/>
      <c r="AJ440" s="14"/>
      <c r="AK440" s="14"/>
      <c r="AL440" s="14"/>
      <c r="AM440" s="14"/>
      <c r="AN440" s="14"/>
      <c r="AO440" s="14"/>
      <c r="AP440" s="14"/>
      <c r="AQ440" s="14"/>
      <c r="AR440" s="14"/>
      <c r="AS440" s="14"/>
      <c r="AT440" s="14"/>
      <c r="AU440" s="14"/>
      <c r="AV440" s="14"/>
      <c r="AW440" s="14"/>
    </row>
    <row r="441" spans="1:49" ht="13">
      <c r="A441" s="133">
        <v>2017</v>
      </c>
      <c r="B441" s="29" t="s">
        <v>58</v>
      </c>
      <c r="C441" s="29" t="s">
        <v>2376</v>
      </c>
      <c r="D441" s="29" t="s">
        <v>2384</v>
      </c>
      <c r="E441" s="29" t="e">
        <v>#N/A</v>
      </c>
      <c r="F441" s="29"/>
      <c r="G441" s="29">
        <f>COUNTIF(Stakeholders!$E$2:$E960,F441)</f>
        <v>0</v>
      </c>
      <c r="H441" s="29" t="s">
        <v>2391</v>
      </c>
      <c r="I441" s="151" t="s">
        <v>2392</v>
      </c>
      <c r="J441" s="29" t="s">
        <v>67</v>
      </c>
      <c r="K441" s="29"/>
      <c r="L441" s="29"/>
      <c r="M441" s="29"/>
      <c r="N441" s="29"/>
      <c r="O441" s="29"/>
      <c r="P441" s="29"/>
      <c r="Q441" s="29"/>
      <c r="R441" s="29"/>
      <c r="S441" s="29"/>
      <c r="T441" s="29"/>
      <c r="U441" s="29"/>
      <c r="V441" s="29"/>
      <c r="W441" s="29" t="s">
        <v>67</v>
      </c>
      <c r="X441" s="29"/>
      <c r="Y441" s="29"/>
      <c r="Z441" s="29"/>
      <c r="AA441" s="29"/>
      <c r="AB441" s="29" t="s">
        <v>1752</v>
      </c>
      <c r="AC441" s="136">
        <v>44093</v>
      </c>
      <c r="AD441" s="29" t="s">
        <v>765</v>
      </c>
      <c r="AE441" s="34" t="e">
        <f>VLOOKUP(F441,Stakeholders!E:K,7,0)</f>
        <v>#N/A</v>
      </c>
      <c r="AF441" s="29"/>
      <c r="AG441" s="29"/>
      <c r="AH441" s="34" t="s">
        <v>82</v>
      </c>
      <c r="AI441" s="29"/>
      <c r="AJ441" s="29"/>
      <c r="AK441" s="29"/>
      <c r="AL441" s="29"/>
      <c r="AM441" s="29"/>
      <c r="AN441" s="29"/>
      <c r="AO441" s="29"/>
      <c r="AP441" s="29"/>
      <c r="AQ441" s="29"/>
      <c r="AR441" s="29"/>
      <c r="AS441" s="29"/>
      <c r="AT441" s="29"/>
      <c r="AU441" s="29"/>
      <c r="AV441" s="29"/>
      <c r="AW441" s="29"/>
    </row>
    <row r="442" spans="1:49" ht="13">
      <c r="A442" s="132">
        <v>2018</v>
      </c>
      <c r="B442" s="14" t="s">
        <v>58</v>
      </c>
      <c r="C442" s="14" t="s">
        <v>2380</v>
      </c>
      <c r="D442" s="14" t="s">
        <v>2384</v>
      </c>
      <c r="E442" s="14" t="e">
        <v>#N/A</v>
      </c>
      <c r="F442" s="14"/>
      <c r="G442" s="14">
        <f>COUNTIF(Stakeholders!$E$2:$E960,F442)</f>
        <v>0</v>
      </c>
      <c r="H442" s="14" t="s">
        <v>2393</v>
      </c>
      <c r="I442" s="152" t="s">
        <v>2394</v>
      </c>
      <c r="J442" s="14" t="s">
        <v>67</v>
      </c>
      <c r="K442" s="14"/>
      <c r="L442" s="14"/>
      <c r="M442" s="14"/>
      <c r="N442" s="14"/>
      <c r="O442" s="14"/>
      <c r="P442" s="14"/>
      <c r="Q442" s="14"/>
      <c r="R442" s="14"/>
      <c r="S442" s="14"/>
      <c r="T442" s="14"/>
      <c r="U442" s="14"/>
      <c r="V442" s="14"/>
      <c r="W442" s="14" t="s">
        <v>67</v>
      </c>
      <c r="X442" s="14"/>
      <c r="Y442" s="14"/>
      <c r="Z442" s="14"/>
      <c r="AA442" s="14"/>
      <c r="AB442" s="14" t="s">
        <v>1752</v>
      </c>
      <c r="AC442" s="135">
        <v>44094</v>
      </c>
      <c r="AD442" s="14" t="s">
        <v>1345</v>
      </c>
      <c r="AE442" s="24" t="e">
        <f>VLOOKUP(F442,Stakeholders!E:K,7,0)</f>
        <v>#N/A</v>
      </c>
      <c r="AF442" s="14"/>
      <c r="AG442" s="14"/>
      <c r="AH442" s="24" t="s">
        <v>82</v>
      </c>
      <c r="AI442" s="14"/>
      <c r="AJ442" s="14"/>
      <c r="AK442" s="14"/>
      <c r="AL442" s="14"/>
      <c r="AM442" s="14"/>
      <c r="AN442" s="14"/>
      <c r="AO442" s="14"/>
      <c r="AP442" s="14"/>
      <c r="AQ442" s="14"/>
      <c r="AR442" s="14"/>
      <c r="AS442" s="14"/>
      <c r="AT442" s="14"/>
      <c r="AU442" s="14"/>
      <c r="AV442" s="14"/>
      <c r="AW442" s="14"/>
    </row>
    <row r="443" spans="1:49" ht="13">
      <c r="A443" s="133">
        <v>2018</v>
      </c>
      <c r="B443" s="29" t="s">
        <v>58</v>
      </c>
      <c r="C443" s="29" t="s">
        <v>2380</v>
      </c>
      <c r="D443" s="29" t="s">
        <v>2395</v>
      </c>
      <c r="E443" s="29" t="e">
        <v>#N/A</v>
      </c>
      <c r="F443" s="29"/>
      <c r="G443" s="29">
        <f>COUNTIF(Stakeholders!$E$2:$E960,F443)</f>
        <v>0</v>
      </c>
      <c r="H443" s="29" t="s">
        <v>2396</v>
      </c>
      <c r="I443" s="151" t="s">
        <v>2397</v>
      </c>
      <c r="J443" s="29" t="s">
        <v>67</v>
      </c>
      <c r="K443" s="29"/>
      <c r="L443" s="29"/>
      <c r="M443" s="29"/>
      <c r="N443" s="29"/>
      <c r="O443" s="29"/>
      <c r="P443" s="29"/>
      <c r="Q443" s="29"/>
      <c r="R443" s="29"/>
      <c r="S443" s="29"/>
      <c r="T443" s="29"/>
      <c r="U443" s="29"/>
      <c r="V443" s="29"/>
      <c r="W443" s="29" t="s">
        <v>67</v>
      </c>
      <c r="X443" s="29"/>
      <c r="Y443" s="29"/>
      <c r="Z443" s="29"/>
      <c r="AA443" s="29"/>
      <c r="AB443" s="29" t="s">
        <v>1752</v>
      </c>
      <c r="AC443" s="136">
        <v>44095</v>
      </c>
      <c r="AD443" s="29" t="s">
        <v>766</v>
      </c>
      <c r="AE443" s="34" t="e">
        <f>VLOOKUP(F443,Stakeholders!E:K,7,0)</f>
        <v>#N/A</v>
      </c>
      <c r="AF443" s="29"/>
      <c r="AG443" s="29"/>
      <c r="AH443" s="34" t="s">
        <v>82</v>
      </c>
      <c r="AI443" s="29"/>
      <c r="AJ443" s="29"/>
      <c r="AK443" s="29"/>
      <c r="AL443" s="29"/>
      <c r="AM443" s="29"/>
      <c r="AN443" s="29"/>
      <c r="AO443" s="29"/>
      <c r="AP443" s="29"/>
      <c r="AQ443" s="29"/>
      <c r="AR443" s="29"/>
      <c r="AS443" s="29"/>
      <c r="AT443" s="29"/>
      <c r="AU443" s="29"/>
      <c r="AV443" s="29"/>
      <c r="AW443" s="29"/>
    </row>
    <row r="444" spans="1:49" ht="13">
      <c r="A444" s="132">
        <v>2008</v>
      </c>
      <c r="B444" s="14" t="s">
        <v>58</v>
      </c>
      <c r="C444" s="14" t="s">
        <v>349</v>
      </c>
      <c r="D444" s="14" t="s">
        <v>1846</v>
      </c>
      <c r="E444" s="14" t="e">
        <v>#N/A</v>
      </c>
      <c r="F444" s="14"/>
      <c r="G444" s="14">
        <f>COUNTIF(Stakeholders!$E$2:$E960,F444)</f>
        <v>0</v>
      </c>
      <c r="H444" s="14" t="s">
        <v>2398</v>
      </c>
      <c r="I444" s="152" t="s">
        <v>2399</v>
      </c>
      <c r="J444" s="14" t="s">
        <v>67</v>
      </c>
      <c r="K444" s="14"/>
      <c r="L444" s="14"/>
      <c r="M444" s="14"/>
      <c r="N444" s="14"/>
      <c r="O444" s="14"/>
      <c r="P444" s="14"/>
      <c r="Q444" s="14"/>
      <c r="R444" s="14"/>
      <c r="S444" s="14"/>
      <c r="T444" s="14"/>
      <c r="U444" s="14"/>
      <c r="V444" s="14"/>
      <c r="W444" s="14" t="s">
        <v>67</v>
      </c>
      <c r="X444" s="14"/>
      <c r="Y444" s="14"/>
      <c r="Z444" s="14"/>
      <c r="AA444" s="14"/>
      <c r="AB444" s="14" t="s">
        <v>1752</v>
      </c>
      <c r="AC444" s="135">
        <v>44096</v>
      </c>
      <c r="AD444" s="14" t="s">
        <v>1346</v>
      </c>
      <c r="AE444" s="24" t="e">
        <f>VLOOKUP(F444,Stakeholders!E:K,7,0)</f>
        <v>#N/A</v>
      </c>
      <c r="AF444" s="14"/>
      <c r="AG444" s="14"/>
      <c r="AH444" s="24" t="s">
        <v>82</v>
      </c>
      <c r="AI444" s="14"/>
      <c r="AJ444" s="14"/>
      <c r="AK444" s="14"/>
      <c r="AL444" s="14"/>
      <c r="AM444" s="14"/>
      <c r="AN444" s="14"/>
      <c r="AO444" s="14"/>
      <c r="AP444" s="14"/>
      <c r="AQ444" s="14"/>
      <c r="AR444" s="14"/>
      <c r="AS444" s="14"/>
      <c r="AT444" s="14"/>
      <c r="AU444" s="14"/>
      <c r="AV444" s="14"/>
      <c r="AW444" s="14"/>
    </row>
    <row r="445" spans="1:49" ht="13">
      <c r="A445" s="133">
        <v>2013</v>
      </c>
      <c r="B445" s="29" t="s">
        <v>58</v>
      </c>
      <c r="C445" s="29" t="s">
        <v>349</v>
      </c>
      <c r="D445" s="29" t="s">
        <v>2400</v>
      </c>
      <c r="E445" s="29" t="e">
        <v>#N/A</v>
      </c>
      <c r="F445" s="29"/>
      <c r="G445" s="29">
        <f>COUNTIF(Stakeholders!$E$2:$E960,F445)</f>
        <v>0</v>
      </c>
      <c r="H445" s="29" t="s">
        <v>2401</v>
      </c>
      <c r="I445" s="151" t="s">
        <v>2402</v>
      </c>
      <c r="J445" s="29" t="s">
        <v>67</v>
      </c>
      <c r="K445" s="29"/>
      <c r="L445" s="29"/>
      <c r="M445" s="29"/>
      <c r="N445" s="29"/>
      <c r="O445" s="29"/>
      <c r="P445" s="29"/>
      <c r="Q445" s="29"/>
      <c r="R445" s="29"/>
      <c r="S445" s="29"/>
      <c r="T445" s="29"/>
      <c r="U445" s="29"/>
      <c r="V445" s="29"/>
      <c r="W445" s="29" t="s">
        <v>67</v>
      </c>
      <c r="X445" s="29"/>
      <c r="Y445" s="29"/>
      <c r="Z445" s="29"/>
      <c r="AA445" s="29"/>
      <c r="AB445" s="29" t="s">
        <v>1752</v>
      </c>
      <c r="AC445" s="136">
        <v>44097</v>
      </c>
      <c r="AD445" s="29" t="s">
        <v>1347</v>
      </c>
      <c r="AE445" s="34" t="e">
        <f>VLOOKUP(F445,Stakeholders!E:K,7,0)</f>
        <v>#N/A</v>
      </c>
      <c r="AF445" s="29"/>
      <c r="AG445" s="29"/>
      <c r="AH445" s="34" t="s">
        <v>82</v>
      </c>
      <c r="AI445" s="29"/>
      <c r="AJ445" s="29"/>
      <c r="AK445" s="29"/>
      <c r="AL445" s="29"/>
      <c r="AM445" s="29"/>
      <c r="AN445" s="29"/>
      <c r="AO445" s="29"/>
      <c r="AP445" s="29"/>
      <c r="AQ445" s="29"/>
      <c r="AR445" s="29"/>
      <c r="AS445" s="29"/>
      <c r="AT445" s="29"/>
      <c r="AU445" s="29"/>
      <c r="AV445" s="29"/>
      <c r="AW445" s="29"/>
    </row>
    <row r="446" spans="1:49" ht="13">
      <c r="A446" s="132">
        <v>2018</v>
      </c>
      <c r="B446" s="14" t="s">
        <v>58</v>
      </c>
      <c r="C446" s="14" t="s">
        <v>349</v>
      </c>
      <c r="D446" s="14" t="s">
        <v>2403</v>
      </c>
      <c r="E446" s="14" t="e">
        <v>#N/A</v>
      </c>
      <c r="F446" s="14"/>
      <c r="G446" s="14">
        <f>COUNTIF(Stakeholders!$E$2:$E960,F446)</f>
        <v>0</v>
      </c>
      <c r="H446" s="14" t="s">
        <v>2404</v>
      </c>
      <c r="I446" s="152" t="s">
        <v>2405</v>
      </c>
      <c r="J446" s="14" t="s">
        <v>67</v>
      </c>
      <c r="K446" s="14"/>
      <c r="L446" s="14"/>
      <c r="M446" s="14"/>
      <c r="N446" s="14"/>
      <c r="O446" s="14"/>
      <c r="P446" s="14"/>
      <c r="Q446" s="14"/>
      <c r="R446" s="14"/>
      <c r="S446" s="14"/>
      <c r="T446" s="14"/>
      <c r="U446" s="14"/>
      <c r="V446" s="14"/>
      <c r="W446" s="14" t="s">
        <v>67</v>
      </c>
      <c r="X446" s="14"/>
      <c r="Y446" s="14"/>
      <c r="Z446" s="14"/>
      <c r="AA446" s="14"/>
      <c r="AB446" s="14" t="s">
        <v>1752</v>
      </c>
      <c r="AC446" s="135">
        <v>44098</v>
      </c>
      <c r="AD446" s="14" t="s">
        <v>767</v>
      </c>
      <c r="AE446" s="24" t="e">
        <f>VLOOKUP(F446,Stakeholders!E:K,7,0)</f>
        <v>#N/A</v>
      </c>
      <c r="AF446" s="14"/>
      <c r="AG446" s="14"/>
      <c r="AH446" s="24" t="s">
        <v>82</v>
      </c>
      <c r="AI446" s="14"/>
      <c r="AJ446" s="14"/>
      <c r="AK446" s="14"/>
      <c r="AL446" s="14"/>
      <c r="AM446" s="14"/>
      <c r="AN446" s="14"/>
      <c r="AO446" s="14"/>
      <c r="AP446" s="14"/>
      <c r="AQ446" s="14"/>
      <c r="AR446" s="14"/>
      <c r="AS446" s="14"/>
      <c r="AT446" s="14"/>
      <c r="AU446" s="14"/>
      <c r="AV446" s="14"/>
      <c r="AW446" s="14"/>
    </row>
    <row r="447" spans="1:49" ht="13">
      <c r="A447" s="133">
        <v>2003</v>
      </c>
      <c r="B447" s="29" t="s">
        <v>58</v>
      </c>
      <c r="C447" s="29" t="s">
        <v>353</v>
      </c>
      <c r="D447" s="29" t="s">
        <v>1846</v>
      </c>
      <c r="E447" s="29" t="e">
        <v>#N/A</v>
      </c>
      <c r="F447" s="29"/>
      <c r="G447" s="29">
        <f>COUNTIF(Stakeholders!$E$2:$E960,F447)</f>
        <v>0</v>
      </c>
      <c r="H447" s="29" t="s">
        <v>2406</v>
      </c>
      <c r="I447" s="151" t="s">
        <v>2407</v>
      </c>
      <c r="J447" s="29" t="s">
        <v>67</v>
      </c>
      <c r="K447" s="29"/>
      <c r="L447" s="29"/>
      <c r="M447" s="29"/>
      <c r="N447" s="29"/>
      <c r="O447" s="29"/>
      <c r="P447" s="29"/>
      <c r="Q447" s="29"/>
      <c r="R447" s="29"/>
      <c r="S447" s="29"/>
      <c r="T447" s="29"/>
      <c r="U447" s="29"/>
      <c r="V447" s="29"/>
      <c r="W447" s="29" t="s">
        <v>67</v>
      </c>
      <c r="X447" s="29"/>
      <c r="Y447" s="29"/>
      <c r="Z447" s="29"/>
      <c r="AA447" s="29"/>
      <c r="AB447" s="29" t="s">
        <v>1752</v>
      </c>
      <c r="AC447" s="136">
        <v>44099</v>
      </c>
      <c r="AD447" s="29" t="s">
        <v>1349</v>
      </c>
      <c r="AE447" s="34" t="e">
        <f>VLOOKUP(F447,Stakeholders!E:K,7,0)</f>
        <v>#N/A</v>
      </c>
      <c r="AF447" s="29"/>
      <c r="AG447" s="29"/>
      <c r="AH447" s="34" t="s">
        <v>82</v>
      </c>
      <c r="AI447" s="29"/>
      <c r="AJ447" s="29"/>
      <c r="AK447" s="29"/>
      <c r="AL447" s="29"/>
      <c r="AM447" s="29"/>
      <c r="AN447" s="29"/>
      <c r="AO447" s="29"/>
      <c r="AP447" s="29"/>
      <c r="AQ447" s="29"/>
      <c r="AR447" s="29"/>
      <c r="AS447" s="29"/>
      <c r="AT447" s="29"/>
      <c r="AU447" s="29"/>
      <c r="AV447" s="29"/>
      <c r="AW447" s="29"/>
    </row>
    <row r="448" spans="1:49" ht="13">
      <c r="A448" s="132">
        <v>2010</v>
      </c>
      <c r="B448" s="14" t="s">
        <v>58</v>
      </c>
      <c r="C448" s="14" t="s">
        <v>2408</v>
      </c>
      <c r="D448" s="14" t="s">
        <v>2409</v>
      </c>
      <c r="E448" s="14" t="e">
        <v>#N/A</v>
      </c>
      <c r="F448" s="14"/>
      <c r="G448" s="14">
        <f>COUNTIF(Stakeholders!$E$2:$E960,F448)</f>
        <v>0</v>
      </c>
      <c r="H448" s="14" t="s">
        <v>2410</v>
      </c>
      <c r="I448" s="152" t="s">
        <v>2411</v>
      </c>
      <c r="J448" s="14" t="s">
        <v>67</v>
      </c>
      <c r="K448" s="14"/>
      <c r="L448" s="14"/>
      <c r="M448" s="14"/>
      <c r="N448" s="14"/>
      <c r="O448" s="14"/>
      <c r="P448" s="14"/>
      <c r="Q448" s="14"/>
      <c r="R448" s="14"/>
      <c r="S448" s="14"/>
      <c r="T448" s="14"/>
      <c r="U448" s="14"/>
      <c r="V448" s="14"/>
      <c r="W448" s="14" t="s">
        <v>67</v>
      </c>
      <c r="X448" s="14"/>
      <c r="Y448" s="14"/>
      <c r="Z448" s="14"/>
      <c r="AA448" s="14"/>
      <c r="AB448" s="14" t="s">
        <v>1752</v>
      </c>
      <c r="AC448" s="135">
        <v>44100</v>
      </c>
      <c r="AD448" s="14" t="s">
        <v>1350</v>
      </c>
      <c r="AE448" s="24" t="e">
        <f>VLOOKUP(F448,Stakeholders!E:K,7,0)</f>
        <v>#N/A</v>
      </c>
      <c r="AF448" s="14"/>
      <c r="AG448" s="14"/>
      <c r="AH448" s="24" t="s">
        <v>82</v>
      </c>
      <c r="AI448" s="14"/>
      <c r="AJ448" s="14"/>
      <c r="AK448" s="14"/>
      <c r="AL448" s="14"/>
      <c r="AM448" s="14"/>
      <c r="AN448" s="14"/>
      <c r="AO448" s="14"/>
      <c r="AP448" s="14"/>
      <c r="AQ448" s="14"/>
      <c r="AR448" s="14"/>
      <c r="AS448" s="14"/>
      <c r="AT448" s="14"/>
      <c r="AU448" s="14"/>
      <c r="AV448" s="14"/>
      <c r="AW448" s="14"/>
    </row>
    <row r="449" spans="1:49" ht="13">
      <c r="A449" s="133">
        <v>2010</v>
      </c>
      <c r="B449" s="29" t="s">
        <v>58</v>
      </c>
      <c r="C449" s="29" t="s">
        <v>2408</v>
      </c>
      <c r="D449" s="29" t="s">
        <v>2409</v>
      </c>
      <c r="E449" s="29" t="e">
        <v>#N/A</v>
      </c>
      <c r="F449" s="29"/>
      <c r="G449" s="29">
        <f>COUNTIF(Stakeholders!$E$2:$E960,F449)</f>
        <v>0</v>
      </c>
      <c r="H449" s="29" t="s">
        <v>2412</v>
      </c>
      <c r="I449" s="151" t="s">
        <v>2413</v>
      </c>
      <c r="J449" s="29" t="s">
        <v>67</v>
      </c>
      <c r="K449" s="29"/>
      <c r="L449" s="29"/>
      <c r="M449" s="29"/>
      <c r="N449" s="29"/>
      <c r="O449" s="29"/>
      <c r="P449" s="29"/>
      <c r="Q449" s="29"/>
      <c r="R449" s="29"/>
      <c r="S449" s="29"/>
      <c r="T449" s="29"/>
      <c r="U449" s="29"/>
      <c r="V449" s="29"/>
      <c r="W449" s="29" t="s">
        <v>67</v>
      </c>
      <c r="X449" s="29"/>
      <c r="Y449" s="29"/>
      <c r="Z449" s="29"/>
      <c r="AA449" s="29"/>
      <c r="AB449" s="29" t="s">
        <v>1752</v>
      </c>
      <c r="AC449" s="136">
        <v>44101</v>
      </c>
      <c r="AD449" s="29" t="s">
        <v>1351</v>
      </c>
      <c r="AE449" s="34" t="e">
        <f>VLOOKUP(F449,Stakeholders!E:K,7,0)</f>
        <v>#N/A</v>
      </c>
      <c r="AF449" s="29"/>
      <c r="AG449" s="29"/>
      <c r="AH449" s="34" t="s">
        <v>82</v>
      </c>
      <c r="AI449" s="29"/>
      <c r="AJ449" s="29"/>
      <c r="AK449" s="29"/>
      <c r="AL449" s="29"/>
      <c r="AM449" s="29"/>
      <c r="AN449" s="29"/>
      <c r="AO449" s="29"/>
      <c r="AP449" s="29"/>
      <c r="AQ449" s="29"/>
      <c r="AR449" s="29"/>
      <c r="AS449" s="29"/>
      <c r="AT449" s="29"/>
      <c r="AU449" s="29"/>
      <c r="AV449" s="29"/>
      <c r="AW449" s="29"/>
    </row>
    <row r="450" spans="1:49" ht="13">
      <c r="A450" s="132">
        <v>2012</v>
      </c>
      <c r="B450" s="14" t="s">
        <v>58</v>
      </c>
      <c r="C450" s="14" t="s">
        <v>2414</v>
      </c>
      <c r="D450" s="14" t="s">
        <v>2415</v>
      </c>
      <c r="E450" s="14" t="e">
        <v>#N/A</v>
      </c>
      <c r="F450" s="14"/>
      <c r="G450" s="14">
        <f>COUNTIF(Stakeholders!$E$2:$E960,F450)</f>
        <v>0</v>
      </c>
      <c r="H450" s="14" t="s">
        <v>2416</v>
      </c>
      <c r="I450" s="152" t="s">
        <v>2417</v>
      </c>
      <c r="J450" s="14" t="s">
        <v>67</v>
      </c>
      <c r="K450" s="14"/>
      <c r="L450" s="14"/>
      <c r="M450" s="14"/>
      <c r="N450" s="14"/>
      <c r="O450" s="14"/>
      <c r="P450" s="14"/>
      <c r="Q450" s="14"/>
      <c r="R450" s="14"/>
      <c r="S450" s="14"/>
      <c r="T450" s="14"/>
      <c r="U450" s="14"/>
      <c r="V450" s="14"/>
      <c r="W450" s="14" t="s">
        <v>67</v>
      </c>
      <c r="X450" s="14"/>
      <c r="Y450" s="14"/>
      <c r="Z450" s="14"/>
      <c r="AA450" s="14"/>
      <c r="AB450" s="14" t="s">
        <v>1752</v>
      </c>
      <c r="AC450" s="135">
        <v>44102</v>
      </c>
      <c r="AD450" s="14" t="s">
        <v>768</v>
      </c>
      <c r="AE450" s="24" t="e">
        <f>VLOOKUP(F450,Stakeholders!E:K,7,0)</f>
        <v>#N/A</v>
      </c>
      <c r="AF450" s="14"/>
      <c r="AG450" s="14"/>
      <c r="AH450" s="24" t="s">
        <v>82</v>
      </c>
      <c r="AI450" s="14"/>
      <c r="AJ450" s="14"/>
      <c r="AK450" s="14"/>
      <c r="AL450" s="14"/>
      <c r="AM450" s="14"/>
      <c r="AN450" s="14"/>
      <c r="AO450" s="14"/>
      <c r="AP450" s="14"/>
      <c r="AQ450" s="14"/>
      <c r="AR450" s="14"/>
      <c r="AS450" s="14"/>
      <c r="AT450" s="14"/>
      <c r="AU450" s="14"/>
      <c r="AV450" s="14"/>
      <c r="AW450" s="14"/>
    </row>
    <row r="451" spans="1:49" ht="13">
      <c r="A451" s="133">
        <v>2006</v>
      </c>
      <c r="B451" s="29" t="s">
        <v>58</v>
      </c>
      <c r="C451" s="29" t="s">
        <v>2418</v>
      </c>
      <c r="D451" s="29" t="s">
        <v>2419</v>
      </c>
      <c r="E451" s="29" t="e">
        <v>#N/A</v>
      </c>
      <c r="F451" s="29"/>
      <c r="G451" s="29">
        <f>COUNTIF(Stakeholders!$E$2:$E960,F451)</f>
        <v>0</v>
      </c>
      <c r="H451" s="29" t="s">
        <v>2420</v>
      </c>
      <c r="I451" s="151" t="s">
        <v>2421</v>
      </c>
      <c r="J451" s="29" t="s">
        <v>67</v>
      </c>
      <c r="K451" s="29"/>
      <c r="L451" s="29"/>
      <c r="M451" s="29"/>
      <c r="N451" s="29"/>
      <c r="O451" s="29"/>
      <c r="P451" s="29"/>
      <c r="Q451" s="29"/>
      <c r="R451" s="29"/>
      <c r="S451" s="29"/>
      <c r="T451" s="29"/>
      <c r="U451" s="29"/>
      <c r="V451" s="29"/>
      <c r="W451" s="29" t="s">
        <v>67</v>
      </c>
      <c r="X451" s="29"/>
      <c r="Y451" s="29"/>
      <c r="Z451" s="29"/>
      <c r="AA451" s="29"/>
      <c r="AB451" s="29" t="s">
        <v>1752</v>
      </c>
      <c r="AC451" s="136">
        <v>44103</v>
      </c>
      <c r="AD451" s="29" t="s">
        <v>1354</v>
      </c>
      <c r="AE451" s="34" t="e">
        <f>VLOOKUP(F451,Stakeholders!E:K,7,0)</f>
        <v>#N/A</v>
      </c>
      <c r="AF451" s="29"/>
      <c r="AG451" s="29"/>
      <c r="AH451" s="34" t="s">
        <v>82</v>
      </c>
      <c r="AI451" s="29"/>
      <c r="AJ451" s="29"/>
      <c r="AK451" s="29"/>
      <c r="AL451" s="29"/>
      <c r="AM451" s="29"/>
      <c r="AN451" s="29"/>
      <c r="AO451" s="29"/>
      <c r="AP451" s="29"/>
      <c r="AQ451" s="29"/>
      <c r="AR451" s="29"/>
      <c r="AS451" s="29"/>
      <c r="AT451" s="29"/>
      <c r="AU451" s="29"/>
      <c r="AV451" s="29"/>
      <c r="AW451" s="29"/>
    </row>
    <row r="452" spans="1:49" ht="13">
      <c r="A452" s="14" t="s">
        <v>2422</v>
      </c>
      <c r="B452" s="14" t="s">
        <v>58</v>
      </c>
      <c r="C452" s="14" t="s">
        <v>2423</v>
      </c>
      <c r="D452" s="14" t="s">
        <v>2424</v>
      </c>
      <c r="E452" s="14" t="e">
        <v>#N/A</v>
      </c>
      <c r="F452" s="14"/>
      <c r="G452" s="14">
        <f>COUNTIF(Stakeholders!$E$2:$E960,F452)</f>
        <v>0</v>
      </c>
      <c r="H452" s="14" t="s">
        <v>2425</v>
      </c>
      <c r="I452" s="152" t="s">
        <v>2426</v>
      </c>
      <c r="J452" s="14" t="s">
        <v>67</v>
      </c>
      <c r="K452" s="14"/>
      <c r="L452" s="14"/>
      <c r="M452" s="14"/>
      <c r="N452" s="14"/>
      <c r="O452" s="14"/>
      <c r="P452" s="14"/>
      <c r="Q452" s="14"/>
      <c r="R452" s="14"/>
      <c r="S452" s="14"/>
      <c r="T452" s="14"/>
      <c r="U452" s="14"/>
      <c r="V452" s="14"/>
      <c r="W452" s="14" t="s">
        <v>67</v>
      </c>
      <c r="X452" s="14"/>
      <c r="Y452" s="14"/>
      <c r="Z452" s="14"/>
      <c r="AA452" s="14"/>
      <c r="AB452" s="14" t="s">
        <v>1752</v>
      </c>
      <c r="AC452" s="135">
        <v>44104</v>
      </c>
      <c r="AD452" s="14" t="s">
        <v>813</v>
      </c>
      <c r="AE452" s="24" t="e">
        <f>VLOOKUP(F452,Stakeholders!E:K,7,0)</f>
        <v>#N/A</v>
      </c>
      <c r="AF452" s="14"/>
      <c r="AG452" s="14"/>
      <c r="AH452" s="24" t="s">
        <v>82</v>
      </c>
      <c r="AI452" s="14"/>
      <c r="AJ452" s="14"/>
      <c r="AK452" s="14"/>
      <c r="AL452" s="14"/>
      <c r="AM452" s="14"/>
      <c r="AN452" s="14"/>
      <c r="AO452" s="14"/>
      <c r="AP452" s="14"/>
      <c r="AQ452" s="14"/>
      <c r="AR452" s="14"/>
      <c r="AS452" s="14"/>
      <c r="AT452" s="14"/>
      <c r="AU452" s="14"/>
      <c r="AV452" s="14"/>
      <c r="AW452" s="14"/>
    </row>
    <row r="453" spans="1:49" ht="13">
      <c r="A453" s="133">
        <v>2007</v>
      </c>
      <c r="B453" s="29" t="s">
        <v>58</v>
      </c>
      <c r="C453" s="29" t="s">
        <v>2427</v>
      </c>
      <c r="D453" s="29" t="s">
        <v>2427</v>
      </c>
      <c r="E453" s="29" t="e">
        <v>#N/A</v>
      </c>
      <c r="F453" s="29"/>
      <c r="G453" s="29">
        <f>COUNTIF(Stakeholders!$E$2:$E960,F453)</f>
        <v>0</v>
      </c>
      <c r="H453" s="29" t="s">
        <v>2428</v>
      </c>
      <c r="I453" s="151" t="s">
        <v>2429</v>
      </c>
      <c r="J453" s="29" t="s">
        <v>67</v>
      </c>
      <c r="K453" s="29"/>
      <c r="L453" s="29"/>
      <c r="M453" s="29"/>
      <c r="N453" s="29"/>
      <c r="O453" s="29"/>
      <c r="P453" s="29"/>
      <c r="Q453" s="29"/>
      <c r="R453" s="29"/>
      <c r="S453" s="29"/>
      <c r="T453" s="29"/>
      <c r="U453" s="29"/>
      <c r="V453" s="29"/>
      <c r="W453" s="29" t="s">
        <v>67</v>
      </c>
      <c r="X453" s="29"/>
      <c r="Y453" s="29"/>
      <c r="Z453" s="29"/>
      <c r="AA453" s="29"/>
      <c r="AB453" s="29" t="s">
        <v>1752</v>
      </c>
      <c r="AC453" s="136">
        <v>44105</v>
      </c>
      <c r="AD453" s="29" t="s">
        <v>1355</v>
      </c>
      <c r="AE453" s="34" t="e">
        <f>VLOOKUP(F453,Stakeholders!E:K,7,0)</f>
        <v>#N/A</v>
      </c>
      <c r="AF453" s="29"/>
      <c r="AG453" s="29"/>
      <c r="AH453" s="34" t="s">
        <v>82</v>
      </c>
      <c r="AI453" s="29"/>
      <c r="AJ453" s="29"/>
      <c r="AK453" s="29"/>
      <c r="AL453" s="29"/>
      <c r="AM453" s="29"/>
      <c r="AN453" s="29"/>
      <c r="AO453" s="29"/>
      <c r="AP453" s="29"/>
      <c r="AQ453" s="29"/>
      <c r="AR453" s="29"/>
      <c r="AS453" s="29"/>
      <c r="AT453" s="29"/>
      <c r="AU453" s="29"/>
      <c r="AV453" s="29"/>
      <c r="AW453" s="29"/>
    </row>
    <row r="454" spans="1:49" ht="13">
      <c r="A454" s="132">
        <v>2016</v>
      </c>
      <c r="B454" s="14" t="s">
        <v>58</v>
      </c>
      <c r="C454" s="14" t="s">
        <v>2427</v>
      </c>
      <c r="D454" s="14" t="s">
        <v>1846</v>
      </c>
      <c r="E454" s="14" t="e">
        <v>#N/A</v>
      </c>
      <c r="F454" s="14"/>
      <c r="G454" s="14">
        <f>COUNTIF(Stakeholders!$E$2:$E960,F454)</f>
        <v>0</v>
      </c>
      <c r="H454" s="14" t="s">
        <v>2430</v>
      </c>
      <c r="I454" s="152" t="s">
        <v>2431</v>
      </c>
      <c r="J454" s="14" t="s">
        <v>67</v>
      </c>
      <c r="K454" s="14"/>
      <c r="L454" s="14"/>
      <c r="M454" s="14"/>
      <c r="N454" s="14"/>
      <c r="O454" s="14"/>
      <c r="P454" s="14"/>
      <c r="Q454" s="14"/>
      <c r="R454" s="14"/>
      <c r="S454" s="14"/>
      <c r="T454" s="14"/>
      <c r="U454" s="14"/>
      <c r="V454" s="14"/>
      <c r="W454" s="14" t="s">
        <v>67</v>
      </c>
      <c r="X454" s="14"/>
      <c r="Y454" s="14"/>
      <c r="Z454" s="14"/>
      <c r="AA454" s="14"/>
      <c r="AB454" s="14" t="s">
        <v>1752</v>
      </c>
      <c r="AC454" s="135">
        <v>44106</v>
      </c>
      <c r="AD454" s="14" t="s">
        <v>1356</v>
      </c>
      <c r="AE454" s="24" t="e">
        <f>VLOOKUP(F454,Stakeholders!E:K,7,0)</f>
        <v>#N/A</v>
      </c>
      <c r="AF454" s="14"/>
      <c r="AG454" s="14"/>
      <c r="AH454" s="24" t="s">
        <v>82</v>
      </c>
      <c r="AI454" s="14"/>
      <c r="AJ454" s="14"/>
      <c r="AK454" s="14"/>
      <c r="AL454" s="14"/>
      <c r="AM454" s="14"/>
      <c r="AN454" s="14"/>
      <c r="AO454" s="14"/>
      <c r="AP454" s="14"/>
      <c r="AQ454" s="14"/>
      <c r="AR454" s="14"/>
      <c r="AS454" s="14"/>
      <c r="AT454" s="14"/>
      <c r="AU454" s="14"/>
      <c r="AV454" s="14"/>
      <c r="AW454" s="14"/>
    </row>
    <row r="455" spans="1:49" ht="13">
      <c r="A455" s="133">
        <v>2017</v>
      </c>
      <c r="B455" s="29" t="s">
        <v>58</v>
      </c>
      <c r="C455" s="29" t="s">
        <v>2427</v>
      </c>
      <c r="D455" s="29" t="s">
        <v>2427</v>
      </c>
      <c r="E455" s="29" t="e">
        <v>#N/A</v>
      </c>
      <c r="F455" s="29"/>
      <c r="G455" s="29">
        <f>COUNTIF(Stakeholders!$E$2:$E960,F455)</f>
        <v>0</v>
      </c>
      <c r="H455" s="29" t="s">
        <v>2432</v>
      </c>
      <c r="I455" s="151" t="s">
        <v>2431</v>
      </c>
      <c r="J455" s="29" t="s">
        <v>67</v>
      </c>
      <c r="K455" s="29"/>
      <c r="L455" s="29"/>
      <c r="M455" s="29"/>
      <c r="N455" s="29"/>
      <c r="O455" s="29"/>
      <c r="P455" s="29"/>
      <c r="Q455" s="29"/>
      <c r="R455" s="29"/>
      <c r="S455" s="29"/>
      <c r="T455" s="29"/>
      <c r="U455" s="29"/>
      <c r="V455" s="29"/>
      <c r="W455" s="29" t="s">
        <v>67</v>
      </c>
      <c r="X455" s="29"/>
      <c r="Y455" s="29"/>
      <c r="Z455" s="29"/>
      <c r="AA455" s="29"/>
      <c r="AB455" s="29" t="s">
        <v>1752</v>
      </c>
      <c r="AC455" s="136">
        <v>44107</v>
      </c>
      <c r="AD455" s="29" t="s">
        <v>1357</v>
      </c>
      <c r="AE455" s="34" t="e">
        <f>VLOOKUP(F455,Stakeholders!E:K,7,0)</f>
        <v>#N/A</v>
      </c>
      <c r="AF455" s="29"/>
      <c r="AG455" s="29"/>
      <c r="AH455" s="34" t="s">
        <v>82</v>
      </c>
      <c r="AI455" s="29"/>
      <c r="AJ455" s="29"/>
      <c r="AK455" s="29"/>
      <c r="AL455" s="29"/>
      <c r="AM455" s="29"/>
      <c r="AN455" s="29"/>
      <c r="AO455" s="29"/>
      <c r="AP455" s="29"/>
      <c r="AQ455" s="29"/>
      <c r="AR455" s="29"/>
      <c r="AS455" s="29"/>
      <c r="AT455" s="29"/>
      <c r="AU455" s="29"/>
      <c r="AV455" s="29"/>
      <c r="AW455" s="29"/>
    </row>
    <row r="456" spans="1:49" ht="13">
      <c r="A456" s="132">
        <v>2017</v>
      </c>
      <c r="B456" s="14" t="s">
        <v>58</v>
      </c>
      <c r="C456" s="14" t="s">
        <v>2427</v>
      </c>
      <c r="D456" s="14" t="s">
        <v>2067</v>
      </c>
      <c r="E456" s="14" t="e">
        <v>#N/A</v>
      </c>
      <c r="F456" s="14"/>
      <c r="G456" s="14">
        <f>COUNTIF(Stakeholders!$E$2:$E960,F456)</f>
        <v>0</v>
      </c>
      <c r="H456" s="14" t="s">
        <v>2433</v>
      </c>
      <c r="I456" s="152" t="s">
        <v>2434</v>
      </c>
      <c r="J456" s="14" t="s">
        <v>67</v>
      </c>
      <c r="K456" s="14"/>
      <c r="L456" s="14"/>
      <c r="M456" s="14"/>
      <c r="N456" s="14"/>
      <c r="O456" s="14"/>
      <c r="P456" s="14"/>
      <c r="Q456" s="14"/>
      <c r="R456" s="14"/>
      <c r="S456" s="14"/>
      <c r="T456" s="14"/>
      <c r="U456" s="14"/>
      <c r="V456" s="14"/>
      <c r="W456" s="14" t="s">
        <v>67</v>
      </c>
      <c r="X456" s="14"/>
      <c r="Y456" s="14"/>
      <c r="Z456" s="14"/>
      <c r="AA456" s="14"/>
      <c r="AB456" s="14" t="s">
        <v>1752</v>
      </c>
      <c r="AC456" s="135">
        <v>44108</v>
      </c>
      <c r="AD456" s="14" t="s">
        <v>1358</v>
      </c>
      <c r="AE456" s="24" t="e">
        <f>VLOOKUP(F456,Stakeholders!E:K,7,0)</f>
        <v>#N/A</v>
      </c>
      <c r="AF456" s="14"/>
      <c r="AG456" s="14"/>
      <c r="AH456" s="24" t="s">
        <v>82</v>
      </c>
      <c r="AI456" s="14"/>
      <c r="AJ456" s="14"/>
      <c r="AK456" s="14"/>
      <c r="AL456" s="14"/>
      <c r="AM456" s="14"/>
      <c r="AN456" s="14"/>
      <c r="AO456" s="14"/>
      <c r="AP456" s="14"/>
      <c r="AQ456" s="14"/>
      <c r="AR456" s="14"/>
      <c r="AS456" s="14"/>
      <c r="AT456" s="14"/>
      <c r="AU456" s="14"/>
      <c r="AV456" s="14"/>
      <c r="AW456" s="14"/>
    </row>
    <row r="457" spans="1:49" ht="13">
      <c r="A457" s="133">
        <v>2009</v>
      </c>
      <c r="B457" s="29" t="s">
        <v>58</v>
      </c>
      <c r="C457" s="29" t="s">
        <v>2024</v>
      </c>
      <c r="D457" s="29" t="s">
        <v>1785</v>
      </c>
      <c r="E457" s="29" t="e">
        <v>#N/A</v>
      </c>
      <c r="F457" s="29"/>
      <c r="G457" s="29">
        <f>COUNTIF(Stakeholders!$E$2:$E960,F457)</f>
        <v>0</v>
      </c>
      <c r="H457" s="29" t="s">
        <v>2435</v>
      </c>
      <c r="I457" s="151" t="s">
        <v>2436</v>
      </c>
      <c r="J457" s="29" t="s">
        <v>67</v>
      </c>
      <c r="K457" s="29"/>
      <c r="L457" s="29"/>
      <c r="M457" s="29"/>
      <c r="N457" s="29"/>
      <c r="O457" s="29"/>
      <c r="P457" s="29"/>
      <c r="Q457" s="29"/>
      <c r="R457" s="29"/>
      <c r="S457" s="29"/>
      <c r="T457" s="29"/>
      <c r="U457" s="29"/>
      <c r="V457" s="29"/>
      <c r="W457" s="29" t="s">
        <v>67</v>
      </c>
      <c r="X457" s="29"/>
      <c r="Y457" s="29"/>
      <c r="Z457" s="29"/>
      <c r="AA457" s="29"/>
      <c r="AB457" s="29" t="s">
        <v>1752</v>
      </c>
      <c r="AC457" s="136">
        <v>44109</v>
      </c>
      <c r="AD457" s="29" t="s">
        <v>1360</v>
      </c>
      <c r="AE457" s="34" t="e">
        <f>VLOOKUP(F457,Stakeholders!E:K,7,0)</f>
        <v>#N/A</v>
      </c>
      <c r="AF457" s="29"/>
      <c r="AG457" s="29"/>
      <c r="AH457" s="34" t="s">
        <v>82</v>
      </c>
      <c r="AI457" s="29"/>
      <c r="AJ457" s="29"/>
      <c r="AK457" s="29"/>
      <c r="AL457" s="29"/>
      <c r="AM457" s="29"/>
      <c r="AN457" s="29"/>
      <c r="AO457" s="29"/>
      <c r="AP457" s="29"/>
      <c r="AQ457" s="29"/>
      <c r="AR457" s="29"/>
      <c r="AS457" s="29"/>
      <c r="AT457" s="29"/>
      <c r="AU457" s="29"/>
      <c r="AV457" s="29"/>
      <c r="AW457" s="29"/>
    </row>
    <row r="458" spans="1:49" ht="13">
      <c r="A458" s="132">
        <v>2010</v>
      </c>
      <c r="B458" s="14" t="s">
        <v>58</v>
      </c>
      <c r="C458" s="14" t="s">
        <v>2024</v>
      </c>
      <c r="D458" s="14" t="s">
        <v>1785</v>
      </c>
      <c r="E458" s="14" t="e">
        <v>#N/A</v>
      </c>
      <c r="F458" s="14"/>
      <c r="G458" s="14">
        <f>COUNTIF(Stakeholders!$E$2:$E960,F458)</f>
        <v>0</v>
      </c>
      <c r="H458" s="14" t="s">
        <v>2437</v>
      </c>
      <c r="I458" s="152" t="s">
        <v>2438</v>
      </c>
      <c r="J458" s="14" t="s">
        <v>67</v>
      </c>
      <c r="K458" s="14"/>
      <c r="L458" s="14"/>
      <c r="M458" s="14"/>
      <c r="N458" s="14"/>
      <c r="O458" s="14"/>
      <c r="P458" s="14"/>
      <c r="Q458" s="14"/>
      <c r="R458" s="14"/>
      <c r="S458" s="14"/>
      <c r="T458" s="14"/>
      <c r="U458" s="14"/>
      <c r="V458" s="14"/>
      <c r="W458" s="14" t="s">
        <v>67</v>
      </c>
      <c r="X458" s="14"/>
      <c r="Y458" s="14"/>
      <c r="Z458" s="14"/>
      <c r="AA458" s="14"/>
      <c r="AB458" s="14" t="s">
        <v>1752</v>
      </c>
      <c r="AC458" s="135">
        <v>44110</v>
      </c>
      <c r="AD458" s="14" t="s">
        <v>772</v>
      </c>
      <c r="AE458" s="24" t="e">
        <f>VLOOKUP(F458,Stakeholders!E:K,7,0)</f>
        <v>#N/A</v>
      </c>
      <c r="AF458" s="14"/>
      <c r="AG458" s="14"/>
      <c r="AH458" s="24" t="s">
        <v>82</v>
      </c>
      <c r="AI458" s="14"/>
      <c r="AJ458" s="14"/>
      <c r="AK458" s="14"/>
      <c r="AL458" s="14"/>
      <c r="AM458" s="14"/>
      <c r="AN458" s="14"/>
      <c r="AO458" s="14"/>
      <c r="AP458" s="14"/>
      <c r="AQ458" s="14"/>
      <c r="AR458" s="14"/>
      <c r="AS458" s="14"/>
      <c r="AT458" s="14"/>
      <c r="AU458" s="14"/>
      <c r="AV458" s="14"/>
      <c r="AW458" s="14"/>
    </row>
    <row r="459" spans="1:49" ht="13">
      <c r="A459" s="133">
        <v>2018</v>
      </c>
      <c r="B459" s="29" t="s">
        <v>58</v>
      </c>
      <c r="C459" s="29" t="s">
        <v>2024</v>
      </c>
      <c r="D459" s="29" t="s">
        <v>1785</v>
      </c>
      <c r="E459" s="29" t="e">
        <v>#N/A</v>
      </c>
      <c r="F459" s="29"/>
      <c r="G459" s="29">
        <f>COUNTIF(Stakeholders!$E$2:$E960,F459)</f>
        <v>0</v>
      </c>
      <c r="H459" s="29" t="s">
        <v>2439</v>
      </c>
      <c r="I459" s="151" t="s">
        <v>2440</v>
      </c>
      <c r="J459" s="29" t="s">
        <v>67</v>
      </c>
      <c r="K459" s="29"/>
      <c r="L459" s="29"/>
      <c r="M459" s="29"/>
      <c r="N459" s="29"/>
      <c r="O459" s="29"/>
      <c r="P459" s="29"/>
      <c r="Q459" s="29"/>
      <c r="R459" s="29"/>
      <c r="S459" s="29"/>
      <c r="T459" s="29"/>
      <c r="U459" s="29"/>
      <c r="V459" s="29"/>
      <c r="W459" s="29" t="s">
        <v>67</v>
      </c>
      <c r="X459" s="29"/>
      <c r="Y459" s="29"/>
      <c r="Z459" s="29"/>
      <c r="AA459" s="29"/>
      <c r="AB459" s="29" t="s">
        <v>1752</v>
      </c>
      <c r="AC459" s="136">
        <v>44111</v>
      </c>
      <c r="AD459" s="29" t="s">
        <v>773</v>
      </c>
      <c r="AE459" s="34" t="e">
        <f>VLOOKUP(F459,Stakeholders!E:K,7,0)</f>
        <v>#N/A</v>
      </c>
      <c r="AF459" s="29"/>
      <c r="AG459" s="29"/>
      <c r="AH459" s="34" t="s">
        <v>82</v>
      </c>
      <c r="AI459" s="29"/>
      <c r="AJ459" s="29"/>
      <c r="AK459" s="29"/>
      <c r="AL459" s="29"/>
      <c r="AM459" s="29"/>
      <c r="AN459" s="29"/>
      <c r="AO459" s="29"/>
      <c r="AP459" s="29"/>
      <c r="AQ459" s="29"/>
      <c r="AR459" s="29"/>
      <c r="AS459" s="29"/>
      <c r="AT459" s="29"/>
      <c r="AU459" s="29"/>
      <c r="AV459" s="29"/>
      <c r="AW459" s="29"/>
    </row>
    <row r="460" spans="1:49" ht="13">
      <c r="A460" s="132">
        <v>2010</v>
      </c>
      <c r="B460" s="14" t="s">
        <v>58</v>
      </c>
      <c r="C460" s="14" t="s">
        <v>2279</v>
      </c>
      <c r="D460" s="14" t="s">
        <v>2279</v>
      </c>
      <c r="E460" s="14" t="e">
        <v>#N/A</v>
      </c>
      <c r="F460" s="14"/>
      <c r="G460" s="14">
        <f>COUNTIF(Stakeholders!$E$2:$E960,F460)</f>
        <v>0</v>
      </c>
      <c r="H460" s="14" t="s">
        <v>2441</v>
      </c>
      <c r="I460" s="152" t="s">
        <v>2442</v>
      </c>
      <c r="J460" s="14" t="s">
        <v>67</v>
      </c>
      <c r="K460" s="14"/>
      <c r="L460" s="14"/>
      <c r="M460" s="14"/>
      <c r="N460" s="14"/>
      <c r="O460" s="14"/>
      <c r="P460" s="14"/>
      <c r="Q460" s="14"/>
      <c r="R460" s="14"/>
      <c r="S460" s="14"/>
      <c r="T460" s="14"/>
      <c r="U460" s="14"/>
      <c r="V460" s="14"/>
      <c r="W460" s="14" t="s">
        <v>67</v>
      </c>
      <c r="X460" s="14"/>
      <c r="Y460" s="14"/>
      <c r="Z460" s="14"/>
      <c r="AA460" s="14"/>
      <c r="AB460" s="14" t="s">
        <v>1752</v>
      </c>
      <c r="AC460" s="135">
        <v>44112</v>
      </c>
      <c r="AD460" s="14" t="s">
        <v>1362</v>
      </c>
      <c r="AE460" s="24" t="e">
        <f>VLOOKUP(F460,Stakeholders!E:K,7,0)</f>
        <v>#N/A</v>
      </c>
      <c r="AF460" s="14"/>
      <c r="AG460" s="14"/>
      <c r="AH460" s="24" t="s">
        <v>82</v>
      </c>
      <c r="AI460" s="14"/>
      <c r="AJ460" s="14"/>
      <c r="AK460" s="14"/>
      <c r="AL460" s="14"/>
      <c r="AM460" s="14"/>
      <c r="AN460" s="14"/>
      <c r="AO460" s="14"/>
      <c r="AP460" s="14"/>
      <c r="AQ460" s="14"/>
      <c r="AR460" s="14"/>
      <c r="AS460" s="14"/>
      <c r="AT460" s="14"/>
      <c r="AU460" s="14"/>
      <c r="AV460" s="14"/>
      <c r="AW460" s="14"/>
    </row>
    <row r="461" spans="1:49" ht="13">
      <c r="A461" s="133">
        <v>2010</v>
      </c>
      <c r="B461" s="29" t="s">
        <v>58</v>
      </c>
      <c r="C461" s="29" t="s">
        <v>2443</v>
      </c>
      <c r="D461" s="29" t="s">
        <v>1870</v>
      </c>
      <c r="E461" s="29" t="e">
        <v>#N/A</v>
      </c>
      <c r="F461" s="29"/>
      <c r="G461" s="29">
        <f>COUNTIF(Stakeholders!$E$2:$E960,F461)</f>
        <v>0</v>
      </c>
      <c r="H461" s="29" t="s">
        <v>2444</v>
      </c>
      <c r="I461" s="151" t="s">
        <v>2445</v>
      </c>
      <c r="J461" s="29" t="s">
        <v>67</v>
      </c>
      <c r="K461" s="29"/>
      <c r="L461" s="29"/>
      <c r="M461" s="29"/>
      <c r="N461" s="29"/>
      <c r="O461" s="29"/>
      <c r="P461" s="29"/>
      <c r="Q461" s="29"/>
      <c r="R461" s="29"/>
      <c r="S461" s="29"/>
      <c r="T461" s="29"/>
      <c r="U461" s="29"/>
      <c r="V461" s="29"/>
      <c r="W461" s="29" t="s">
        <v>67</v>
      </c>
      <c r="X461" s="29"/>
      <c r="Y461" s="29"/>
      <c r="Z461" s="29"/>
      <c r="AA461" s="29"/>
      <c r="AB461" s="29" t="s">
        <v>1752</v>
      </c>
      <c r="AC461" s="136">
        <v>44113</v>
      </c>
      <c r="AD461" s="29" t="s">
        <v>1364</v>
      </c>
      <c r="AE461" s="34" t="e">
        <f>VLOOKUP(F461,Stakeholders!E:K,7,0)</f>
        <v>#N/A</v>
      </c>
      <c r="AF461" s="29"/>
      <c r="AG461" s="29"/>
      <c r="AH461" s="34" t="s">
        <v>82</v>
      </c>
      <c r="AI461" s="29"/>
      <c r="AJ461" s="29"/>
      <c r="AK461" s="29"/>
      <c r="AL461" s="29"/>
      <c r="AM461" s="29"/>
      <c r="AN461" s="29"/>
      <c r="AO461" s="29"/>
      <c r="AP461" s="29"/>
      <c r="AQ461" s="29"/>
      <c r="AR461" s="29"/>
      <c r="AS461" s="29"/>
      <c r="AT461" s="29"/>
      <c r="AU461" s="29"/>
      <c r="AV461" s="29"/>
      <c r="AW461" s="29"/>
    </row>
    <row r="462" spans="1:49" ht="13">
      <c r="A462" s="132">
        <v>2009</v>
      </c>
      <c r="B462" s="14" t="s">
        <v>58</v>
      </c>
      <c r="C462" s="14" t="s">
        <v>2446</v>
      </c>
      <c r="D462" s="14" t="s">
        <v>2446</v>
      </c>
      <c r="E462" s="14" t="e">
        <v>#N/A</v>
      </c>
      <c r="F462" s="14"/>
      <c r="G462" s="14">
        <f>COUNTIF(Stakeholders!$E$2:$E960,F462)</f>
        <v>0</v>
      </c>
      <c r="H462" s="14" t="s">
        <v>2447</v>
      </c>
      <c r="I462" s="152" t="s">
        <v>2448</v>
      </c>
      <c r="J462" s="14" t="s">
        <v>67</v>
      </c>
      <c r="K462" s="14"/>
      <c r="L462" s="14"/>
      <c r="M462" s="14"/>
      <c r="N462" s="14"/>
      <c r="O462" s="14"/>
      <c r="P462" s="14"/>
      <c r="Q462" s="14"/>
      <c r="R462" s="14"/>
      <c r="S462" s="14"/>
      <c r="T462" s="14"/>
      <c r="U462" s="14"/>
      <c r="V462" s="14"/>
      <c r="W462" s="14" t="s">
        <v>67</v>
      </c>
      <c r="X462" s="14"/>
      <c r="Y462" s="14"/>
      <c r="Z462" s="14"/>
      <c r="AA462" s="14"/>
      <c r="AB462" s="14" t="s">
        <v>1752</v>
      </c>
      <c r="AC462" s="135">
        <v>44114</v>
      </c>
      <c r="AD462" s="14" t="s">
        <v>1366</v>
      </c>
      <c r="AE462" s="24" t="e">
        <f>VLOOKUP(F462,Stakeholders!E:K,7,0)</f>
        <v>#N/A</v>
      </c>
      <c r="AF462" s="14"/>
      <c r="AG462" s="14"/>
      <c r="AH462" s="24" t="s">
        <v>82</v>
      </c>
      <c r="AI462" s="14"/>
      <c r="AJ462" s="14"/>
      <c r="AK462" s="14"/>
      <c r="AL462" s="14"/>
      <c r="AM462" s="14"/>
      <c r="AN462" s="14"/>
      <c r="AO462" s="14"/>
      <c r="AP462" s="14"/>
      <c r="AQ462" s="14"/>
      <c r="AR462" s="14"/>
      <c r="AS462" s="14"/>
      <c r="AT462" s="14"/>
      <c r="AU462" s="14"/>
      <c r="AV462" s="14"/>
      <c r="AW462" s="14"/>
    </row>
    <row r="463" spans="1:49" ht="13">
      <c r="A463" s="133">
        <v>2017</v>
      </c>
      <c r="B463" s="29" t="s">
        <v>58</v>
      </c>
      <c r="C463" s="29" t="s">
        <v>2446</v>
      </c>
      <c r="D463" s="29" t="s">
        <v>2446</v>
      </c>
      <c r="E463" s="29" t="e">
        <v>#N/A</v>
      </c>
      <c r="F463" s="29"/>
      <c r="G463" s="29">
        <f>COUNTIF(Stakeholders!$E$2:$E960,F463)</f>
        <v>0</v>
      </c>
      <c r="H463" s="29" t="s">
        <v>2449</v>
      </c>
      <c r="I463" s="151" t="s">
        <v>2450</v>
      </c>
      <c r="J463" s="29" t="s">
        <v>67</v>
      </c>
      <c r="K463" s="29"/>
      <c r="L463" s="29"/>
      <c r="M463" s="29"/>
      <c r="N463" s="29"/>
      <c r="O463" s="29"/>
      <c r="P463" s="29"/>
      <c r="Q463" s="29"/>
      <c r="R463" s="29"/>
      <c r="S463" s="29"/>
      <c r="T463" s="29"/>
      <c r="U463" s="29"/>
      <c r="V463" s="29"/>
      <c r="W463" s="29" t="s">
        <v>67</v>
      </c>
      <c r="X463" s="29"/>
      <c r="Y463" s="29"/>
      <c r="Z463" s="29"/>
      <c r="AA463" s="29"/>
      <c r="AB463" s="29" t="s">
        <v>1752</v>
      </c>
      <c r="AC463" s="136">
        <v>44115</v>
      </c>
      <c r="AD463" s="29" t="s">
        <v>1367</v>
      </c>
      <c r="AE463" s="34" t="e">
        <f>VLOOKUP(F463,Stakeholders!E:K,7,0)</f>
        <v>#N/A</v>
      </c>
      <c r="AF463" s="29"/>
      <c r="AG463" s="29"/>
      <c r="AH463" s="34" t="s">
        <v>82</v>
      </c>
      <c r="AI463" s="29"/>
      <c r="AJ463" s="29"/>
      <c r="AK463" s="29"/>
      <c r="AL463" s="29"/>
      <c r="AM463" s="29"/>
      <c r="AN463" s="29"/>
      <c r="AO463" s="29"/>
      <c r="AP463" s="29"/>
      <c r="AQ463" s="29"/>
      <c r="AR463" s="29"/>
      <c r="AS463" s="29"/>
      <c r="AT463" s="29"/>
      <c r="AU463" s="29"/>
      <c r="AV463" s="29"/>
      <c r="AW463" s="29"/>
    </row>
    <row r="464" spans="1:49" ht="13">
      <c r="A464" s="132">
        <v>2007</v>
      </c>
      <c r="B464" s="14" t="s">
        <v>58</v>
      </c>
      <c r="C464" s="14" t="s">
        <v>2451</v>
      </c>
      <c r="D464" s="14" t="s">
        <v>2451</v>
      </c>
      <c r="E464" s="14" t="e">
        <v>#N/A</v>
      </c>
      <c r="F464" s="14"/>
      <c r="G464" s="14">
        <f>COUNTIF(Stakeholders!$E$2:$E960,F464)</f>
        <v>0</v>
      </c>
      <c r="H464" s="14" t="s">
        <v>2452</v>
      </c>
      <c r="I464" s="152" t="s">
        <v>2453</v>
      </c>
      <c r="J464" s="14" t="s">
        <v>67</v>
      </c>
      <c r="K464" s="14"/>
      <c r="L464" s="14"/>
      <c r="M464" s="14"/>
      <c r="N464" s="14"/>
      <c r="O464" s="14"/>
      <c r="P464" s="14"/>
      <c r="Q464" s="14"/>
      <c r="R464" s="14"/>
      <c r="S464" s="14"/>
      <c r="T464" s="14"/>
      <c r="U464" s="14"/>
      <c r="V464" s="14"/>
      <c r="W464" s="14" t="s">
        <v>67</v>
      </c>
      <c r="X464" s="14"/>
      <c r="Y464" s="14"/>
      <c r="Z464" s="14"/>
      <c r="AA464" s="14"/>
      <c r="AB464" s="14" t="s">
        <v>1752</v>
      </c>
      <c r="AC464" s="135">
        <v>44116</v>
      </c>
      <c r="AD464" s="14" t="s">
        <v>1368</v>
      </c>
      <c r="AE464" s="24" t="e">
        <f>VLOOKUP(F464,Stakeholders!E:K,7,0)</f>
        <v>#N/A</v>
      </c>
      <c r="AF464" s="14"/>
      <c r="AG464" s="14"/>
      <c r="AH464" s="24" t="s">
        <v>82</v>
      </c>
      <c r="AI464" s="14"/>
      <c r="AJ464" s="14"/>
      <c r="AK464" s="14"/>
      <c r="AL464" s="14"/>
      <c r="AM464" s="14"/>
      <c r="AN464" s="14"/>
      <c r="AO464" s="14"/>
      <c r="AP464" s="14"/>
      <c r="AQ464" s="14"/>
      <c r="AR464" s="14"/>
      <c r="AS464" s="14"/>
      <c r="AT464" s="14"/>
      <c r="AU464" s="14"/>
      <c r="AV464" s="14"/>
      <c r="AW464" s="14"/>
    </row>
    <row r="465" spans="1:49" ht="13">
      <c r="A465" s="133">
        <v>2015</v>
      </c>
      <c r="B465" s="29" t="s">
        <v>58</v>
      </c>
      <c r="C465" s="29" t="s">
        <v>2451</v>
      </c>
      <c r="D465" s="29" t="s">
        <v>2451</v>
      </c>
      <c r="E465" s="29" t="e">
        <v>#N/A</v>
      </c>
      <c r="F465" s="29"/>
      <c r="G465" s="29">
        <f>COUNTIF(Stakeholders!$E$2:$E960,F465)</f>
        <v>0</v>
      </c>
      <c r="H465" s="29" t="s">
        <v>2454</v>
      </c>
      <c r="I465" s="151" t="s">
        <v>2455</v>
      </c>
      <c r="J465" s="29" t="s">
        <v>67</v>
      </c>
      <c r="K465" s="29"/>
      <c r="L465" s="29"/>
      <c r="M465" s="29"/>
      <c r="N465" s="29"/>
      <c r="O465" s="29"/>
      <c r="P465" s="29"/>
      <c r="Q465" s="29"/>
      <c r="R465" s="29"/>
      <c r="S465" s="29"/>
      <c r="T465" s="29"/>
      <c r="U465" s="29"/>
      <c r="V465" s="29"/>
      <c r="W465" s="29" t="s">
        <v>67</v>
      </c>
      <c r="X465" s="29"/>
      <c r="Y465" s="29"/>
      <c r="Z465" s="29"/>
      <c r="AA465" s="29"/>
      <c r="AB465" s="29" t="s">
        <v>1752</v>
      </c>
      <c r="AC465" s="136">
        <v>44117</v>
      </c>
      <c r="AD465" s="29" t="s">
        <v>774</v>
      </c>
      <c r="AE465" s="34" t="e">
        <f>VLOOKUP(F465,Stakeholders!E:K,7,0)</f>
        <v>#N/A</v>
      </c>
      <c r="AF465" s="29"/>
      <c r="AG465" s="29"/>
      <c r="AH465" s="34" t="s">
        <v>82</v>
      </c>
      <c r="AI465" s="29"/>
      <c r="AJ465" s="29"/>
      <c r="AK465" s="29"/>
      <c r="AL465" s="29"/>
      <c r="AM465" s="29"/>
      <c r="AN465" s="29"/>
      <c r="AO465" s="29"/>
      <c r="AP465" s="29"/>
      <c r="AQ465" s="29"/>
      <c r="AR465" s="29"/>
      <c r="AS465" s="29"/>
      <c r="AT465" s="29"/>
      <c r="AU465" s="29"/>
      <c r="AV465" s="29"/>
      <c r="AW465" s="29"/>
    </row>
    <row r="466" spans="1:49" ht="13">
      <c r="A466" s="132">
        <v>2011</v>
      </c>
      <c r="B466" s="14" t="s">
        <v>58</v>
      </c>
      <c r="C466" s="14" t="s">
        <v>606</v>
      </c>
      <c r="D466" s="14" t="s">
        <v>1846</v>
      </c>
      <c r="E466" s="14" t="e">
        <v>#N/A</v>
      </c>
      <c r="F466" s="14"/>
      <c r="G466" s="14">
        <f>COUNTIF(Stakeholders!$E$2:$E960,F466)</f>
        <v>0</v>
      </c>
      <c r="H466" s="14" t="s">
        <v>2456</v>
      </c>
      <c r="I466" s="152" t="s">
        <v>2457</v>
      </c>
      <c r="J466" s="14" t="s">
        <v>67</v>
      </c>
      <c r="K466" s="14"/>
      <c r="L466" s="14"/>
      <c r="M466" s="14"/>
      <c r="N466" s="14"/>
      <c r="O466" s="14"/>
      <c r="P466" s="14"/>
      <c r="Q466" s="14"/>
      <c r="R466" s="14"/>
      <c r="S466" s="14"/>
      <c r="T466" s="14"/>
      <c r="U466" s="14"/>
      <c r="V466" s="14"/>
      <c r="W466" s="14" t="s">
        <v>67</v>
      </c>
      <c r="X466" s="14"/>
      <c r="Y466" s="14"/>
      <c r="Z466" s="14"/>
      <c r="AA466" s="14"/>
      <c r="AB466" s="14" t="s">
        <v>1752</v>
      </c>
      <c r="AC466" s="135">
        <v>44118</v>
      </c>
      <c r="AD466" s="14" t="s">
        <v>1371</v>
      </c>
      <c r="AE466" s="24" t="e">
        <f>VLOOKUP(F466,Stakeholders!E:K,7,0)</f>
        <v>#N/A</v>
      </c>
      <c r="AF466" s="14"/>
      <c r="AG466" s="14"/>
      <c r="AH466" s="24" t="s">
        <v>82</v>
      </c>
      <c r="AI466" s="14"/>
      <c r="AJ466" s="14"/>
      <c r="AK466" s="14"/>
      <c r="AL466" s="14"/>
      <c r="AM466" s="14"/>
      <c r="AN466" s="14"/>
      <c r="AO466" s="14"/>
      <c r="AP466" s="14"/>
      <c r="AQ466" s="14"/>
      <c r="AR466" s="14"/>
      <c r="AS466" s="14"/>
      <c r="AT466" s="14"/>
      <c r="AU466" s="14"/>
      <c r="AV466" s="14"/>
      <c r="AW466" s="14"/>
    </row>
    <row r="467" spans="1:49" ht="13">
      <c r="A467" s="133">
        <v>2016</v>
      </c>
      <c r="B467" s="29" t="s">
        <v>58</v>
      </c>
      <c r="C467" s="29" t="s">
        <v>606</v>
      </c>
      <c r="D467" s="29" t="s">
        <v>1846</v>
      </c>
      <c r="E467" s="29" t="e">
        <v>#N/A</v>
      </c>
      <c r="F467" s="29"/>
      <c r="G467" s="29">
        <f>COUNTIF(Stakeholders!$E$2:$E960,F467)</f>
        <v>0</v>
      </c>
      <c r="H467" s="29" t="s">
        <v>2458</v>
      </c>
      <c r="I467" s="151" t="s">
        <v>2459</v>
      </c>
      <c r="J467" s="29" t="s">
        <v>67</v>
      </c>
      <c r="K467" s="29"/>
      <c r="L467" s="29"/>
      <c r="M467" s="29"/>
      <c r="N467" s="29"/>
      <c r="O467" s="29"/>
      <c r="P467" s="29"/>
      <c r="Q467" s="29"/>
      <c r="R467" s="29"/>
      <c r="S467" s="29"/>
      <c r="T467" s="29"/>
      <c r="U467" s="29"/>
      <c r="V467" s="29"/>
      <c r="W467" s="29" t="s">
        <v>67</v>
      </c>
      <c r="X467" s="29"/>
      <c r="Y467" s="29"/>
      <c r="Z467" s="29"/>
      <c r="AA467" s="29"/>
      <c r="AB467" s="29" t="s">
        <v>1752</v>
      </c>
      <c r="AC467" s="136">
        <v>44119</v>
      </c>
      <c r="AD467" s="29" t="s">
        <v>776</v>
      </c>
      <c r="AE467" s="34" t="e">
        <f>VLOOKUP(F467,Stakeholders!E:K,7,0)</f>
        <v>#N/A</v>
      </c>
      <c r="AF467" s="29"/>
      <c r="AG467" s="29"/>
      <c r="AH467" s="34" t="s">
        <v>82</v>
      </c>
      <c r="AI467" s="29"/>
      <c r="AJ467" s="29"/>
      <c r="AK467" s="29"/>
      <c r="AL467" s="29"/>
      <c r="AM467" s="29"/>
      <c r="AN467" s="29"/>
      <c r="AO467" s="29"/>
      <c r="AP467" s="29"/>
      <c r="AQ467" s="29"/>
      <c r="AR467" s="29"/>
      <c r="AS467" s="29"/>
      <c r="AT467" s="29"/>
      <c r="AU467" s="29"/>
      <c r="AV467" s="29"/>
      <c r="AW467" s="29"/>
    </row>
    <row r="468" spans="1:49" ht="13">
      <c r="A468" s="132">
        <v>2018</v>
      </c>
      <c r="B468" s="14" t="s">
        <v>58</v>
      </c>
      <c r="C468" s="14" t="s">
        <v>607</v>
      </c>
      <c r="D468" s="14" t="s">
        <v>2403</v>
      </c>
      <c r="E468" s="14" t="e">
        <v>#N/A</v>
      </c>
      <c r="F468" s="14"/>
      <c r="G468" s="14">
        <f>COUNTIF(Stakeholders!$E$2:$E960,F468)</f>
        <v>0</v>
      </c>
      <c r="H468" s="14" t="s">
        <v>2404</v>
      </c>
      <c r="I468" s="152" t="s">
        <v>2460</v>
      </c>
      <c r="J468" s="14" t="s">
        <v>67</v>
      </c>
      <c r="K468" s="14"/>
      <c r="L468" s="14"/>
      <c r="M468" s="14"/>
      <c r="N468" s="14"/>
      <c r="O468" s="14"/>
      <c r="P468" s="14"/>
      <c r="Q468" s="14"/>
      <c r="R468" s="14"/>
      <c r="S468" s="14"/>
      <c r="T468" s="14"/>
      <c r="U468" s="14"/>
      <c r="V468" s="14"/>
      <c r="W468" s="14" t="s">
        <v>67</v>
      </c>
      <c r="X468" s="14"/>
      <c r="Y468" s="14"/>
      <c r="Z468" s="14"/>
      <c r="AA468" s="14"/>
      <c r="AB468" s="14" t="s">
        <v>1752</v>
      </c>
      <c r="AC468" s="135">
        <v>44120</v>
      </c>
      <c r="AD468" s="14" t="s">
        <v>777</v>
      </c>
      <c r="AE468" s="24" t="e">
        <f>VLOOKUP(F468,Stakeholders!E:K,7,0)</f>
        <v>#N/A</v>
      </c>
      <c r="AF468" s="14"/>
      <c r="AG468" s="14"/>
      <c r="AH468" s="24" t="s">
        <v>82</v>
      </c>
      <c r="AI468" s="14"/>
      <c r="AJ468" s="14"/>
      <c r="AK468" s="14"/>
      <c r="AL468" s="14"/>
      <c r="AM468" s="14"/>
      <c r="AN468" s="14"/>
      <c r="AO468" s="14"/>
      <c r="AP468" s="14"/>
      <c r="AQ468" s="14"/>
      <c r="AR468" s="14"/>
      <c r="AS468" s="14"/>
      <c r="AT468" s="14"/>
      <c r="AU468" s="14"/>
      <c r="AV468" s="14"/>
      <c r="AW468" s="14"/>
    </row>
    <row r="469" spans="1:49" ht="13">
      <c r="A469" s="133">
        <v>2017</v>
      </c>
      <c r="B469" s="29" t="s">
        <v>58</v>
      </c>
      <c r="C469" s="29" t="s">
        <v>612</v>
      </c>
      <c r="D469" s="29" t="s">
        <v>2461</v>
      </c>
      <c r="E469" s="29" t="e">
        <v>#N/A</v>
      </c>
      <c r="F469" s="29"/>
      <c r="G469" s="29">
        <f>COUNTIF(Stakeholders!$E$2:$E960,F469)</f>
        <v>0</v>
      </c>
      <c r="H469" s="29" t="s">
        <v>2462</v>
      </c>
      <c r="I469" s="151" t="s">
        <v>2463</v>
      </c>
      <c r="J469" s="29" t="s">
        <v>67</v>
      </c>
      <c r="K469" s="29"/>
      <c r="L469" s="29"/>
      <c r="M469" s="29"/>
      <c r="N469" s="29"/>
      <c r="O469" s="29"/>
      <c r="P469" s="29"/>
      <c r="Q469" s="29"/>
      <c r="R469" s="29"/>
      <c r="S469" s="29"/>
      <c r="T469" s="29"/>
      <c r="U469" s="29"/>
      <c r="V469" s="29"/>
      <c r="W469" s="29" t="s">
        <v>67</v>
      </c>
      <c r="X469" s="29"/>
      <c r="Y469" s="29"/>
      <c r="Z469" s="29"/>
      <c r="AA469" s="29"/>
      <c r="AB469" s="29" t="s">
        <v>1752</v>
      </c>
      <c r="AC469" s="136">
        <v>44121</v>
      </c>
      <c r="AD469" s="29" t="s">
        <v>778</v>
      </c>
      <c r="AE469" s="34" t="e">
        <f>VLOOKUP(F469,Stakeholders!E:K,7,0)</f>
        <v>#N/A</v>
      </c>
      <c r="AF469" s="29"/>
      <c r="AG469" s="29"/>
      <c r="AH469" s="34" t="s">
        <v>82</v>
      </c>
      <c r="AI469" s="29"/>
      <c r="AJ469" s="29"/>
      <c r="AK469" s="29"/>
      <c r="AL469" s="29"/>
      <c r="AM469" s="29"/>
      <c r="AN469" s="29"/>
      <c r="AO469" s="29"/>
      <c r="AP469" s="29"/>
      <c r="AQ469" s="29"/>
      <c r="AR469" s="29"/>
      <c r="AS469" s="29"/>
      <c r="AT469" s="29"/>
      <c r="AU469" s="29"/>
      <c r="AV469" s="29"/>
      <c r="AW469" s="29"/>
    </row>
    <row r="470" spans="1:49" ht="13">
      <c r="A470" s="132">
        <v>2017</v>
      </c>
      <c r="B470" s="14" t="s">
        <v>58</v>
      </c>
      <c r="C470" s="14" t="s">
        <v>607</v>
      </c>
      <c r="D470" s="14" t="s">
        <v>2464</v>
      </c>
      <c r="E470" s="14" t="e">
        <v>#N/A</v>
      </c>
      <c r="F470" s="14"/>
      <c r="G470" s="14">
        <f>COUNTIF(Stakeholders!$E$2:$E960,F470)</f>
        <v>0</v>
      </c>
      <c r="H470" s="14" t="s">
        <v>2465</v>
      </c>
      <c r="I470" s="152" t="s">
        <v>2466</v>
      </c>
      <c r="J470" s="14" t="s">
        <v>67</v>
      </c>
      <c r="K470" s="14"/>
      <c r="L470" s="14"/>
      <c r="M470" s="14"/>
      <c r="N470" s="14"/>
      <c r="O470" s="14"/>
      <c r="P470" s="14"/>
      <c r="Q470" s="14"/>
      <c r="R470" s="14"/>
      <c r="S470" s="14"/>
      <c r="T470" s="14"/>
      <c r="U470" s="14"/>
      <c r="V470" s="14"/>
      <c r="W470" s="14" t="s">
        <v>67</v>
      </c>
      <c r="X470" s="14"/>
      <c r="Y470" s="14"/>
      <c r="Z470" s="14"/>
      <c r="AA470" s="14"/>
      <c r="AB470" s="14" t="s">
        <v>1752</v>
      </c>
      <c r="AC470" s="135">
        <v>44122</v>
      </c>
      <c r="AD470" s="14" t="s">
        <v>1372</v>
      </c>
      <c r="AE470" s="24" t="e">
        <f>VLOOKUP(F470,Stakeholders!E:K,7,0)</f>
        <v>#N/A</v>
      </c>
      <c r="AF470" s="14"/>
      <c r="AG470" s="14"/>
      <c r="AH470" s="24" t="s">
        <v>82</v>
      </c>
      <c r="AI470" s="14"/>
      <c r="AJ470" s="14"/>
      <c r="AK470" s="14"/>
      <c r="AL470" s="14"/>
      <c r="AM470" s="14"/>
      <c r="AN470" s="14"/>
      <c r="AO470" s="14"/>
      <c r="AP470" s="14"/>
      <c r="AQ470" s="14"/>
      <c r="AR470" s="14"/>
      <c r="AS470" s="14"/>
      <c r="AT470" s="14"/>
      <c r="AU470" s="14"/>
      <c r="AV470" s="14"/>
      <c r="AW470" s="14"/>
    </row>
    <row r="471" spans="1:49" ht="13">
      <c r="A471" s="133">
        <v>2017</v>
      </c>
      <c r="B471" s="29" t="s">
        <v>56</v>
      </c>
      <c r="C471" s="29" t="s">
        <v>920</v>
      </c>
      <c r="D471" s="29" t="s">
        <v>2067</v>
      </c>
      <c r="E471" s="29" t="e">
        <v>#N/A</v>
      </c>
      <c r="F471" s="29"/>
      <c r="G471" s="29">
        <f>COUNTIF(Stakeholders!$E$2:$E960,F471)</f>
        <v>0</v>
      </c>
      <c r="H471" s="29" t="s">
        <v>2467</v>
      </c>
      <c r="I471" s="151" t="s">
        <v>2468</v>
      </c>
      <c r="J471" s="29" t="s">
        <v>67</v>
      </c>
      <c r="K471" s="29"/>
      <c r="L471" s="29"/>
      <c r="M471" s="29"/>
      <c r="N471" s="29"/>
      <c r="O471" s="29"/>
      <c r="P471" s="29"/>
      <c r="Q471" s="29"/>
      <c r="R471" s="29"/>
      <c r="S471" s="29"/>
      <c r="T471" s="29"/>
      <c r="U471" s="29"/>
      <c r="V471" s="29"/>
      <c r="W471" s="29" t="s">
        <v>67</v>
      </c>
      <c r="X471" s="29"/>
      <c r="Y471" s="29"/>
      <c r="Z471" s="29"/>
      <c r="AA471" s="29"/>
      <c r="AB471" s="29" t="s">
        <v>1752</v>
      </c>
      <c r="AC471" s="136">
        <v>44123</v>
      </c>
      <c r="AD471" s="29" t="s">
        <v>814</v>
      </c>
      <c r="AE471" s="34" t="e">
        <f>VLOOKUP(F471,Stakeholders!E:K,7,0)</f>
        <v>#N/A</v>
      </c>
      <c r="AF471" s="29"/>
      <c r="AG471" s="29"/>
      <c r="AH471" s="34" t="s">
        <v>82</v>
      </c>
      <c r="AI471" s="29"/>
      <c r="AJ471" s="29"/>
      <c r="AK471" s="29"/>
      <c r="AL471" s="29"/>
      <c r="AM471" s="29"/>
      <c r="AN471" s="29"/>
      <c r="AO471" s="29"/>
      <c r="AP471" s="29"/>
      <c r="AQ471" s="29"/>
      <c r="AR471" s="29"/>
      <c r="AS471" s="29"/>
      <c r="AT471" s="29"/>
      <c r="AU471" s="29"/>
      <c r="AV471" s="29"/>
      <c r="AW471" s="29"/>
    </row>
    <row r="472" spans="1:49" ht="13">
      <c r="A472" s="132">
        <v>2016</v>
      </c>
      <c r="B472" s="14" t="s">
        <v>56</v>
      </c>
      <c r="C472" s="14" t="s">
        <v>2469</v>
      </c>
      <c r="D472" s="14" t="s">
        <v>2470</v>
      </c>
      <c r="E472" s="14" t="e">
        <v>#N/A</v>
      </c>
      <c r="F472" s="14"/>
      <c r="G472" s="14">
        <f>COUNTIF(Stakeholders!$E$2:$E960,F472)</f>
        <v>0</v>
      </c>
      <c r="H472" s="14" t="s">
        <v>2471</v>
      </c>
      <c r="I472" s="152" t="s">
        <v>2472</v>
      </c>
      <c r="J472" s="14" t="s">
        <v>67</v>
      </c>
      <c r="K472" s="14"/>
      <c r="L472" s="14"/>
      <c r="M472" s="14"/>
      <c r="N472" s="14"/>
      <c r="O472" s="14"/>
      <c r="P472" s="14"/>
      <c r="Q472" s="14"/>
      <c r="R472" s="14"/>
      <c r="S472" s="14"/>
      <c r="T472" s="14"/>
      <c r="U472" s="14"/>
      <c r="V472" s="14"/>
      <c r="W472" s="14" t="s">
        <v>67</v>
      </c>
      <c r="X472" s="14"/>
      <c r="Y472" s="14"/>
      <c r="Z472" s="14"/>
      <c r="AA472" s="14"/>
      <c r="AB472" s="14" t="s">
        <v>1752</v>
      </c>
      <c r="AC472" s="135">
        <v>44124</v>
      </c>
      <c r="AD472" s="14" t="s">
        <v>1375</v>
      </c>
      <c r="AE472" s="24" t="e">
        <f>VLOOKUP(F472,Stakeholders!E:K,7,0)</f>
        <v>#N/A</v>
      </c>
      <c r="AF472" s="14"/>
      <c r="AG472" s="14"/>
      <c r="AH472" s="24" t="s">
        <v>82</v>
      </c>
      <c r="AI472" s="14"/>
      <c r="AJ472" s="14"/>
      <c r="AK472" s="14"/>
      <c r="AL472" s="14"/>
      <c r="AM472" s="14"/>
      <c r="AN472" s="14"/>
      <c r="AO472" s="14"/>
      <c r="AP472" s="14"/>
      <c r="AQ472" s="14"/>
      <c r="AR472" s="14"/>
      <c r="AS472" s="14"/>
      <c r="AT472" s="14"/>
      <c r="AU472" s="14"/>
      <c r="AV472" s="14"/>
      <c r="AW472" s="14"/>
    </row>
    <row r="473" spans="1:49" ht="13">
      <c r="A473" s="133">
        <v>2016</v>
      </c>
      <c r="B473" s="12" t="s">
        <v>64</v>
      </c>
      <c r="C473" s="29" t="s">
        <v>2469</v>
      </c>
      <c r="D473" s="29" t="s">
        <v>2395</v>
      </c>
      <c r="E473" s="29" t="e">
        <v>#N/A</v>
      </c>
      <c r="F473" s="29"/>
      <c r="G473" s="29">
        <f>COUNTIF(Stakeholders!$E$2:$E960,F473)</f>
        <v>0</v>
      </c>
      <c r="H473" s="29" t="s">
        <v>2473</v>
      </c>
      <c r="I473" s="151" t="s">
        <v>2474</v>
      </c>
      <c r="J473" s="29" t="s">
        <v>67</v>
      </c>
      <c r="K473" s="29"/>
      <c r="L473" s="29"/>
      <c r="M473" s="29"/>
      <c r="N473" s="29"/>
      <c r="O473" s="29"/>
      <c r="P473" s="29"/>
      <c r="Q473" s="29"/>
      <c r="R473" s="29"/>
      <c r="S473" s="29"/>
      <c r="T473" s="29"/>
      <c r="U473" s="29"/>
      <c r="V473" s="29"/>
      <c r="W473" s="29" t="s">
        <v>67</v>
      </c>
      <c r="X473" s="29"/>
      <c r="Y473" s="29"/>
      <c r="Z473" s="29"/>
      <c r="AA473" s="29"/>
      <c r="AB473" s="29" t="s">
        <v>1752</v>
      </c>
      <c r="AC473" s="136">
        <v>44125</v>
      </c>
      <c r="AD473" s="29" t="s">
        <v>1377</v>
      </c>
      <c r="AE473" s="34" t="e">
        <f>VLOOKUP(F473,Stakeholders!E:K,7,0)</f>
        <v>#N/A</v>
      </c>
      <c r="AF473" s="29"/>
      <c r="AG473" s="29"/>
      <c r="AH473" s="34" t="s">
        <v>82</v>
      </c>
      <c r="AI473" s="29"/>
      <c r="AJ473" s="29"/>
      <c r="AK473" s="29"/>
      <c r="AL473" s="29"/>
      <c r="AM473" s="29"/>
      <c r="AN473" s="29"/>
      <c r="AO473" s="29"/>
      <c r="AP473" s="29"/>
      <c r="AQ473" s="29"/>
      <c r="AR473" s="29"/>
      <c r="AS473" s="29"/>
      <c r="AT473" s="29"/>
      <c r="AU473" s="29"/>
      <c r="AV473" s="29"/>
      <c r="AW473" s="29"/>
    </row>
    <row r="474" spans="1:49" ht="13">
      <c r="A474" s="132">
        <v>2015</v>
      </c>
      <c r="B474" s="14" t="s">
        <v>56</v>
      </c>
      <c r="C474" s="14" t="s">
        <v>2469</v>
      </c>
      <c r="D474" s="14" t="s">
        <v>2475</v>
      </c>
      <c r="E474" s="14" t="e">
        <v>#N/A</v>
      </c>
      <c r="F474" s="14"/>
      <c r="G474" s="14">
        <f>COUNTIF(Stakeholders!$E$2:$E960,F474)</f>
        <v>0</v>
      </c>
      <c r="H474" s="14" t="s">
        <v>2476</v>
      </c>
      <c r="I474" s="152" t="s">
        <v>2477</v>
      </c>
      <c r="J474" s="14" t="s">
        <v>67</v>
      </c>
      <c r="K474" s="14"/>
      <c r="L474" s="14"/>
      <c r="M474" s="14"/>
      <c r="N474" s="14"/>
      <c r="O474" s="14"/>
      <c r="P474" s="14"/>
      <c r="Q474" s="14"/>
      <c r="R474" s="14"/>
      <c r="S474" s="14"/>
      <c r="T474" s="14"/>
      <c r="U474" s="14"/>
      <c r="V474" s="14"/>
      <c r="W474" s="14" t="s">
        <v>67</v>
      </c>
      <c r="X474" s="14"/>
      <c r="Y474" s="14"/>
      <c r="Z474" s="14"/>
      <c r="AA474" s="14"/>
      <c r="AB474" s="14" t="s">
        <v>1752</v>
      </c>
      <c r="AC474" s="135">
        <v>44126</v>
      </c>
      <c r="AD474" s="14" t="s">
        <v>1379</v>
      </c>
      <c r="AE474" s="24" t="e">
        <f>VLOOKUP(F474,Stakeholders!E:K,7,0)</f>
        <v>#N/A</v>
      </c>
      <c r="AF474" s="14"/>
      <c r="AG474" s="14"/>
      <c r="AH474" s="24" t="s">
        <v>82</v>
      </c>
      <c r="AI474" s="14"/>
      <c r="AJ474" s="14"/>
      <c r="AK474" s="14"/>
      <c r="AL474" s="14"/>
      <c r="AM474" s="14"/>
      <c r="AN474" s="14"/>
      <c r="AO474" s="14"/>
      <c r="AP474" s="14"/>
      <c r="AQ474" s="14"/>
      <c r="AR474" s="14"/>
      <c r="AS474" s="14"/>
      <c r="AT474" s="14"/>
      <c r="AU474" s="14"/>
      <c r="AV474" s="14"/>
      <c r="AW474" s="14"/>
    </row>
    <row r="475" spans="1:49" ht="13">
      <c r="A475" s="133">
        <v>2014</v>
      </c>
      <c r="B475" s="29" t="s">
        <v>58</v>
      </c>
      <c r="C475" s="29" t="s">
        <v>612</v>
      </c>
      <c r="D475" s="29" t="s">
        <v>2461</v>
      </c>
      <c r="E475" s="29" t="e">
        <v>#N/A</v>
      </c>
      <c r="F475" s="29"/>
      <c r="G475" s="29">
        <f>COUNTIF(Stakeholders!$E$2:$E960,F475)</f>
        <v>0</v>
      </c>
      <c r="H475" s="29" t="s">
        <v>2478</v>
      </c>
      <c r="I475" s="151" t="s">
        <v>2479</v>
      </c>
      <c r="J475" s="29" t="s">
        <v>67</v>
      </c>
      <c r="K475" s="29"/>
      <c r="L475" s="29"/>
      <c r="M475" s="29"/>
      <c r="N475" s="29"/>
      <c r="O475" s="29"/>
      <c r="P475" s="29"/>
      <c r="Q475" s="29"/>
      <c r="R475" s="29"/>
      <c r="S475" s="29"/>
      <c r="T475" s="29"/>
      <c r="U475" s="29"/>
      <c r="V475" s="29"/>
      <c r="W475" s="29" t="s">
        <v>67</v>
      </c>
      <c r="X475" s="29"/>
      <c r="Y475" s="29"/>
      <c r="Z475" s="29"/>
      <c r="AA475" s="29"/>
      <c r="AB475" s="29" t="s">
        <v>1752</v>
      </c>
      <c r="AC475" s="136">
        <v>44127</v>
      </c>
      <c r="AD475" s="29" t="s">
        <v>987</v>
      </c>
      <c r="AE475" s="34" t="e">
        <f>VLOOKUP(F475,Stakeholders!E:K,7,0)</f>
        <v>#N/A</v>
      </c>
      <c r="AF475" s="29"/>
      <c r="AG475" s="29"/>
      <c r="AH475" s="34" t="s">
        <v>82</v>
      </c>
      <c r="AI475" s="29"/>
      <c r="AJ475" s="29"/>
      <c r="AK475" s="29"/>
      <c r="AL475" s="29"/>
      <c r="AM475" s="29"/>
      <c r="AN475" s="29"/>
      <c r="AO475" s="29"/>
      <c r="AP475" s="29"/>
      <c r="AQ475" s="29"/>
      <c r="AR475" s="29"/>
      <c r="AS475" s="29"/>
      <c r="AT475" s="29"/>
      <c r="AU475" s="29"/>
      <c r="AV475" s="29"/>
      <c r="AW475" s="29"/>
    </row>
    <row r="476" spans="1:49" ht="13">
      <c r="A476" s="132">
        <v>2013</v>
      </c>
      <c r="B476" s="14" t="s">
        <v>56</v>
      </c>
      <c r="C476" s="14" t="s">
        <v>2469</v>
      </c>
      <c r="D476" s="14" t="s">
        <v>2469</v>
      </c>
      <c r="E476" s="14" t="e">
        <v>#N/A</v>
      </c>
      <c r="F476" s="14"/>
      <c r="G476" s="14">
        <f>COUNTIF(Stakeholders!$E$2:$E960,F476)</f>
        <v>0</v>
      </c>
      <c r="H476" s="14" t="s">
        <v>2480</v>
      </c>
      <c r="I476" s="152" t="s">
        <v>2481</v>
      </c>
      <c r="J476" s="14" t="s">
        <v>67</v>
      </c>
      <c r="K476" s="14"/>
      <c r="L476" s="14"/>
      <c r="M476" s="14"/>
      <c r="N476" s="14"/>
      <c r="O476" s="14"/>
      <c r="P476" s="14"/>
      <c r="Q476" s="14"/>
      <c r="R476" s="14"/>
      <c r="S476" s="14"/>
      <c r="T476" s="14"/>
      <c r="U476" s="14"/>
      <c r="V476" s="14"/>
      <c r="W476" s="14" t="s">
        <v>67</v>
      </c>
      <c r="X476" s="14"/>
      <c r="Y476" s="14"/>
      <c r="Z476" s="14"/>
      <c r="AA476" s="14"/>
      <c r="AB476" s="14" t="s">
        <v>1752</v>
      </c>
      <c r="AC476" s="135">
        <v>44128</v>
      </c>
      <c r="AD476" s="14" t="s">
        <v>1380</v>
      </c>
      <c r="AE476" s="24" t="e">
        <f>VLOOKUP(F476,Stakeholders!E:K,7,0)</f>
        <v>#N/A</v>
      </c>
      <c r="AF476" s="14"/>
      <c r="AG476" s="14"/>
      <c r="AH476" s="24" t="s">
        <v>82</v>
      </c>
      <c r="AI476" s="14"/>
      <c r="AJ476" s="14"/>
      <c r="AK476" s="14"/>
      <c r="AL476" s="14"/>
      <c r="AM476" s="14"/>
      <c r="AN476" s="14"/>
      <c r="AO476" s="14"/>
      <c r="AP476" s="14"/>
      <c r="AQ476" s="14"/>
      <c r="AR476" s="14"/>
      <c r="AS476" s="14"/>
      <c r="AT476" s="14"/>
      <c r="AU476" s="14"/>
      <c r="AV476" s="14"/>
      <c r="AW476" s="14"/>
    </row>
    <row r="477" spans="1:49" ht="13">
      <c r="A477" s="133">
        <v>2010</v>
      </c>
      <c r="B477" s="29" t="s">
        <v>56</v>
      </c>
      <c r="C477" s="29" t="s">
        <v>2469</v>
      </c>
      <c r="D477" s="29" t="s">
        <v>2395</v>
      </c>
      <c r="E477" s="29" t="e">
        <v>#N/A</v>
      </c>
      <c r="F477" s="29"/>
      <c r="G477" s="29">
        <f>COUNTIF(Stakeholders!$E$2:$E960,F477)</f>
        <v>0</v>
      </c>
      <c r="H477" s="29" t="s">
        <v>2482</v>
      </c>
      <c r="I477" s="151" t="s">
        <v>2483</v>
      </c>
      <c r="J477" s="29" t="s">
        <v>67</v>
      </c>
      <c r="K477" s="29"/>
      <c r="L477" s="29"/>
      <c r="M477" s="29"/>
      <c r="N477" s="29"/>
      <c r="O477" s="29"/>
      <c r="P477" s="29"/>
      <c r="Q477" s="29"/>
      <c r="R477" s="29"/>
      <c r="S477" s="29"/>
      <c r="T477" s="29"/>
      <c r="U477" s="29"/>
      <c r="V477" s="29"/>
      <c r="W477" s="29" t="s">
        <v>67</v>
      </c>
      <c r="X477" s="29"/>
      <c r="Y477" s="29"/>
      <c r="Z477" s="29"/>
      <c r="AA477" s="29"/>
      <c r="AB477" s="29" t="s">
        <v>1752</v>
      </c>
      <c r="AC477" s="136">
        <v>44129</v>
      </c>
      <c r="AD477" s="29" t="s">
        <v>1381</v>
      </c>
      <c r="AE477" s="34" t="e">
        <f>VLOOKUP(F477,Stakeholders!E:K,7,0)</f>
        <v>#N/A</v>
      </c>
      <c r="AF477" s="29"/>
      <c r="AG477" s="29"/>
      <c r="AH477" s="34" t="s">
        <v>82</v>
      </c>
      <c r="AI477" s="29"/>
      <c r="AJ477" s="29"/>
      <c r="AK477" s="29"/>
      <c r="AL477" s="29"/>
      <c r="AM477" s="29"/>
      <c r="AN477" s="29"/>
      <c r="AO477" s="29"/>
      <c r="AP477" s="29"/>
      <c r="AQ477" s="29"/>
      <c r="AR477" s="29"/>
      <c r="AS477" s="29"/>
      <c r="AT477" s="29"/>
      <c r="AU477" s="29"/>
      <c r="AV477" s="29"/>
      <c r="AW477" s="29"/>
    </row>
    <row r="478" spans="1:49" ht="13">
      <c r="A478" s="132">
        <v>2018</v>
      </c>
      <c r="B478" s="14" t="s">
        <v>58</v>
      </c>
      <c r="C478" s="14" t="s">
        <v>2484</v>
      </c>
      <c r="D478" s="14" t="s">
        <v>2484</v>
      </c>
      <c r="E478" s="14" t="e">
        <v>#N/A</v>
      </c>
      <c r="F478" s="14"/>
      <c r="G478" s="14">
        <f>COUNTIF(Stakeholders!$E$2:$E960,F478)</f>
        <v>0</v>
      </c>
      <c r="H478" s="14" t="s">
        <v>2485</v>
      </c>
      <c r="I478" s="152" t="s">
        <v>2486</v>
      </c>
      <c r="J478" s="14" t="s">
        <v>67</v>
      </c>
      <c r="K478" s="14"/>
      <c r="L478" s="14"/>
      <c r="M478" s="14"/>
      <c r="N478" s="14"/>
      <c r="O478" s="14"/>
      <c r="P478" s="14"/>
      <c r="Q478" s="14"/>
      <c r="R478" s="14"/>
      <c r="S478" s="14"/>
      <c r="T478" s="14"/>
      <c r="U478" s="14"/>
      <c r="V478" s="14"/>
      <c r="W478" s="14" t="s">
        <v>67</v>
      </c>
      <c r="X478" s="14"/>
      <c r="Y478" s="14"/>
      <c r="Z478" s="14"/>
      <c r="AA478" s="14"/>
      <c r="AB478" s="14" t="s">
        <v>1752</v>
      </c>
      <c r="AC478" s="135">
        <v>44130</v>
      </c>
      <c r="AD478" s="14" t="s">
        <v>779</v>
      </c>
      <c r="AE478" s="24" t="e">
        <f>VLOOKUP(F478,Stakeholders!E:K,7,0)</f>
        <v>#N/A</v>
      </c>
      <c r="AF478" s="14"/>
      <c r="AG478" s="14"/>
      <c r="AH478" s="24" t="s">
        <v>82</v>
      </c>
      <c r="AI478" s="14"/>
      <c r="AJ478" s="14"/>
      <c r="AK478" s="14"/>
      <c r="AL478" s="14"/>
      <c r="AM478" s="14"/>
      <c r="AN478" s="14"/>
      <c r="AO478" s="14"/>
      <c r="AP478" s="14"/>
      <c r="AQ478" s="14"/>
      <c r="AR478" s="14"/>
      <c r="AS478" s="14"/>
      <c r="AT478" s="14"/>
      <c r="AU478" s="14"/>
      <c r="AV478" s="14"/>
      <c r="AW478" s="14"/>
    </row>
    <row r="479" spans="1:49" ht="13">
      <c r="A479" s="133">
        <v>2018</v>
      </c>
      <c r="B479" s="12" t="s">
        <v>64</v>
      </c>
      <c r="C479" s="29" t="s">
        <v>73</v>
      </c>
      <c r="D479" s="29" t="s">
        <v>2487</v>
      </c>
      <c r="E479" s="29" t="e">
        <v>#N/A</v>
      </c>
      <c r="F479" s="29"/>
      <c r="G479" s="29">
        <f>COUNTIF(Stakeholders!$E$2:$E960,F479)</f>
        <v>0</v>
      </c>
      <c r="H479" s="29" t="s">
        <v>2488</v>
      </c>
      <c r="I479" s="151" t="s">
        <v>2489</v>
      </c>
      <c r="J479" s="29" t="s">
        <v>67</v>
      </c>
      <c r="K479" s="29"/>
      <c r="L479" s="29"/>
      <c r="M479" s="29"/>
      <c r="N479" s="29"/>
      <c r="O479" s="29"/>
      <c r="P479" s="29"/>
      <c r="Q479" s="29"/>
      <c r="R479" s="29"/>
      <c r="S479" s="29"/>
      <c r="T479" s="29"/>
      <c r="U479" s="29"/>
      <c r="V479" s="29"/>
      <c r="W479" s="29" t="s">
        <v>67</v>
      </c>
      <c r="X479" s="29"/>
      <c r="Y479" s="29"/>
      <c r="Z479" s="29"/>
      <c r="AA479" s="29"/>
      <c r="AB479" s="29" t="s">
        <v>1752</v>
      </c>
      <c r="AC479" s="136">
        <v>44131</v>
      </c>
      <c r="AD479" s="29" t="s">
        <v>1382</v>
      </c>
      <c r="AE479" s="34" t="e">
        <f>VLOOKUP(F479,Stakeholders!E:K,7,0)</f>
        <v>#N/A</v>
      </c>
      <c r="AF479" s="29"/>
      <c r="AG479" s="29"/>
      <c r="AH479" s="34" t="s">
        <v>82</v>
      </c>
      <c r="AI479" s="29"/>
      <c r="AJ479" s="29"/>
      <c r="AK479" s="29"/>
      <c r="AL479" s="29"/>
      <c r="AM479" s="29"/>
      <c r="AN479" s="29"/>
      <c r="AO479" s="29"/>
      <c r="AP479" s="29"/>
      <c r="AQ479" s="29"/>
      <c r="AR479" s="29"/>
      <c r="AS479" s="29"/>
      <c r="AT479" s="29"/>
      <c r="AU479" s="29"/>
      <c r="AV479" s="29"/>
      <c r="AW479" s="29"/>
    </row>
    <row r="480" spans="1:49" ht="13">
      <c r="A480" s="132">
        <v>2018</v>
      </c>
      <c r="B480" s="14" t="s">
        <v>56</v>
      </c>
      <c r="C480" s="14" t="s">
        <v>2469</v>
      </c>
      <c r="D480" s="14" t="s">
        <v>2490</v>
      </c>
      <c r="E480" s="14" t="e">
        <v>#N/A</v>
      </c>
      <c r="F480" s="14"/>
      <c r="G480" s="14">
        <f>COUNTIF(Stakeholders!$E$2:$E960,F480)</f>
        <v>0</v>
      </c>
      <c r="H480" s="14" t="s">
        <v>2491</v>
      </c>
      <c r="I480" s="152" t="s">
        <v>2492</v>
      </c>
      <c r="J480" s="14" t="s">
        <v>67</v>
      </c>
      <c r="K480" s="14"/>
      <c r="L480" s="14"/>
      <c r="M480" s="14"/>
      <c r="N480" s="14"/>
      <c r="O480" s="14"/>
      <c r="P480" s="14"/>
      <c r="Q480" s="14"/>
      <c r="R480" s="14"/>
      <c r="S480" s="14"/>
      <c r="T480" s="14"/>
      <c r="U480" s="14"/>
      <c r="V480" s="14"/>
      <c r="W480" s="14" t="s">
        <v>67</v>
      </c>
      <c r="X480" s="14"/>
      <c r="Y480" s="14"/>
      <c r="Z480" s="14"/>
      <c r="AA480" s="14"/>
      <c r="AB480" s="14" t="s">
        <v>1752</v>
      </c>
      <c r="AC480" s="135">
        <v>44132</v>
      </c>
      <c r="AD480" s="14" t="s">
        <v>1383</v>
      </c>
      <c r="AE480" s="24" t="e">
        <f>VLOOKUP(F480,Stakeholders!E:K,7,0)</f>
        <v>#N/A</v>
      </c>
      <c r="AF480" s="14"/>
      <c r="AG480" s="14"/>
      <c r="AH480" s="24" t="s">
        <v>82</v>
      </c>
      <c r="AI480" s="14"/>
      <c r="AJ480" s="14"/>
      <c r="AK480" s="14"/>
      <c r="AL480" s="14"/>
      <c r="AM480" s="14"/>
      <c r="AN480" s="14"/>
      <c r="AO480" s="14"/>
      <c r="AP480" s="14"/>
      <c r="AQ480" s="14"/>
      <c r="AR480" s="14"/>
      <c r="AS480" s="14"/>
      <c r="AT480" s="14"/>
      <c r="AU480" s="14"/>
      <c r="AV480" s="14"/>
      <c r="AW480" s="14"/>
    </row>
    <row r="481" spans="1:49" ht="13">
      <c r="A481" s="133">
        <v>2018</v>
      </c>
      <c r="B481" s="29" t="s">
        <v>56</v>
      </c>
      <c r="C481" s="29" t="s">
        <v>2469</v>
      </c>
      <c r="D481" s="29" t="s">
        <v>2469</v>
      </c>
      <c r="E481" s="29" t="e">
        <v>#N/A</v>
      </c>
      <c r="F481" s="29"/>
      <c r="G481" s="29">
        <f>COUNTIF(Stakeholders!$E$2:$E960,F481)</f>
        <v>0</v>
      </c>
      <c r="H481" s="29" t="s">
        <v>2493</v>
      </c>
      <c r="I481" s="151" t="s">
        <v>2494</v>
      </c>
      <c r="J481" s="29" t="s">
        <v>67</v>
      </c>
      <c r="K481" s="29"/>
      <c r="L481" s="29"/>
      <c r="M481" s="29"/>
      <c r="N481" s="29"/>
      <c r="O481" s="29"/>
      <c r="P481" s="29"/>
      <c r="Q481" s="29"/>
      <c r="R481" s="29"/>
      <c r="S481" s="29"/>
      <c r="T481" s="29"/>
      <c r="U481" s="29"/>
      <c r="V481" s="29"/>
      <c r="W481" s="29" t="s">
        <v>67</v>
      </c>
      <c r="X481" s="29"/>
      <c r="Y481" s="29"/>
      <c r="Z481" s="29"/>
      <c r="AA481" s="29"/>
      <c r="AB481" s="29" t="s">
        <v>1752</v>
      </c>
      <c r="AC481" s="136">
        <v>44133</v>
      </c>
      <c r="AD481" s="29" t="s">
        <v>1385</v>
      </c>
      <c r="AE481" s="34" t="e">
        <f>VLOOKUP(F481,Stakeholders!E:K,7,0)</f>
        <v>#N/A</v>
      </c>
      <c r="AF481" s="29"/>
      <c r="AG481" s="29"/>
      <c r="AH481" s="34" t="s">
        <v>82</v>
      </c>
      <c r="AI481" s="29"/>
      <c r="AJ481" s="29"/>
      <c r="AK481" s="29"/>
      <c r="AL481" s="29"/>
      <c r="AM481" s="29"/>
      <c r="AN481" s="29"/>
      <c r="AO481" s="29"/>
      <c r="AP481" s="29"/>
      <c r="AQ481" s="29"/>
      <c r="AR481" s="29"/>
      <c r="AS481" s="29"/>
      <c r="AT481" s="29"/>
      <c r="AU481" s="29"/>
      <c r="AV481" s="29"/>
      <c r="AW481" s="29"/>
    </row>
    <row r="482" spans="1:49" ht="13">
      <c r="A482" s="132">
        <v>2018</v>
      </c>
      <c r="B482" s="14" t="s">
        <v>56</v>
      </c>
      <c r="C482" s="14" t="s">
        <v>2469</v>
      </c>
      <c r="D482" s="14" t="s">
        <v>2495</v>
      </c>
      <c r="E482" s="14" t="e">
        <v>#N/A</v>
      </c>
      <c r="F482" s="14"/>
      <c r="G482" s="14">
        <f>COUNTIF(Stakeholders!$E$2:$E960,F482)</f>
        <v>0</v>
      </c>
      <c r="H482" s="14" t="s">
        <v>2496</v>
      </c>
      <c r="I482" s="152" t="s">
        <v>2497</v>
      </c>
      <c r="J482" s="14" t="s">
        <v>67</v>
      </c>
      <c r="K482" s="14"/>
      <c r="L482" s="14"/>
      <c r="M482" s="14"/>
      <c r="N482" s="14"/>
      <c r="O482" s="14"/>
      <c r="P482" s="14"/>
      <c r="Q482" s="14"/>
      <c r="R482" s="14"/>
      <c r="S482" s="14"/>
      <c r="T482" s="14"/>
      <c r="U482" s="14"/>
      <c r="V482" s="14"/>
      <c r="W482" s="14" t="s">
        <v>67</v>
      </c>
      <c r="X482" s="14"/>
      <c r="Y482" s="14"/>
      <c r="Z482" s="14"/>
      <c r="AA482" s="14"/>
      <c r="AB482" s="14" t="s">
        <v>1752</v>
      </c>
      <c r="AC482" s="135">
        <v>44134</v>
      </c>
      <c r="AD482" s="14" t="s">
        <v>1387</v>
      </c>
      <c r="AE482" s="24" t="e">
        <f>VLOOKUP(F482,Stakeholders!E:K,7,0)</f>
        <v>#N/A</v>
      </c>
      <c r="AF482" s="14"/>
      <c r="AG482" s="14"/>
      <c r="AH482" s="24" t="s">
        <v>82</v>
      </c>
      <c r="AI482" s="14"/>
      <c r="AJ482" s="14"/>
      <c r="AK482" s="14"/>
      <c r="AL482" s="14"/>
      <c r="AM482" s="14"/>
      <c r="AN482" s="14"/>
      <c r="AO482" s="14"/>
      <c r="AP482" s="14"/>
      <c r="AQ482" s="14"/>
      <c r="AR482" s="14"/>
      <c r="AS482" s="14"/>
      <c r="AT482" s="14"/>
      <c r="AU482" s="14"/>
      <c r="AV482" s="14"/>
      <c r="AW482" s="14"/>
    </row>
    <row r="483" spans="1:49" ht="13">
      <c r="A483" s="133">
        <v>2016</v>
      </c>
      <c r="B483" s="29" t="s">
        <v>58</v>
      </c>
      <c r="C483" s="29" t="s">
        <v>2498</v>
      </c>
      <c r="D483" s="29" t="s">
        <v>2499</v>
      </c>
      <c r="E483" s="29" t="e">
        <v>#N/A</v>
      </c>
      <c r="F483" s="29"/>
      <c r="G483" s="29">
        <f>COUNTIF(Stakeholders!$E$2:$E960,F483)</f>
        <v>0</v>
      </c>
      <c r="H483" s="29" t="s">
        <v>2500</v>
      </c>
      <c r="I483" s="151" t="s">
        <v>2501</v>
      </c>
      <c r="J483" s="29" t="s">
        <v>67</v>
      </c>
      <c r="K483" s="29"/>
      <c r="L483" s="29"/>
      <c r="M483" s="29"/>
      <c r="N483" s="29"/>
      <c r="O483" s="29"/>
      <c r="P483" s="29"/>
      <c r="Q483" s="29"/>
      <c r="R483" s="29"/>
      <c r="S483" s="29"/>
      <c r="T483" s="29"/>
      <c r="U483" s="29"/>
      <c r="V483" s="29"/>
      <c r="W483" s="29" t="s">
        <v>67</v>
      </c>
      <c r="X483" s="29"/>
      <c r="Y483" s="29"/>
      <c r="Z483" s="29"/>
      <c r="AA483" s="29"/>
      <c r="AB483" s="29" t="s">
        <v>1752</v>
      </c>
      <c r="AC483" s="136">
        <v>44135</v>
      </c>
      <c r="AD483" s="29" t="s">
        <v>1388</v>
      </c>
      <c r="AE483" s="34" t="e">
        <f>VLOOKUP(F483,Stakeholders!E:K,7,0)</f>
        <v>#N/A</v>
      </c>
      <c r="AF483" s="29"/>
      <c r="AG483" s="29"/>
      <c r="AH483" s="34" t="s">
        <v>82</v>
      </c>
      <c r="AI483" s="29"/>
      <c r="AJ483" s="29"/>
      <c r="AK483" s="29"/>
      <c r="AL483" s="29"/>
      <c r="AM483" s="29"/>
      <c r="AN483" s="29"/>
      <c r="AO483" s="29"/>
      <c r="AP483" s="29"/>
      <c r="AQ483" s="29"/>
      <c r="AR483" s="29"/>
      <c r="AS483" s="29"/>
      <c r="AT483" s="29"/>
      <c r="AU483" s="29"/>
      <c r="AV483" s="29"/>
      <c r="AW483" s="29"/>
    </row>
    <row r="484" spans="1:49" ht="13">
      <c r="A484" s="132">
        <v>2013</v>
      </c>
      <c r="B484" s="14" t="s">
        <v>58</v>
      </c>
      <c r="C484" s="14" t="s">
        <v>2415</v>
      </c>
      <c r="D484" s="14" t="s">
        <v>2470</v>
      </c>
      <c r="E484" s="14" t="e">
        <v>#N/A</v>
      </c>
      <c r="F484" s="14"/>
      <c r="G484" s="14">
        <f>COUNTIF(Stakeholders!$E$2:$E960,F484)</f>
        <v>0</v>
      </c>
      <c r="H484" s="14" t="s">
        <v>2502</v>
      </c>
      <c r="I484" s="152" t="s">
        <v>2503</v>
      </c>
      <c r="J484" s="14" t="s">
        <v>67</v>
      </c>
      <c r="K484" s="14"/>
      <c r="L484" s="14"/>
      <c r="M484" s="14"/>
      <c r="N484" s="14"/>
      <c r="O484" s="14"/>
      <c r="P484" s="14"/>
      <c r="Q484" s="14"/>
      <c r="R484" s="14"/>
      <c r="S484" s="14"/>
      <c r="T484" s="14"/>
      <c r="U484" s="14"/>
      <c r="V484" s="14"/>
      <c r="W484" s="14" t="s">
        <v>67</v>
      </c>
      <c r="X484" s="14"/>
      <c r="Y484" s="14"/>
      <c r="Z484" s="14"/>
      <c r="AA484" s="14"/>
      <c r="AB484" s="14" t="s">
        <v>1752</v>
      </c>
      <c r="AC484" s="135">
        <v>44136</v>
      </c>
      <c r="AD484" s="14" t="s">
        <v>1391</v>
      </c>
      <c r="AE484" s="24" t="e">
        <f>VLOOKUP(F484,Stakeholders!E:K,7,0)</f>
        <v>#N/A</v>
      </c>
      <c r="AF484" s="14"/>
      <c r="AG484" s="14"/>
      <c r="AH484" s="24" t="s">
        <v>82</v>
      </c>
      <c r="AI484" s="14"/>
      <c r="AJ484" s="14"/>
      <c r="AK484" s="14"/>
      <c r="AL484" s="14"/>
      <c r="AM484" s="14"/>
      <c r="AN484" s="14"/>
      <c r="AO484" s="14"/>
      <c r="AP484" s="14"/>
      <c r="AQ484" s="14"/>
      <c r="AR484" s="14"/>
      <c r="AS484" s="14"/>
      <c r="AT484" s="14"/>
      <c r="AU484" s="14"/>
      <c r="AV484" s="14"/>
      <c r="AW484" s="14"/>
    </row>
    <row r="485" spans="1:49" ht="13">
      <c r="A485" s="133">
        <v>2005</v>
      </c>
      <c r="B485" s="29" t="s">
        <v>58</v>
      </c>
      <c r="C485" s="29" t="s">
        <v>2419</v>
      </c>
      <c r="D485" s="29" t="s">
        <v>2419</v>
      </c>
      <c r="E485" s="29" t="e">
        <v>#N/A</v>
      </c>
      <c r="F485" s="29"/>
      <c r="G485" s="29">
        <f>COUNTIF(Stakeholders!$E$2:$E960,F485)</f>
        <v>0</v>
      </c>
      <c r="H485" s="29" t="s">
        <v>2504</v>
      </c>
      <c r="I485" s="151" t="s">
        <v>2505</v>
      </c>
      <c r="J485" s="29" t="s">
        <v>67</v>
      </c>
      <c r="K485" s="29"/>
      <c r="L485" s="29"/>
      <c r="M485" s="29"/>
      <c r="N485" s="29"/>
      <c r="O485" s="29"/>
      <c r="P485" s="29"/>
      <c r="Q485" s="29"/>
      <c r="R485" s="29"/>
      <c r="S485" s="29"/>
      <c r="T485" s="29"/>
      <c r="U485" s="29"/>
      <c r="V485" s="29"/>
      <c r="W485" s="29" t="s">
        <v>67</v>
      </c>
      <c r="X485" s="29"/>
      <c r="Y485" s="29"/>
      <c r="Z485" s="29"/>
      <c r="AA485" s="29"/>
      <c r="AB485" s="29" t="s">
        <v>1752</v>
      </c>
      <c r="AC485" s="136">
        <v>44137</v>
      </c>
      <c r="AD485" s="29" t="s">
        <v>1392</v>
      </c>
      <c r="AE485" s="34" t="e">
        <f>VLOOKUP(F485,Stakeholders!E:K,7,0)</f>
        <v>#N/A</v>
      </c>
      <c r="AF485" s="29"/>
      <c r="AG485" s="29"/>
      <c r="AH485" s="34" t="s">
        <v>82</v>
      </c>
      <c r="AI485" s="29"/>
      <c r="AJ485" s="29"/>
      <c r="AK485" s="29"/>
      <c r="AL485" s="29"/>
      <c r="AM485" s="29"/>
      <c r="AN485" s="29"/>
      <c r="AO485" s="29"/>
      <c r="AP485" s="29"/>
      <c r="AQ485" s="29"/>
      <c r="AR485" s="29"/>
      <c r="AS485" s="29"/>
      <c r="AT485" s="29"/>
      <c r="AU485" s="29"/>
      <c r="AV485" s="29"/>
      <c r="AW485" s="29"/>
    </row>
    <row r="486" spans="1:49" ht="13">
      <c r="A486" s="132">
        <v>2017</v>
      </c>
      <c r="B486" s="14" t="s">
        <v>58</v>
      </c>
      <c r="C486" s="14" t="s">
        <v>2419</v>
      </c>
      <c r="D486" s="14" t="s">
        <v>2419</v>
      </c>
      <c r="E486" s="14" t="e">
        <v>#N/A</v>
      </c>
      <c r="F486" s="14"/>
      <c r="G486" s="14">
        <f>COUNTIF(Stakeholders!$E$2:$E960,F486)</f>
        <v>0</v>
      </c>
      <c r="H486" s="14" t="s">
        <v>2506</v>
      </c>
      <c r="I486" s="152" t="s">
        <v>2507</v>
      </c>
      <c r="J486" s="14" t="s">
        <v>67</v>
      </c>
      <c r="K486" s="14"/>
      <c r="L486" s="14"/>
      <c r="M486" s="14"/>
      <c r="N486" s="14"/>
      <c r="O486" s="14"/>
      <c r="P486" s="14"/>
      <c r="Q486" s="14"/>
      <c r="R486" s="14"/>
      <c r="S486" s="14"/>
      <c r="T486" s="14"/>
      <c r="U486" s="14"/>
      <c r="V486" s="14"/>
      <c r="W486" s="14" t="s">
        <v>67</v>
      </c>
      <c r="X486" s="14"/>
      <c r="Y486" s="14"/>
      <c r="Z486" s="14"/>
      <c r="AA486" s="14"/>
      <c r="AB486" s="14" t="s">
        <v>1752</v>
      </c>
      <c r="AC486" s="135">
        <v>44138</v>
      </c>
      <c r="AD486" s="14" t="s">
        <v>1393</v>
      </c>
      <c r="AE486" s="24" t="e">
        <f>VLOOKUP(F486,Stakeholders!E:K,7,0)</f>
        <v>#N/A</v>
      </c>
      <c r="AF486" s="14"/>
      <c r="AG486" s="14"/>
      <c r="AH486" s="24" t="s">
        <v>82</v>
      </c>
      <c r="AI486" s="14"/>
      <c r="AJ486" s="14"/>
      <c r="AK486" s="14"/>
      <c r="AL486" s="14"/>
      <c r="AM486" s="14"/>
      <c r="AN486" s="14"/>
      <c r="AO486" s="14"/>
      <c r="AP486" s="14"/>
      <c r="AQ486" s="14"/>
      <c r="AR486" s="14"/>
      <c r="AS486" s="14"/>
      <c r="AT486" s="14"/>
      <c r="AU486" s="14"/>
      <c r="AV486" s="14"/>
      <c r="AW486" s="14"/>
    </row>
    <row r="487" spans="1:49" ht="13">
      <c r="A487" s="133">
        <v>2018</v>
      </c>
      <c r="B487" s="29" t="s">
        <v>58</v>
      </c>
      <c r="C487" s="29" t="s">
        <v>2508</v>
      </c>
      <c r="D487" s="29" t="s">
        <v>2469</v>
      </c>
      <c r="E487" s="29" t="e">
        <v>#N/A</v>
      </c>
      <c r="F487" s="29"/>
      <c r="G487" s="29">
        <f>COUNTIF(Stakeholders!$E$2:$E960,F487)</f>
        <v>0</v>
      </c>
      <c r="H487" s="29" t="s">
        <v>2509</v>
      </c>
      <c r="I487" s="151" t="s">
        <v>2510</v>
      </c>
      <c r="J487" s="29" t="s">
        <v>67</v>
      </c>
      <c r="K487" s="29"/>
      <c r="L487" s="29"/>
      <c r="M487" s="29"/>
      <c r="N487" s="29"/>
      <c r="O487" s="29"/>
      <c r="P487" s="29"/>
      <c r="Q487" s="29"/>
      <c r="R487" s="29"/>
      <c r="S487" s="29"/>
      <c r="T487" s="29"/>
      <c r="U487" s="29"/>
      <c r="V487" s="29"/>
      <c r="W487" s="29" t="s">
        <v>67</v>
      </c>
      <c r="X487" s="29"/>
      <c r="Y487" s="29"/>
      <c r="Z487" s="29"/>
      <c r="AA487" s="29"/>
      <c r="AB487" s="29" t="s">
        <v>1752</v>
      </c>
      <c r="AC487" s="136">
        <v>44139</v>
      </c>
      <c r="AD487" s="29" t="s">
        <v>1394</v>
      </c>
      <c r="AE487" s="34" t="e">
        <f>VLOOKUP(F487,Stakeholders!E:K,7,0)</f>
        <v>#N/A</v>
      </c>
      <c r="AF487" s="29"/>
      <c r="AG487" s="29"/>
      <c r="AH487" s="34" t="s">
        <v>82</v>
      </c>
      <c r="AI487" s="29"/>
      <c r="AJ487" s="29"/>
      <c r="AK487" s="29"/>
      <c r="AL487" s="29"/>
      <c r="AM487" s="29"/>
      <c r="AN487" s="29"/>
      <c r="AO487" s="29"/>
      <c r="AP487" s="29"/>
      <c r="AQ487" s="29"/>
      <c r="AR487" s="29"/>
      <c r="AS487" s="29"/>
      <c r="AT487" s="29"/>
      <c r="AU487" s="29"/>
      <c r="AV487" s="29"/>
      <c r="AW487" s="29"/>
    </row>
    <row r="488" spans="1:49" ht="13">
      <c r="A488" s="132">
        <v>2011</v>
      </c>
      <c r="B488" s="14" t="s">
        <v>58</v>
      </c>
      <c r="C488" s="14" t="s">
        <v>2511</v>
      </c>
      <c r="D488" s="14" t="s">
        <v>2511</v>
      </c>
      <c r="E488" s="14" t="e">
        <v>#N/A</v>
      </c>
      <c r="F488" s="14"/>
      <c r="G488" s="14">
        <f>COUNTIF(Stakeholders!$E$2:$E960,F488)</f>
        <v>0</v>
      </c>
      <c r="H488" s="14" t="s">
        <v>2512</v>
      </c>
      <c r="I488" s="152" t="s">
        <v>2513</v>
      </c>
      <c r="J488" s="14" t="s">
        <v>67</v>
      </c>
      <c r="K488" s="14"/>
      <c r="L488" s="14"/>
      <c r="M488" s="14"/>
      <c r="N488" s="14"/>
      <c r="O488" s="14"/>
      <c r="P488" s="14"/>
      <c r="Q488" s="14"/>
      <c r="R488" s="14"/>
      <c r="S488" s="14"/>
      <c r="T488" s="14"/>
      <c r="U488" s="14"/>
      <c r="V488" s="14"/>
      <c r="W488" s="14" t="s">
        <v>67</v>
      </c>
      <c r="X488" s="14"/>
      <c r="Y488" s="14"/>
      <c r="Z488" s="14"/>
      <c r="AA488" s="14"/>
      <c r="AB488" s="14" t="s">
        <v>1752</v>
      </c>
      <c r="AC488" s="135">
        <v>44140</v>
      </c>
      <c r="AD488" s="14" t="s">
        <v>1395</v>
      </c>
      <c r="AE488" s="24" t="e">
        <f>VLOOKUP(F488,Stakeholders!E:K,7,0)</f>
        <v>#N/A</v>
      </c>
      <c r="AF488" s="14"/>
      <c r="AG488" s="14"/>
      <c r="AH488" s="24" t="s">
        <v>82</v>
      </c>
      <c r="AI488" s="14"/>
      <c r="AJ488" s="14"/>
      <c r="AK488" s="14"/>
      <c r="AL488" s="14"/>
      <c r="AM488" s="14"/>
      <c r="AN488" s="14"/>
      <c r="AO488" s="14"/>
      <c r="AP488" s="14"/>
      <c r="AQ488" s="14"/>
      <c r="AR488" s="14"/>
      <c r="AS488" s="14"/>
      <c r="AT488" s="14"/>
      <c r="AU488" s="14"/>
      <c r="AV488" s="14"/>
      <c r="AW488" s="14"/>
    </row>
    <row r="489" spans="1:49" ht="13">
      <c r="A489" s="133">
        <v>2017</v>
      </c>
      <c r="B489" s="29" t="s">
        <v>58</v>
      </c>
      <c r="C489" s="29" t="s">
        <v>2511</v>
      </c>
      <c r="D489" s="29" t="s">
        <v>2511</v>
      </c>
      <c r="E489" s="29" t="e">
        <v>#N/A</v>
      </c>
      <c r="F489" s="29"/>
      <c r="G489" s="29">
        <f>COUNTIF(Stakeholders!$E$2:$E960,F489)</f>
        <v>0</v>
      </c>
      <c r="H489" s="29" t="s">
        <v>2514</v>
      </c>
      <c r="I489" s="151" t="s">
        <v>2515</v>
      </c>
      <c r="J489" s="29" t="s">
        <v>67</v>
      </c>
      <c r="K489" s="29"/>
      <c r="L489" s="29"/>
      <c r="M489" s="29"/>
      <c r="N489" s="29"/>
      <c r="O489" s="29"/>
      <c r="P489" s="29"/>
      <c r="Q489" s="29"/>
      <c r="R489" s="29"/>
      <c r="S489" s="29"/>
      <c r="T489" s="29"/>
      <c r="U489" s="29"/>
      <c r="V489" s="29"/>
      <c r="W489" s="29" t="s">
        <v>67</v>
      </c>
      <c r="X489" s="29"/>
      <c r="Y489" s="29"/>
      <c r="Z489" s="29"/>
      <c r="AA489" s="29"/>
      <c r="AB489" s="29" t="s">
        <v>1752</v>
      </c>
      <c r="AC489" s="136">
        <v>44141</v>
      </c>
      <c r="AD489" s="29" t="s">
        <v>1397</v>
      </c>
      <c r="AE489" s="34" t="e">
        <f>VLOOKUP(F489,Stakeholders!E:K,7,0)</f>
        <v>#N/A</v>
      </c>
      <c r="AF489" s="29"/>
      <c r="AG489" s="29"/>
      <c r="AH489" s="34" t="s">
        <v>82</v>
      </c>
      <c r="AI489" s="29"/>
      <c r="AJ489" s="29"/>
      <c r="AK489" s="29"/>
      <c r="AL489" s="29"/>
      <c r="AM489" s="29"/>
      <c r="AN489" s="29"/>
      <c r="AO489" s="29"/>
      <c r="AP489" s="29"/>
      <c r="AQ489" s="29"/>
      <c r="AR489" s="29"/>
      <c r="AS489" s="29"/>
      <c r="AT489" s="29"/>
      <c r="AU489" s="29"/>
      <c r="AV489" s="29"/>
      <c r="AW489" s="29"/>
    </row>
    <row r="490" spans="1:49" ht="13">
      <c r="A490" s="132">
        <v>2016</v>
      </c>
      <c r="B490" s="14" t="s">
        <v>58</v>
      </c>
      <c r="C490" s="14" t="s">
        <v>2279</v>
      </c>
      <c r="D490" s="14" t="s">
        <v>1846</v>
      </c>
      <c r="E490" s="14" t="e">
        <v>#N/A</v>
      </c>
      <c r="F490" s="14"/>
      <c r="G490" s="14">
        <f>COUNTIF(Stakeholders!$E$2:$E960,F490)</f>
        <v>0</v>
      </c>
      <c r="H490" s="14" t="s">
        <v>2516</v>
      </c>
      <c r="I490" s="152" t="s">
        <v>2517</v>
      </c>
      <c r="J490" s="14" t="s">
        <v>67</v>
      </c>
      <c r="K490" s="14"/>
      <c r="L490" s="14"/>
      <c r="M490" s="14"/>
      <c r="N490" s="14"/>
      <c r="O490" s="14"/>
      <c r="P490" s="14"/>
      <c r="Q490" s="14"/>
      <c r="R490" s="14"/>
      <c r="S490" s="14"/>
      <c r="T490" s="14"/>
      <c r="U490" s="14"/>
      <c r="V490" s="14"/>
      <c r="W490" s="14" t="s">
        <v>67</v>
      </c>
      <c r="X490" s="14"/>
      <c r="Y490" s="14"/>
      <c r="Z490" s="14"/>
      <c r="AA490" s="14"/>
      <c r="AB490" s="14" t="s">
        <v>1752</v>
      </c>
      <c r="AC490" s="135">
        <v>44142</v>
      </c>
      <c r="AD490" s="14" t="s">
        <v>1399</v>
      </c>
      <c r="AE490" s="24" t="e">
        <f>VLOOKUP(F490,Stakeholders!E:K,7,0)</f>
        <v>#N/A</v>
      </c>
      <c r="AF490" s="14"/>
      <c r="AG490" s="14"/>
      <c r="AH490" s="24" t="s">
        <v>82</v>
      </c>
      <c r="AI490" s="14"/>
      <c r="AJ490" s="14"/>
      <c r="AK490" s="14"/>
      <c r="AL490" s="14"/>
      <c r="AM490" s="14"/>
      <c r="AN490" s="14"/>
      <c r="AO490" s="14"/>
      <c r="AP490" s="14"/>
      <c r="AQ490" s="14"/>
      <c r="AR490" s="14"/>
      <c r="AS490" s="14"/>
      <c r="AT490" s="14"/>
      <c r="AU490" s="14"/>
      <c r="AV490" s="14"/>
      <c r="AW490" s="14"/>
    </row>
    <row r="491" spans="1:49" ht="13">
      <c r="A491" s="133">
        <v>2016</v>
      </c>
      <c r="B491" s="29" t="s">
        <v>58</v>
      </c>
      <c r="C491" s="29" t="s">
        <v>2518</v>
      </c>
      <c r="D491" s="29" t="s">
        <v>2518</v>
      </c>
      <c r="E491" s="29" t="e">
        <v>#N/A</v>
      </c>
      <c r="F491" s="29"/>
      <c r="G491" s="29">
        <f>COUNTIF(Stakeholders!$E$2:$E960,F491)</f>
        <v>0</v>
      </c>
      <c r="H491" s="29" t="s">
        <v>2519</v>
      </c>
      <c r="I491" s="151" t="s">
        <v>2520</v>
      </c>
      <c r="J491" s="29" t="s">
        <v>67</v>
      </c>
      <c r="K491" s="29"/>
      <c r="L491" s="29"/>
      <c r="M491" s="29"/>
      <c r="N491" s="29"/>
      <c r="O491" s="29"/>
      <c r="P491" s="29"/>
      <c r="Q491" s="29"/>
      <c r="R491" s="29"/>
      <c r="S491" s="29"/>
      <c r="T491" s="29"/>
      <c r="U491" s="29"/>
      <c r="V491" s="29"/>
      <c r="W491" s="29" t="s">
        <v>67</v>
      </c>
      <c r="X491" s="29"/>
      <c r="Y491" s="29"/>
      <c r="Z491" s="29"/>
      <c r="AA491" s="29"/>
      <c r="AB491" s="29" t="s">
        <v>1752</v>
      </c>
      <c r="AC491" s="136">
        <v>44143</v>
      </c>
      <c r="AD491" s="29" t="s">
        <v>1400</v>
      </c>
      <c r="AE491" s="34" t="e">
        <f>VLOOKUP(F491,Stakeholders!E:K,7,0)</f>
        <v>#N/A</v>
      </c>
      <c r="AF491" s="29"/>
      <c r="AG491" s="29"/>
      <c r="AH491" s="34" t="s">
        <v>82</v>
      </c>
      <c r="AI491" s="29"/>
      <c r="AJ491" s="29"/>
      <c r="AK491" s="29"/>
      <c r="AL491" s="29"/>
      <c r="AM491" s="29"/>
      <c r="AN491" s="29"/>
      <c r="AO491" s="29"/>
      <c r="AP491" s="29"/>
      <c r="AQ491" s="29"/>
      <c r="AR491" s="29"/>
      <c r="AS491" s="29"/>
      <c r="AT491" s="29"/>
      <c r="AU491" s="29"/>
      <c r="AV491" s="29"/>
      <c r="AW491" s="29"/>
    </row>
    <row r="492" spans="1:49" ht="13">
      <c r="A492" s="132">
        <v>2013</v>
      </c>
      <c r="B492" s="14" t="s">
        <v>58</v>
      </c>
      <c r="C492" s="14" t="s">
        <v>2521</v>
      </c>
      <c r="D492" s="14" t="s">
        <v>2521</v>
      </c>
      <c r="E492" s="14" t="e">
        <v>#N/A</v>
      </c>
      <c r="F492" s="14"/>
      <c r="G492" s="14">
        <f>COUNTIF(Stakeholders!$E$2:$E960,F492)</f>
        <v>0</v>
      </c>
      <c r="H492" s="14" t="s">
        <v>2522</v>
      </c>
      <c r="I492" s="152" t="s">
        <v>2523</v>
      </c>
      <c r="J492" s="14" t="s">
        <v>67</v>
      </c>
      <c r="K492" s="14"/>
      <c r="L492" s="14"/>
      <c r="M492" s="14"/>
      <c r="N492" s="14"/>
      <c r="O492" s="14"/>
      <c r="P492" s="14"/>
      <c r="Q492" s="14"/>
      <c r="R492" s="14"/>
      <c r="S492" s="14"/>
      <c r="T492" s="14"/>
      <c r="U492" s="14"/>
      <c r="V492" s="14"/>
      <c r="W492" s="14" t="s">
        <v>67</v>
      </c>
      <c r="X492" s="14"/>
      <c r="Y492" s="14"/>
      <c r="Z492" s="14"/>
      <c r="AA492" s="14"/>
      <c r="AB492" s="14" t="s">
        <v>1752</v>
      </c>
      <c r="AC492" s="135">
        <v>44144</v>
      </c>
      <c r="AD492" s="14" t="s">
        <v>1401</v>
      </c>
      <c r="AE492" s="24" t="e">
        <f>VLOOKUP(F492,Stakeholders!E:K,7,0)</f>
        <v>#N/A</v>
      </c>
      <c r="AF492" s="14"/>
      <c r="AG492" s="14"/>
      <c r="AH492" s="24" t="s">
        <v>82</v>
      </c>
      <c r="AI492" s="14"/>
      <c r="AJ492" s="14"/>
      <c r="AK492" s="14"/>
      <c r="AL492" s="14"/>
      <c r="AM492" s="14"/>
      <c r="AN492" s="14"/>
      <c r="AO492" s="14"/>
      <c r="AP492" s="14"/>
      <c r="AQ492" s="14"/>
      <c r="AR492" s="14"/>
      <c r="AS492" s="14"/>
      <c r="AT492" s="14"/>
      <c r="AU492" s="14"/>
      <c r="AV492" s="14"/>
      <c r="AW492" s="14"/>
    </row>
    <row r="493" spans="1:49" ht="13">
      <c r="A493" s="133">
        <v>2018</v>
      </c>
      <c r="B493" s="29" t="s">
        <v>58</v>
      </c>
      <c r="C493" s="29" t="s">
        <v>2524</v>
      </c>
      <c r="D493" s="29" t="s">
        <v>2525</v>
      </c>
      <c r="E493" s="29" t="e">
        <v>#N/A</v>
      </c>
      <c r="F493" s="29"/>
      <c r="G493" s="29">
        <f>COUNTIF(Stakeholders!$E$2:$E960,F493)</f>
        <v>0</v>
      </c>
      <c r="H493" s="29" t="s">
        <v>2526</v>
      </c>
      <c r="I493" s="151" t="s">
        <v>2527</v>
      </c>
      <c r="J493" s="29" t="s">
        <v>67</v>
      </c>
      <c r="K493" s="29"/>
      <c r="L493" s="29"/>
      <c r="M493" s="29"/>
      <c r="N493" s="29"/>
      <c r="O493" s="29"/>
      <c r="P493" s="29"/>
      <c r="Q493" s="29"/>
      <c r="R493" s="29"/>
      <c r="S493" s="29"/>
      <c r="T493" s="29"/>
      <c r="U493" s="29"/>
      <c r="V493" s="29"/>
      <c r="W493" s="29" t="s">
        <v>67</v>
      </c>
      <c r="X493" s="29"/>
      <c r="Y493" s="29"/>
      <c r="Z493" s="29"/>
      <c r="AA493" s="29"/>
      <c r="AB493" s="29" t="s">
        <v>1752</v>
      </c>
      <c r="AC493" s="136">
        <v>44145</v>
      </c>
      <c r="AD493" s="29" t="s">
        <v>1402</v>
      </c>
      <c r="AE493" s="34" t="e">
        <f>VLOOKUP(F493,Stakeholders!E:K,7,0)</f>
        <v>#N/A</v>
      </c>
      <c r="AF493" s="29"/>
      <c r="AG493" s="29"/>
      <c r="AH493" s="34" t="s">
        <v>82</v>
      </c>
      <c r="AI493" s="29"/>
      <c r="AJ493" s="29"/>
      <c r="AK493" s="29"/>
      <c r="AL493" s="29"/>
      <c r="AM493" s="29"/>
      <c r="AN493" s="29"/>
      <c r="AO493" s="29"/>
      <c r="AP493" s="29"/>
      <c r="AQ493" s="29"/>
      <c r="AR493" s="29"/>
      <c r="AS493" s="29"/>
      <c r="AT493" s="29"/>
      <c r="AU493" s="29"/>
      <c r="AV493" s="29"/>
      <c r="AW493" s="29"/>
    </row>
    <row r="494" spans="1:49" ht="14">
      <c r="A494" s="132">
        <v>1988</v>
      </c>
      <c r="B494" s="140" t="s">
        <v>80</v>
      </c>
      <c r="C494" s="14" t="s">
        <v>2528</v>
      </c>
      <c r="D494" s="14" t="s">
        <v>2529</v>
      </c>
      <c r="E494" s="14" t="e">
        <v>#N/A</v>
      </c>
      <c r="F494" s="14"/>
      <c r="G494" s="14">
        <f>COUNTIF(Stakeholders!$E$2:$E960,F494)</f>
        <v>0</v>
      </c>
      <c r="H494" s="14" t="s">
        <v>2530</v>
      </c>
      <c r="I494" s="152" t="s">
        <v>2531</v>
      </c>
      <c r="J494" s="14" t="s">
        <v>67</v>
      </c>
      <c r="K494" s="14"/>
      <c r="L494" s="14"/>
      <c r="M494" s="14"/>
      <c r="N494" s="14"/>
      <c r="O494" s="14"/>
      <c r="P494" s="14"/>
      <c r="Q494" s="14"/>
      <c r="R494" s="14"/>
      <c r="S494" s="14"/>
      <c r="T494" s="14"/>
      <c r="U494" s="14"/>
      <c r="V494" s="14"/>
      <c r="W494" s="14" t="s">
        <v>67</v>
      </c>
      <c r="X494" s="14"/>
      <c r="Y494" s="14"/>
      <c r="Z494" s="14"/>
      <c r="AA494" s="14"/>
      <c r="AB494" s="14" t="s">
        <v>1752</v>
      </c>
      <c r="AC494" s="135">
        <v>44146</v>
      </c>
      <c r="AD494" s="14" t="s">
        <v>1404</v>
      </c>
      <c r="AE494" s="24" t="e">
        <f>VLOOKUP(F494,Stakeholders!E:K,7,0)</f>
        <v>#N/A</v>
      </c>
      <c r="AF494" s="14"/>
      <c r="AG494" s="14"/>
      <c r="AH494" s="24" t="s">
        <v>82</v>
      </c>
      <c r="AI494" s="14"/>
      <c r="AJ494" s="14"/>
      <c r="AK494" s="14"/>
      <c r="AL494" s="14"/>
      <c r="AM494" s="14"/>
      <c r="AN494" s="14"/>
      <c r="AO494" s="14"/>
      <c r="AP494" s="14"/>
      <c r="AQ494" s="14"/>
      <c r="AR494" s="14"/>
      <c r="AS494" s="14"/>
      <c r="AT494" s="14"/>
      <c r="AU494" s="14"/>
      <c r="AV494" s="14"/>
      <c r="AW494" s="14"/>
    </row>
    <row r="495" spans="1:49" ht="13">
      <c r="A495" s="133">
        <v>2011</v>
      </c>
      <c r="B495" s="29" t="s">
        <v>58</v>
      </c>
      <c r="C495" s="29" t="s">
        <v>2532</v>
      </c>
      <c r="D495" s="29" t="s">
        <v>2532</v>
      </c>
      <c r="E495" s="29" t="e">
        <v>#N/A</v>
      </c>
      <c r="F495" s="29"/>
      <c r="G495" s="29">
        <f>COUNTIF(Stakeholders!$E$2:$E960,F495)</f>
        <v>0</v>
      </c>
      <c r="H495" s="29" t="s">
        <v>2533</v>
      </c>
      <c r="I495" s="151" t="s">
        <v>2534</v>
      </c>
      <c r="J495" s="29" t="s">
        <v>67</v>
      </c>
      <c r="K495" s="29"/>
      <c r="L495" s="29"/>
      <c r="M495" s="29"/>
      <c r="N495" s="29"/>
      <c r="O495" s="29"/>
      <c r="P495" s="29"/>
      <c r="Q495" s="29"/>
      <c r="R495" s="29"/>
      <c r="S495" s="29"/>
      <c r="T495" s="29"/>
      <c r="U495" s="29"/>
      <c r="V495" s="29"/>
      <c r="W495" s="29" t="s">
        <v>67</v>
      </c>
      <c r="X495" s="29"/>
      <c r="Y495" s="29"/>
      <c r="Z495" s="29"/>
      <c r="AA495" s="29"/>
      <c r="AB495" s="29" t="s">
        <v>1752</v>
      </c>
      <c r="AC495" s="136">
        <v>44147</v>
      </c>
      <c r="AD495" s="29" t="s">
        <v>1405</v>
      </c>
      <c r="AE495" s="34" t="e">
        <f>VLOOKUP(F495,Stakeholders!E:K,7,0)</f>
        <v>#N/A</v>
      </c>
      <c r="AF495" s="29"/>
      <c r="AG495" s="29"/>
      <c r="AH495" s="34" t="s">
        <v>82</v>
      </c>
      <c r="AI495" s="29"/>
      <c r="AJ495" s="29"/>
      <c r="AK495" s="29"/>
      <c r="AL495" s="29"/>
      <c r="AM495" s="29"/>
      <c r="AN495" s="29"/>
      <c r="AO495" s="29"/>
      <c r="AP495" s="29"/>
      <c r="AQ495" s="29"/>
      <c r="AR495" s="29"/>
      <c r="AS495" s="29"/>
      <c r="AT495" s="29"/>
      <c r="AU495" s="29"/>
      <c r="AV495" s="29"/>
      <c r="AW495" s="29"/>
    </row>
    <row r="496" spans="1:49" ht="13">
      <c r="A496" s="132">
        <v>2011</v>
      </c>
      <c r="B496" s="14" t="s">
        <v>58</v>
      </c>
      <c r="C496" s="14" t="s">
        <v>1805</v>
      </c>
      <c r="D496" s="14" t="s">
        <v>2067</v>
      </c>
      <c r="E496" s="14" t="e">
        <v>#N/A</v>
      </c>
      <c r="F496" s="14"/>
      <c r="G496" s="14">
        <f>COUNTIF(Stakeholders!$E$2:$E960,F496)</f>
        <v>0</v>
      </c>
      <c r="H496" s="14" t="s">
        <v>2535</v>
      </c>
      <c r="I496" s="152" t="s">
        <v>2536</v>
      </c>
      <c r="J496" s="14" t="s">
        <v>67</v>
      </c>
      <c r="K496" s="14"/>
      <c r="L496" s="14"/>
      <c r="M496" s="14"/>
      <c r="N496" s="14"/>
      <c r="O496" s="14"/>
      <c r="P496" s="14"/>
      <c r="Q496" s="14"/>
      <c r="R496" s="14"/>
      <c r="S496" s="14"/>
      <c r="T496" s="14"/>
      <c r="U496" s="14"/>
      <c r="V496" s="14"/>
      <c r="W496" s="14" t="s">
        <v>67</v>
      </c>
      <c r="X496" s="14"/>
      <c r="Y496" s="14"/>
      <c r="Z496" s="14"/>
      <c r="AA496" s="14"/>
      <c r="AB496" s="14" t="s">
        <v>1752</v>
      </c>
      <c r="AC496" s="135">
        <v>44148</v>
      </c>
      <c r="AD496" s="14" t="s">
        <v>1406</v>
      </c>
      <c r="AE496" s="24" t="e">
        <f>VLOOKUP(F496,Stakeholders!E:K,7,0)</f>
        <v>#N/A</v>
      </c>
      <c r="AF496" s="14"/>
      <c r="AG496" s="14"/>
      <c r="AH496" s="24" t="s">
        <v>82</v>
      </c>
      <c r="AI496" s="14"/>
      <c r="AJ496" s="14"/>
      <c r="AK496" s="14"/>
      <c r="AL496" s="14"/>
      <c r="AM496" s="14"/>
      <c r="AN496" s="14"/>
      <c r="AO496" s="14"/>
      <c r="AP496" s="14"/>
      <c r="AQ496" s="14"/>
      <c r="AR496" s="14"/>
      <c r="AS496" s="14"/>
      <c r="AT496" s="14"/>
      <c r="AU496" s="14"/>
      <c r="AV496" s="14"/>
      <c r="AW496" s="14"/>
    </row>
    <row r="497" spans="1:49" ht="14">
      <c r="A497" s="133">
        <v>2014</v>
      </c>
      <c r="B497" s="143" t="s">
        <v>80</v>
      </c>
      <c r="C497" s="29" t="s">
        <v>2528</v>
      </c>
      <c r="D497" s="29" t="s">
        <v>2528</v>
      </c>
      <c r="E497" s="29" t="e">
        <v>#N/A</v>
      </c>
      <c r="F497" s="29"/>
      <c r="G497" s="29">
        <f>COUNTIF(Stakeholders!$E$2:$E960,F497)</f>
        <v>0</v>
      </c>
      <c r="H497" s="29" t="s">
        <v>2537</v>
      </c>
      <c r="I497" s="151" t="s">
        <v>2538</v>
      </c>
      <c r="J497" s="29" t="s">
        <v>67</v>
      </c>
      <c r="K497" s="29"/>
      <c r="L497" s="29"/>
      <c r="M497" s="29"/>
      <c r="N497" s="29"/>
      <c r="O497" s="29"/>
      <c r="P497" s="29"/>
      <c r="Q497" s="29"/>
      <c r="R497" s="29"/>
      <c r="S497" s="29"/>
      <c r="T497" s="29"/>
      <c r="U497" s="29"/>
      <c r="V497" s="29"/>
      <c r="W497" s="29" t="s">
        <v>67</v>
      </c>
      <c r="X497" s="29"/>
      <c r="Y497" s="29"/>
      <c r="Z497" s="29"/>
      <c r="AA497" s="29"/>
      <c r="AB497" s="29" t="s">
        <v>1752</v>
      </c>
      <c r="AC497" s="136">
        <v>44149</v>
      </c>
      <c r="AD497" s="29" t="s">
        <v>1407</v>
      </c>
      <c r="AE497" s="34" t="e">
        <f>VLOOKUP(F497,Stakeholders!E:K,7,0)</f>
        <v>#N/A</v>
      </c>
      <c r="AF497" s="29"/>
      <c r="AG497" s="29"/>
      <c r="AH497" s="34" t="s">
        <v>82</v>
      </c>
      <c r="AI497" s="29"/>
      <c r="AJ497" s="29"/>
      <c r="AK497" s="29"/>
      <c r="AL497" s="29"/>
      <c r="AM497" s="29"/>
      <c r="AN497" s="29"/>
      <c r="AO497" s="29"/>
      <c r="AP497" s="29"/>
      <c r="AQ497" s="29"/>
      <c r="AR497" s="29"/>
      <c r="AS497" s="29"/>
      <c r="AT497" s="29"/>
      <c r="AU497" s="29"/>
      <c r="AV497" s="29"/>
      <c r="AW497" s="29"/>
    </row>
    <row r="498" spans="1:49" ht="13">
      <c r="A498" s="132">
        <v>2014</v>
      </c>
      <c r="B498" s="14" t="s">
        <v>58</v>
      </c>
      <c r="C498" s="14" t="s">
        <v>2539</v>
      </c>
      <c r="D498" s="14" t="s">
        <v>2539</v>
      </c>
      <c r="E498" s="14" t="e">
        <v>#N/A</v>
      </c>
      <c r="F498" s="14"/>
      <c r="G498" s="14">
        <f>COUNTIF(Stakeholders!$E$2:$E960,F498)</f>
        <v>0</v>
      </c>
      <c r="H498" s="14" t="s">
        <v>2540</v>
      </c>
      <c r="I498" s="152" t="s">
        <v>2541</v>
      </c>
      <c r="J498" s="14" t="s">
        <v>67</v>
      </c>
      <c r="K498" s="14"/>
      <c r="L498" s="14"/>
      <c r="M498" s="14"/>
      <c r="N498" s="14"/>
      <c r="O498" s="14"/>
      <c r="P498" s="14"/>
      <c r="Q498" s="14"/>
      <c r="R498" s="14"/>
      <c r="S498" s="14"/>
      <c r="T498" s="14"/>
      <c r="U498" s="14"/>
      <c r="V498" s="14"/>
      <c r="W498" s="14" t="s">
        <v>67</v>
      </c>
      <c r="X498" s="14"/>
      <c r="Y498" s="14"/>
      <c r="Z498" s="14"/>
      <c r="AA498" s="14"/>
      <c r="AB498" s="14" t="s">
        <v>1752</v>
      </c>
      <c r="AC498" s="135">
        <v>44150</v>
      </c>
      <c r="AD498" s="14" t="s">
        <v>1409</v>
      </c>
      <c r="AE498" s="24" t="e">
        <f>VLOOKUP(F498,Stakeholders!E:K,7,0)</f>
        <v>#N/A</v>
      </c>
      <c r="AF498" s="14"/>
      <c r="AG498" s="14"/>
      <c r="AH498" s="24" t="s">
        <v>82</v>
      </c>
      <c r="AI498" s="14"/>
      <c r="AJ498" s="14"/>
      <c r="AK498" s="14"/>
      <c r="AL498" s="14"/>
      <c r="AM498" s="14"/>
      <c r="AN498" s="14"/>
      <c r="AO498" s="14"/>
      <c r="AP498" s="14"/>
      <c r="AQ498" s="14"/>
      <c r="AR498" s="14"/>
      <c r="AS498" s="14"/>
      <c r="AT498" s="14"/>
      <c r="AU498" s="14"/>
      <c r="AV498" s="14"/>
      <c r="AW498" s="14"/>
    </row>
    <row r="499" spans="1:49" ht="13">
      <c r="A499" s="133">
        <v>2015</v>
      </c>
      <c r="B499" s="29" t="s">
        <v>58</v>
      </c>
      <c r="C499" s="29" t="s">
        <v>608</v>
      </c>
      <c r="D499" s="29" t="s">
        <v>2542</v>
      </c>
      <c r="E499" s="29" t="e">
        <v>#N/A</v>
      </c>
      <c r="F499" s="29"/>
      <c r="G499" s="29">
        <f>COUNTIF(Stakeholders!$E$2:$E960,F499)</f>
        <v>0</v>
      </c>
      <c r="H499" s="29" t="s">
        <v>2543</v>
      </c>
      <c r="I499" s="151" t="s">
        <v>2544</v>
      </c>
      <c r="J499" s="29" t="s">
        <v>67</v>
      </c>
      <c r="K499" s="29"/>
      <c r="L499" s="29"/>
      <c r="M499" s="29"/>
      <c r="N499" s="29"/>
      <c r="O499" s="29"/>
      <c r="P499" s="29"/>
      <c r="Q499" s="29"/>
      <c r="R499" s="29"/>
      <c r="S499" s="29"/>
      <c r="T499" s="29"/>
      <c r="U499" s="29"/>
      <c r="V499" s="29"/>
      <c r="W499" s="29" t="s">
        <v>67</v>
      </c>
      <c r="X499" s="29"/>
      <c r="Y499" s="29"/>
      <c r="Z499" s="29"/>
      <c r="AA499" s="29"/>
      <c r="AB499" s="29" t="s">
        <v>1752</v>
      </c>
      <c r="AC499" s="136">
        <v>44151</v>
      </c>
      <c r="AD499" s="29" t="s">
        <v>1411</v>
      </c>
      <c r="AE499" s="34" t="e">
        <f>VLOOKUP(F499,Stakeholders!E:K,7,0)</f>
        <v>#N/A</v>
      </c>
      <c r="AF499" s="29"/>
      <c r="AG499" s="29"/>
      <c r="AH499" s="34" t="s">
        <v>82</v>
      </c>
      <c r="AI499" s="29"/>
      <c r="AJ499" s="29"/>
      <c r="AK499" s="29"/>
      <c r="AL499" s="29"/>
      <c r="AM499" s="29"/>
      <c r="AN499" s="29"/>
      <c r="AO499" s="29"/>
      <c r="AP499" s="29"/>
      <c r="AQ499" s="29"/>
      <c r="AR499" s="29"/>
      <c r="AS499" s="29"/>
      <c r="AT499" s="29"/>
      <c r="AU499" s="29"/>
      <c r="AV499" s="29"/>
      <c r="AW499" s="29"/>
    </row>
    <row r="500" spans="1:49" ht="14">
      <c r="A500" s="132">
        <v>2016</v>
      </c>
      <c r="B500" s="140" t="s">
        <v>80</v>
      </c>
      <c r="C500" s="14" t="s">
        <v>2545</v>
      </c>
      <c r="D500" s="14" t="s">
        <v>2528</v>
      </c>
      <c r="E500" s="14" t="e">
        <v>#N/A</v>
      </c>
      <c r="F500" s="14"/>
      <c r="G500" s="14">
        <f>COUNTIF(Stakeholders!$E$2:$E960,F500)</f>
        <v>0</v>
      </c>
      <c r="H500" s="14" t="s">
        <v>2546</v>
      </c>
      <c r="I500" s="152" t="s">
        <v>2547</v>
      </c>
      <c r="J500" s="14" t="s">
        <v>67</v>
      </c>
      <c r="K500" s="14"/>
      <c r="L500" s="14"/>
      <c r="M500" s="14"/>
      <c r="N500" s="14"/>
      <c r="O500" s="14"/>
      <c r="P500" s="14"/>
      <c r="Q500" s="14"/>
      <c r="R500" s="14"/>
      <c r="S500" s="14"/>
      <c r="T500" s="14"/>
      <c r="U500" s="14"/>
      <c r="V500" s="14"/>
      <c r="W500" s="14" t="s">
        <v>67</v>
      </c>
      <c r="X500" s="14"/>
      <c r="Y500" s="14"/>
      <c r="Z500" s="14"/>
      <c r="AA500" s="14"/>
      <c r="AB500" s="14" t="s">
        <v>1752</v>
      </c>
      <c r="AC500" s="135">
        <v>44152</v>
      </c>
      <c r="AD500" s="14" t="s">
        <v>1412</v>
      </c>
      <c r="AE500" s="24" t="e">
        <f>VLOOKUP(F500,Stakeholders!E:K,7,0)</f>
        <v>#N/A</v>
      </c>
      <c r="AF500" s="14"/>
      <c r="AG500" s="14"/>
      <c r="AH500" s="24" t="s">
        <v>82</v>
      </c>
      <c r="AI500" s="14"/>
      <c r="AJ500" s="14"/>
      <c r="AK500" s="14"/>
      <c r="AL500" s="14"/>
      <c r="AM500" s="14"/>
      <c r="AN500" s="14"/>
      <c r="AO500" s="14"/>
      <c r="AP500" s="14"/>
      <c r="AQ500" s="14"/>
      <c r="AR500" s="14"/>
      <c r="AS500" s="14"/>
      <c r="AT500" s="14"/>
      <c r="AU500" s="14"/>
      <c r="AV500" s="14"/>
      <c r="AW500" s="14"/>
    </row>
    <row r="501" spans="1:49" ht="14">
      <c r="A501" s="133">
        <v>2016</v>
      </c>
      <c r="B501" s="143" t="s">
        <v>80</v>
      </c>
      <c r="C501" s="29" t="s">
        <v>2528</v>
      </c>
      <c r="D501" s="29" t="s">
        <v>2528</v>
      </c>
      <c r="E501" s="29" t="e">
        <v>#N/A</v>
      </c>
      <c r="F501" s="29"/>
      <c r="G501" s="29">
        <f>COUNTIF(Stakeholders!$E$2:$E960,F501)</f>
        <v>0</v>
      </c>
      <c r="H501" s="29" t="s">
        <v>2548</v>
      </c>
      <c r="I501" s="151" t="s">
        <v>2549</v>
      </c>
      <c r="J501" s="29" t="s">
        <v>67</v>
      </c>
      <c r="K501" s="29"/>
      <c r="L501" s="29"/>
      <c r="M501" s="29"/>
      <c r="N501" s="29"/>
      <c r="O501" s="29"/>
      <c r="P501" s="29"/>
      <c r="Q501" s="29"/>
      <c r="R501" s="29"/>
      <c r="S501" s="29"/>
      <c r="T501" s="29"/>
      <c r="U501" s="29"/>
      <c r="V501" s="29"/>
      <c r="W501" s="29" t="s">
        <v>67</v>
      </c>
      <c r="X501" s="29"/>
      <c r="Y501" s="29"/>
      <c r="Z501" s="29"/>
      <c r="AA501" s="29"/>
      <c r="AB501" s="29" t="s">
        <v>1752</v>
      </c>
      <c r="AC501" s="136">
        <v>44153</v>
      </c>
      <c r="AD501" s="29" t="s">
        <v>1413</v>
      </c>
      <c r="AE501" s="34" t="e">
        <f>VLOOKUP(F501,Stakeholders!E:K,7,0)</f>
        <v>#N/A</v>
      </c>
      <c r="AF501" s="29"/>
      <c r="AG501" s="29"/>
      <c r="AH501" s="34" t="s">
        <v>82</v>
      </c>
      <c r="AI501" s="29"/>
      <c r="AJ501" s="29"/>
      <c r="AK501" s="29"/>
      <c r="AL501" s="29"/>
      <c r="AM501" s="29"/>
      <c r="AN501" s="29"/>
      <c r="AO501" s="29"/>
      <c r="AP501" s="29"/>
      <c r="AQ501" s="29"/>
      <c r="AR501" s="29"/>
      <c r="AS501" s="29"/>
      <c r="AT501" s="29"/>
      <c r="AU501" s="29"/>
      <c r="AV501" s="29"/>
      <c r="AW501" s="29"/>
    </row>
    <row r="502" spans="1:49" ht="13">
      <c r="A502" s="132">
        <v>2017</v>
      </c>
      <c r="B502" s="14" t="s">
        <v>58</v>
      </c>
      <c r="C502" s="14" t="s">
        <v>2550</v>
      </c>
      <c r="D502" s="14" t="s">
        <v>2550</v>
      </c>
      <c r="E502" s="14" t="e">
        <v>#N/A</v>
      </c>
      <c r="F502" s="14"/>
      <c r="G502" s="14">
        <f>COUNTIF(Stakeholders!$E$2:$E960,F502)</f>
        <v>0</v>
      </c>
      <c r="H502" s="14" t="s">
        <v>2551</v>
      </c>
      <c r="I502" s="152" t="s">
        <v>2552</v>
      </c>
      <c r="J502" s="14" t="s">
        <v>67</v>
      </c>
      <c r="K502" s="14"/>
      <c r="L502" s="14"/>
      <c r="M502" s="14"/>
      <c r="N502" s="14"/>
      <c r="O502" s="14"/>
      <c r="P502" s="14"/>
      <c r="Q502" s="14"/>
      <c r="R502" s="14"/>
      <c r="S502" s="14"/>
      <c r="T502" s="14"/>
      <c r="U502" s="14"/>
      <c r="V502" s="14"/>
      <c r="W502" s="14" t="s">
        <v>67</v>
      </c>
      <c r="X502" s="14"/>
      <c r="Y502" s="14"/>
      <c r="Z502" s="14"/>
      <c r="AA502" s="14"/>
      <c r="AB502" s="14" t="s">
        <v>1752</v>
      </c>
      <c r="AC502" s="135">
        <v>44154</v>
      </c>
      <c r="AD502" s="14" t="s">
        <v>1414</v>
      </c>
      <c r="AE502" s="24" t="e">
        <f>VLOOKUP(F502,Stakeholders!E:K,7,0)</f>
        <v>#N/A</v>
      </c>
      <c r="AF502" s="14"/>
      <c r="AG502" s="14"/>
      <c r="AH502" s="24" t="s">
        <v>82</v>
      </c>
      <c r="AI502" s="14"/>
      <c r="AJ502" s="14"/>
      <c r="AK502" s="14"/>
      <c r="AL502" s="14"/>
      <c r="AM502" s="14"/>
      <c r="AN502" s="14"/>
      <c r="AO502" s="14"/>
      <c r="AP502" s="14"/>
      <c r="AQ502" s="14"/>
      <c r="AR502" s="14"/>
      <c r="AS502" s="14"/>
      <c r="AT502" s="14"/>
      <c r="AU502" s="14"/>
      <c r="AV502" s="14"/>
      <c r="AW502" s="14"/>
    </row>
    <row r="503" spans="1:49" ht="14">
      <c r="A503" s="133">
        <v>2017</v>
      </c>
      <c r="B503" s="143" t="s">
        <v>80</v>
      </c>
      <c r="C503" s="29" t="s">
        <v>2528</v>
      </c>
      <c r="D503" s="29" t="s">
        <v>2528</v>
      </c>
      <c r="E503" s="29" t="e">
        <v>#N/A</v>
      </c>
      <c r="F503" s="29"/>
      <c r="G503" s="29">
        <f>COUNTIF(Stakeholders!$E$2:$E960,F503)</f>
        <v>0</v>
      </c>
      <c r="H503" s="29" t="s">
        <v>2553</v>
      </c>
      <c r="I503" s="151" t="s">
        <v>2554</v>
      </c>
      <c r="J503" s="29" t="s">
        <v>67</v>
      </c>
      <c r="K503" s="29"/>
      <c r="L503" s="29"/>
      <c r="M503" s="29"/>
      <c r="N503" s="29"/>
      <c r="O503" s="29"/>
      <c r="P503" s="29"/>
      <c r="Q503" s="29"/>
      <c r="R503" s="29"/>
      <c r="S503" s="29"/>
      <c r="T503" s="29"/>
      <c r="U503" s="29"/>
      <c r="V503" s="29"/>
      <c r="W503" s="29" t="s">
        <v>67</v>
      </c>
      <c r="X503" s="29"/>
      <c r="Y503" s="29"/>
      <c r="Z503" s="29"/>
      <c r="AA503" s="29"/>
      <c r="AB503" s="29" t="s">
        <v>1752</v>
      </c>
      <c r="AC503" s="136">
        <v>44155</v>
      </c>
      <c r="AD503" s="29" t="s">
        <v>1415</v>
      </c>
      <c r="AE503" s="34" t="e">
        <f>VLOOKUP(F503,Stakeholders!E:K,7,0)</f>
        <v>#N/A</v>
      </c>
      <c r="AF503" s="29"/>
      <c r="AG503" s="29"/>
      <c r="AH503" s="34" t="s">
        <v>82</v>
      </c>
      <c r="AI503" s="29"/>
      <c r="AJ503" s="29"/>
      <c r="AK503" s="29"/>
      <c r="AL503" s="29"/>
      <c r="AM503" s="29"/>
      <c r="AN503" s="29"/>
      <c r="AO503" s="29"/>
      <c r="AP503" s="29"/>
      <c r="AQ503" s="29"/>
      <c r="AR503" s="29"/>
      <c r="AS503" s="29"/>
      <c r="AT503" s="29"/>
      <c r="AU503" s="29"/>
      <c r="AV503" s="29"/>
      <c r="AW503" s="29"/>
    </row>
    <row r="504" spans="1:49" ht="13">
      <c r="A504" s="132">
        <v>2018</v>
      </c>
      <c r="B504" s="14" t="s">
        <v>58</v>
      </c>
      <c r="C504" s="14" t="s">
        <v>2555</v>
      </c>
      <c r="D504" s="14" t="s">
        <v>2556</v>
      </c>
      <c r="E504" s="14" t="e">
        <v>#N/A</v>
      </c>
      <c r="F504" s="14"/>
      <c r="G504" s="14">
        <f>COUNTIF(Stakeholders!$E$2:$E960,F504)</f>
        <v>0</v>
      </c>
      <c r="H504" s="14" t="s">
        <v>2557</v>
      </c>
      <c r="I504" s="152" t="s">
        <v>2558</v>
      </c>
      <c r="J504" s="14" t="s">
        <v>67</v>
      </c>
      <c r="K504" s="14"/>
      <c r="L504" s="14"/>
      <c r="M504" s="14"/>
      <c r="N504" s="14"/>
      <c r="O504" s="14"/>
      <c r="P504" s="14"/>
      <c r="Q504" s="14"/>
      <c r="R504" s="14"/>
      <c r="S504" s="14"/>
      <c r="T504" s="14"/>
      <c r="U504" s="14"/>
      <c r="V504" s="14"/>
      <c r="W504" s="14" t="s">
        <v>67</v>
      </c>
      <c r="X504" s="14"/>
      <c r="Y504" s="14"/>
      <c r="Z504" s="14"/>
      <c r="AA504" s="14"/>
      <c r="AB504" s="14" t="s">
        <v>1752</v>
      </c>
      <c r="AC504" s="135">
        <v>44156</v>
      </c>
      <c r="AD504" s="14" t="s">
        <v>1416</v>
      </c>
      <c r="AE504" s="24" t="e">
        <f>VLOOKUP(F504,Stakeholders!E:K,7,0)</f>
        <v>#N/A</v>
      </c>
      <c r="AF504" s="14"/>
      <c r="AG504" s="14"/>
      <c r="AH504" s="24" t="s">
        <v>82</v>
      </c>
      <c r="AI504" s="14"/>
      <c r="AJ504" s="14"/>
      <c r="AK504" s="14"/>
      <c r="AL504" s="14"/>
      <c r="AM504" s="14"/>
      <c r="AN504" s="14"/>
      <c r="AO504" s="14"/>
      <c r="AP504" s="14"/>
      <c r="AQ504" s="14"/>
      <c r="AR504" s="14"/>
      <c r="AS504" s="14"/>
      <c r="AT504" s="14"/>
      <c r="AU504" s="14"/>
      <c r="AV504" s="14"/>
      <c r="AW504" s="14"/>
    </row>
    <row r="505" spans="1:49" ht="14">
      <c r="A505" s="133">
        <v>2018</v>
      </c>
      <c r="B505" s="143" t="s">
        <v>80</v>
      </c>
      <c r="C505" s="29" t="s">
        <v>2528</v>
      </c>
      <c r="D505" s="29" t="s">
        <v>2528</v>
      </c>
      <c r="E505" s="29" t="e">
        <v>#N/A</v>
      </c>
      <c r="F505" s="29"/>
      <c r="G505" s="29">
        <f>COUNTIF(Stakeholders!$E$2:$E960,F505)</f>
        <v>0</v>
      </c>
      <c r="H505" s="29" t="s">
        <v>2559</v>
      </c>
      <c r="I505" s="151" t="s">
        <v>2560</v>
      </c>
      <c r="J505" s="29" t="s">
        <v>67</v>
      </c>
      <c r="K505" s="29"/>
      <c r="L505" s="29"/>
      <c r="M505" s="29"/>
      <c r="N505" s="29"/>
      <c r="O505" s="29"/>
      <c r="P505" s="29"/>
      <c r="Q505" s="29"/>
      <c r="R505" s="29"/>
      <c r="S505" s="29"/>
      <c r="T505" s="29"/>
      <c r="U505" s="29"/>
      <c r="V505" s="29"/>
      <c r="W505" s="29" t="s">
        <v>67</v>
      </c>
      <c r="X505" s="29"/>
      <c r="Y505" s="29"/>
      <c r="Z505" s="29"/>
      <c r="AA505" s="29"/>
      <c r="AB505" s="29" t="s">
        <v>1752</v>
      </c>
      <c r="AC505" s="136">
        <v>44157</v>
      </c>
      <c r="AD505" s="29" t="s">
        <v>1417</v>
      </c>
      <c r="AE505" s="34" t="e">
        <f>VLOOKUP(F505,Stakeholders!E:K,7,0)</f>
        <v>#N/A</v>
      </c>
      <c r="AF505" s="29"/>
      <c r="AG505" s="29"/>
      <c r="AH505" s="34" t="s">
        <v>82</v>
      </c>
      <c r="AI505" s="29"/>
      <c r="AJ505" s="29"/>
      <c r="AK505" s="29"/>
      <c r="AL505" s="29"/>
      <c r="AM505" s="29"/>
      <c r="AN505" s="29"/>
      <c r="AO505" s="29"/>
      <c r="AP505" s="29"/>
      <c r="AQ505" s="29"/>
      <c r="AR505" s="29"/>
      <c r="AS505" s="29"/>
      <c r="AT505" s="29"/>
      <c r="AU505" s="29"/>
      <c r="AV505" s="29"/>
      <c r="AW505" s="29"/>
    </row>
    <row r="506" spans="1:49" ht="13">
      <c r="A506" s="132">
        <v>2019</v>
      </c>
      <c r="B506" s="14" t="s">
        <v>58</v>
      </c>
      <c r="C506" s="14" t="s">
        <v>2550</v>
      </c>
      <c r="D506" s="14" t="s">
        <v>2561</v>
      </c>
      <c r="E506" s="14" t="e">
        <v>#N/A</v>
      </c>
      <c r="F506" s="14"/>
      <c r="G506" s="14">
        <f>COUNTIF(Stakeholders!$E$2:$E960,F506)</f>
        <v>0</v>
      </c>
      <c r="H506" s="14" t="s">
        <v>2562</v>
      </c>
      <c r="I506" s="152" t="s">
        <v>2563</v>
      </c>
      <c r="J506" s="14" t="s">
        <v>67</v>
      </c>
      <c r="K506" s="14"/>
      <c r="L506" s="14"/>
      <c r="M506" s="14"/>
      <c r="N506" s="14"/>
      <c r="O506" s="14"/>
      <c r="P506" s="14"/>
      <c r="Q506" s="14"/>
      <c r="R506" s="14"/>
      <c r="S506" s="14"/>
      <c r="T506" s="14"/>
      <c r="U506" s="14"/>
      <c r="V506" s="14"/>
      <c r="W506" s="14" t="s">
        <v>67</v>
      </c>
      <c r="X506" s="14"/>
      <c r="Y506" s="14"/>
      <c r="Z506" s="14"/>
      <c r="AA506" s="14"/>
      <c r="AB506" s="14" t="s">
        <v>1752</v>
      </c>
      <c r="AC506" s="135">
        <v>44158</v>
      </c>
      <c r="AD506" s="14" t="s">
        <v>1418</v>
      </c>
      <c r="AE506" s="24" t="e">
        <f>VLOOKUP(F506,Stakeholders!E:K,7,0)</f>
        <v>#N/A</v>
      </c>
      <c r="AF506" s="14"/>
      <c r="AG506" s="14"/>
      <c r="AH506" s="24" t="s">
        <v>82</v>
      </c>
      <c r="AI506" s="14"/>
      <c r="AJ506" s="14"/>
      <c r="AK506" s="14"/>
      <c r="AL506" s="14"/>
      <c r="AM506" s="14"/>
      <c r="AN506" s="14"/>
      <c r="AO506" s="14"/>
      <c r="AP506" s="14"/>
      <c r="AQ506" s="14"/>
      <c r="AR506" s="14"/>
      <c r="AS506" s="14"/>
      <c r="AT506" s="14"/>
      <c r="AU506" s="14"/>
      <c r="AV506" s="14"/>
      <c r="AW506" s="14"/>
    </row>
    <row r="507" spans="1:49" ht="13">
      <c r="A507" s="29" t="s">
        <v>2564</v>
      </c>
      <c r="B507" s="29" t="s">
        <v>58</v>
      </c>
      <c r="C507" s="29" t="s">
        <v>2524</v>
      </c>
      <c r="D507" s="29" t="s">
        <v>2067</v>
      </c>
      <c r="E507" s="29" t="e">
        <v>#N/A</v>
      </c>
      <c r="F507" s="29"/>
      <c r="G507" s="29">
        <f>COUNTIF(Stakeholders!$E$2:$E960,F507)</f>
        <v>0</v>
      </c>
      <c r="H507" s="29" t="s">
        <v>2565</v>
      </c>
      <c r="I507" s="151" t="s">
        <v>2566</v>
      </c>
      <c r="J507" s="29" t="s">
        <v>67</v>
      </c>
      <c r="K507" s="29"/>
      <c r="L507" s="29"/>
      <c r="M507" s="29"/>
      <c r="N507" s="29"/>
      <c r="O507" s="29"/>
      <c r="P507" s="29"/>
      <c r="Q507" s="29"/>
      <c r="R507" s="29"/>
      <c r="S507" s="29"/>
      <c r="T507" s="29"/>
      <c r="U507" s="29"/>
      <c r="V507" s="29"/>
      <c r="W507" s="29" t="s">
        <v>67</v>
      </c>
      <c r="X507" s="29"/>
      <c r="Y507" s="29"/>
      <c r="Z507" s="29"/>
      <c r="AA507" s="29"/>
      <c r="AB507" s="29" t="s">
        <v>1752</v>
      </c>
      <c r="AC507" s="136">
        <v>44159</v>
      </c>
      <c r="AD507" s="29" t="s">
        <v>1420</v>
      </c>
      <c r="AE507" s="34" t="e">
        <f>VLOOKUP(F507,Stakeholders!E:K,7,0)</f>
        <v>#N/A</v>
      </c>
      <c r="AF507" s="29"/>
      <c r="AG507" s="29"/>
      <c r="AH507" s="34" t="s">
        <v>82</v>
      </c>
      <c r="AI507" s="29"/>
      <c r="AJ507" s="29"/>
      <c r="AK507" s="29"/>
      <c r="AL507" s="29"/>
      <c r="AM507" s="29"/>
      <c r="AN507" s="29"/>
      <c r="AO507" s="29"/>
      <c r="AP507" s="29"/>
      <c r="AQ507" s="29"/>
      <c r="AR507" s="29"/>
      <c r="AS507" s="29"/>
      <c r="AT507" s="29"/>
      <c r="AU507" s="29"/>
      <c r="AV507" s="29"/>
      <c r="AW507" s="29"/>
    </row>
    <row r="508" spans="1:49" ht="13">
      <c r="A508" s="14" t="s">
        <v>2564</v>
      </c>
      <c r="B508" s="14" t="s">
        <v>58</v>
      </c>
      <c r="C508" s="14" t="s">
        <v>2555</v>
      </c>
      <c r="D508" s="14" t="s">
        <v>2555</v>
      </c>
      <c r="E508" s="14" t="e">
        <v>#N/A</v>
      </c>
      <c r="F508" s="14"/>
      <c r="G508" s="14">
        <f>COUNTIF(Stakeholders!$E$2:$E960,F508)</f>
        <v>0</v>
      </c>
      <c r="H508" s="14" t="s">
        <v>2567</v>
      </c>
      <c r="I508" s="152" t="s">
        <v>2568</v>
      </c>
      <c r="J508" s="14" t="s">
        <v>67</v>
      </c>
      <c r="K508" s="14"/>
      <c r="L508" s="14"/>
      <c r="M508" s="14"/>
      <c r="N508" s="14"/>
      <c r="O508" s="14"/>
      <c r="P508" s="14"/>
      <c r="Q508" s="14"/>
      <c r="R508" s="14"/>
      <c r="S508" s="14"/>
      <c r="T508" s="14"/>
      <c r="U508" s="14"/>
      <c r="V508" s="14"/>
      <c r="W508" s="14" t="s">
        <v>67</v>
      </c>
      <c r="X508" s="14"/>
      <c r="Y508" s="14"/>
      <c r="Z508" s="14"/>
      <c r="AA508" s="14"/>
      <c r="AB508" s="14" t="s">
        <v>1752</v>
      </c>
      <c r="AC508" s="135">
        <v>44160</v>
      </c>
      <c r="AD508" s="14" t="s">
        <v>1421</v>
      </c>
      <c r="AE508" s="24" t="e">
        <f>VLOOKUP(F508,Stakeholders!E:K,7,0)</f>
        <v>#N/A</v>
      </c>
      <c r="AF508" s="14"/>
      <c r="AG508" s="14"/>
      <c r="AH508" s="24" t="s">
        <v>82</v>
      </c>
      <c r="AI508" s="14"/>
      <c r="AJ508" s="14"/>
      <c r="AK508" s="14"/>
      <c r="AL508" s="14"/>
      <c r="AM508" s="14"/>
      <c r="AN508" s="14"/>
      <c r="AO508" s="14"/>
      <c r="AP508" s="14"/>
      <c r="AQ508" s="14"/>
      <c r="AR508" s="14"/>
      <c r="AS508" s="14"/>
      <c r="AT508" s="14"/>
      <c r="AU508" s="14"/>
      <c r="AV508" s="14"/>
      <c r="AW508" s="14"/>
    </row>
    <row r="509" spans="1:49" ht="14">
      <c r="A509" s="133">
        <v>2001</v>
      </c>
      <c r="B509" s="29" t="s">
        <v>92</v>
      </c>
      <c r="C509" s="65" t="s">
        <v>412</v>
      </c>
      <c r="D509" s="29" t="s">
        <v>2569</v>
      </c>
      <c r="E509" s="29" t="e">
        <v>#N/A</v>
      </c>
      <c r="F509" s="29"/>
      <c r="G509" s="29">
        <f>COUNTIF(Stakeholders!$E$2:$E960,F509)</f>
        <v>0</v>
      </c>
      <c r="H509" s="29" t="s">
        <v>2570</v>
      </c>
      <c r="I509" s="151" t="s">
        <v>2571</v>
      </c>
      <c r="J509" s="29" t="s">
        <v>67</v>
      </c>
      <c r="K509" s="29"/>
      <c r="L509" s="29"/>
      <c r="M509" s="29"/>
      <c r="N509" s="29"/>
      <c r="O509" s="29"/>
      <c r="P509" s="29"/>
      <c r="Q509" s="29"/>
      <c r="R509" s="29"/>
      <c r="S509" s="29"/>
      <c r="T509" s="29"/>
      <c r="U509" s="29"/>
      <c r="V509" s="29"/>
      <c r="W509" s="29" t="s">
        <v>67</v>
      </c>
      <c r="X509" s="29"/>
      <c r="Y509" s="29"/>
      <c r="Z509" s="29"/>
      <c r="AA509" s="29"/>
      <c r="AB509" s="29" t="s">
        <v>1752</v>
      </c>
      <c r="AC509" s="136">
        <v>44161</v>
      </c>
      <c r="AD509" s="29" t="s">
        <v>1422</v>
      </c>
      <c r="AE509" s="34" t="e">
        <f>VLOOKUP(F509,Stakeholders!E:K,7,0)</f>
        <v>#N/A</v>
      </c>
      <c r="AF509" s="29"/>
      <c r="AG509" s="29"/>
      <c r="AH509" s="34" t="s">
        <v>82</v>
      </c>
      <c r="AI509" s="29"/>
      <c r="AJ509" s="29"/>
      <c r="AK509" s="29"/>
      <c r="AL509" s="29"/>
      <c r="AM509" s="29"/>
      <c r="AN509" s="29"/>
      <c r="AO509" s="29"/>
      <c r="AP509" s="29"/>
      <c r="AQ509" s="29"/>
      <c r="AR509" s="29"/>
      <c r="AS509" s="29"/>
      <c r="AT509" s="29"/>
      <c r="AU509" s="29"/>
      <c r="AV509" s="29"/>
      <c r="AW509" s="29"/>
    </row>
    <row r="510" spans="1:49" ht="14">
      <c r="A510" s="132">
        <v>2001</v>
      </c>
      <c r="B510" s="29" t="s">
        <v>92</v>
      </c>
      <c r="C510" s="80" t="s">
        <v>412</v>
      </c>
      <c r="D510" s="14" t="s">
        <v>2572</v>
      </c>
      <c r="E510" s="14" t="e">
        <v>#N/A</v>
      </c>
      <c r="F510" s="14"/>
      <c r="G510" s="14">
        <f>COUNTIF(Stakeholders!$E$2:$E960,F510)</f>
        <v>0</v>
      </c>
      <c r="H510" s="14" t="s">
        <v>2573</v>
      </c>
      <c r="I510" s="152" t="s">
        <v>2574</v>
      </c>
      <c r="J510" s="14" t="s">
        <v>67</v>
      </c>
      <c r="K510" s="14"/>
      <c r="L510" s="14"/>
      <c r="M510" s="14"/>
      <c r="N510" s="14"/>
      <c r="O510" s="14"/>
      <c r="P510" s="14"/>
      <c r="Q510" s="14"/>
      <c r="R510" s="14"/>
      <c r="S510" s="14"/>
      <c r="T510" s="14"/>
      <c r="U510" s="14"/>
      <c r="V510" s="14"/>
      <c r="W510" s="14" t="s">
        <v>67</v>
      </c>
      <c r="X510" s="14"/>
      <c r="Y510" s="14"/>
      <c r="Z510" s="14"/>
      <c r="AA510" s="14"/>
      <c r="AB510" s="14" t="s">
        <v>1752</v>
      </c>
      <c r="AC510" s="135">
        <v>44162</v>
      </c>
      <c r="AD510" s="14" t="s">
        <v>1425</v>
      </c>
      <c r="AE510" s="24" t="e">
        <f>VLOOKUP(F510,Stakeholders!E:K,7,0)</f>
        <v>#N/A</v>
      </c>
      <c r="AF510" s="14"/>
      <c r="AG510" s="14"/>
      <c r="AH510" s="24" t="s">
        <v>82</v>
      </c>
      <c r="AI510" s="14"/>
      <c r="AJ510" s="14"/>
      <c r="AK510" s="14"/>
      <c r="AL510" s="14"/>
      <c r="AM510" s="14"/>
      <c r="AN510" s="14"/>
      <c r="AO510" s="14"/>
      <c r="AP510" s="14"/>
      <c r="AQ510" s="14"/>
      <c r="AR510" s="14"/>
      <c r="AS510" s="14"/>
      <c r="AT510" s="14"/>
      <c r="AU510" s="14"/>
      <c r="AV510" s="14"/>
      <c r="AW510" s="14"/>
    </row>
    <row r="511" spans="1:49" ht="14">
      <c r="A511" s="133">
        <v>2003</v>
      </c>
      <c r="B511" s="29" t="s">
        <v>92</v>
      </c>
      <c r="C511" s="65" t="s">
        <v>412</v>
      </c>
      <c r="D511" s="29" t="s">
        <v>2575</v>
      </c>
      <c r="E511" s="29" t="e">
        <v>#N/A</v>
      </c>
      <c r="F511" s="29"/>
      <c r="G511" s="29">
        <f>COUNTIF(Stakeholders!$E$2:$E960,F511)</f>
        <v>0</v>
      </c>
      <c r="H511" s="29" t="s">
        <v>2576</v>
      </c>
      <c r="I511" s="151" t="s">
        <v>2577</v>
      </c>
      <c r="J511" s="29" t="s">
        <v>67</v>
      </c>
      <c r="K511" s="29"/>
      <c r="L511" s="29"/>
      <c r="M511" s="29"/>
      <c r="N511" s="29"/>
      <c r="O511" s="29"/>
      <c r="P511" s="29"/>
      <c r="Q511" s="29"/>
      <c r="R511" s="29"/>
      <c r="S511" s="29"/>
      <c r="T511" s="29"/>
      <c r="U511" s="29"/>
      <c r="V511" s="29"/>
      <c r="W511" s="29" t="s">
        <v>67</v>
      </c>
      <c r="X511" s="29"/>
      <c r="Y511" s="29"/>
      <c r="Z511" s="29"/>
      <c r="AA511" s="29"/>
      <c r="AB511" s="29" t="s">
        <v>1752</v>
      </c>
      <c r="AC511" s="136">
        <v>44163</v>
      </c>
      <c r="AD511" s="29" t="s">
        <v>780</v>
      </c>
      <c r="AE511" s="34" t="e">
        <f>VLOOKUP(F511,Stakeholders!E:K,7,0)</f>
        <v>#N/A</v>
      </c>
      <c r="AF511" s="29"/>
      <c r="AG511" s="29"/>
      <c r="AH511" s="34" t="s">
        <v>82</v>
      </c>
      <c r="AI511" s="29"/>
      <c r="AJ511" s="29"/>
      <c r="AK511" s="29"/>
      <c r="AL511" s="29"/>
      <c r="AM511" s="29"/>
      <c r="AN511" s="29"/>
      <c r="AO511" s="29"/>
      <c r="AP511" s="29"/>
      <c r="AQ511" s="29"/>
      <c r="AR511" s="29"/>
      <c r="AS511" s="29"/>
      <c r="AT511" s="29"/>
      <c r="AU511" s="29"/>
      <c r="AV511" s="29"/>
      <c r="AW511" s="29"/>
    </row>
    <row r="512" spans="1:49" ht="14">
      <c r="A512" s="132">
        <v>2003</v>
      </c>
      <c r="B512" s="29" t="s">
        <v>92</v>
      </c>
      <c r="C512" s="80" t="s">
        <v>412</v>
      </c>
      <c r="D512" s="14" t="s">
        <v>2569</v>
      </c>
      <c r="E512" s="14" t="e">
        <v>#N/A</v>
      </c>
      <c r="F512" s="14"/>
      <c r="G512" s="14">
        <f>COUNTIF(Stakeholders!$E$2:$E960,F512)</f>
        <v>0</v>
      </c>
      <c r="H512" s="14" t="s">
        <v>2578</v>
      </c>
      <c r="I512" s="152" t="s">
        <v>2579</v>
      </c>
      <c r="J512" s="14" t="s">
        <v>67</v>
      </c>
      <c r="K512" s="14"/>
      <c r="L512" s="14"/>
      <c r="M512" s="14"/>
      <c r="N512" s="14"/>
      <c r="O512" s="14"/>
      <c r="P512" s="14"/>
      <c r="Q512" s="14"/>
      <c r="R512" s="14"/>
      <c r="S512" s="14"/>
      <c r="T512" s="14"/>
      <c r="U512" s="14"/>
      <c r="V512" s="14"/>
      <c r="W512" s="14" t="s">
        <v>67</v>
      </c>
      <c r="X512" s="14"/>
      <c r="Y512" s="14"/>
      <c r="Z512" s="14"/>
      <c r="AA512" s="14"/>
      <c r="AB512" s="14" t="s">
        <v>1752</v>
      </c>
      <c r="AC512" s="135">
        <v>44164</v>
      </c>
      <c r="AD512" s="14" t="s">
        <v>1427</v>
      </c>
      <c r="AE512" s="24" t="e">
        <f>VLOOKUP(F512,Stakeholders!E:K,7,0)</f>
        <v>#N/A</v>
      </c>
      <c r="AF512" s="14"/>
      <c r="AG512" s="14"/>
      <c r="AH512" s="24" t="s">
        <v>82</v>
      </c>
      <c r="AI512" s="14"/>
      <c r="AJ512" s="14"/>
      <c r="AK512" s="14"/>
      <c r="AL512" s="14"/>
      <c r="AM512" s="14"/>
      <c r="AN512" s="14"/>
      <c r="AO512" s="14"/>
      <c r="AP512" s="14"/>
      <c r="AQ512" s="14"/>
      <c r="AR512" s="14"/>
      <c r="AS512" s="14"/>
      <c r="AT512" s="14"/>
      <c r="AU512" s="14"/>
      <c r="AV512" s="14"/>
      <c r="AW512" s="14"/>
    </row>
    <row r="513" spans="1:49" ht="14">
      <c r="A513" s="133">
        <v>2003</v>
      </c>
      <c r="B513" s="29" t="s">
        <v>92</v>
      </c>
      <c r="C513" s="65" t="s">
        <v>412</v>
      </c>
      <c r="D513" s="29" t="s">
        <v>2575</v>
      </c>
      <c r="E513" s="29" t="e">
        <v>#N/A</v>
      </c>
      <c r="F513" s="29"/>
      <c r="G513" s="29">
        <f>COUNTIF(Stakeholders!$E$2:$E960,F513)</f>
        <v>0</v>
      </c>
      <c r="H513" s="29" t="s">
        <v>2580</v>
      </c>
      <c r="I513" s="151" t="s">
        <v>2581</v>
      </c>
      <c r="J513" s="29" t="s">
        <v>67</v>
      </c>
      <c r="K513" s="29"/>
      <c r="L513" s="29"/>
      <c r="M513" s="29"/>
      <c r="N513" s="29"/>
      <c r="O513" s="29"/>
      <c r="P513" s="29"/>
      <c r="Q513" s="29"/>
      <c r="R513" s="29"/>
      <c r="S513" s="29"/>
      <c r="T513" s="29"/>
      <c r="U513" s="29"/>
      <c r="V513" s="29"/>
      <c r="W513" s="29" t="s">
        <v>67</v>
      </c>
      <c r="X513" s="29"/>
      <c r="Y513" s="29"/>
      <c r="Z513" s="29"/>
      <c r="AA513" s="29"/>
      <c r="AB513" s="29" t="s">
        <v>1752</v>
      </c>
      <c r="AC513" s="136">
        <v>44165</v>
      </c>
      <c r="AD513" s="29" t="s">
        <v>781</v>
      </c>
      <c r="AE513" s="34" t="e">
        <f>VLOOKUP(F513,Stakeholders!E:K,7,0)</f>
        <v>#N/A</v>
      </c>
      <c r="AF513" s="29"/>
      <c r="AG513" s="29"/>
      <c r="AH513" s="34" t="s">
        <v>82</v>
      </c>
      <c r="AI513" s="29"/>
      <c r="AJ513" s="29"/>
      <c r="AK513" s="29"/>
      <c r="AL513" s="29"/>
      <c r="AM513" s="29"/>
      <c r="AN513" s="29"/>
      <c r="AO513" s="29"/>
      <c r="AP513" s="29"/>
      <c r="AQ513" s="29"/>
      <c r="AR513" s="29"/>
      <c r="AS513" s="29"/>
      <c r="AT513" s="29"/>
      <c r="AU513" s="29"/>
      <c r="AV513" s="29"/>
      <c r="AW513" s="29"/>
    </row>
    <row r="514" spans="1:49" ht="14">
      <c r="A514" s="132">
        <v>2007</v>
      </c>
      <c r="B514" s="29" t="s">
        <v>92</v>
      </c>
      <c r="C514" s="80" t="s">
        <v>412</v>
      </c>
      <c r="D514" s="14" t="s">
        <v>2575</v>
      </c>
      <c r="E514" s="14" t="e">
        <v>#N/A</v>
      </c>
      <c r="F514" s="14"/>
      <c r="G514" s="14">
        <f>COUNTIF(Stakeholders!$E$2:$E960,F514)</f>
        <v>0</v>
      </c>
      <c r="H514" s="14" t="s">
        <v>2582</v>
      </c>
      <c r="I514" s="152" t="s">
        <v>2583</v>
      </c>
      <c r="J514" s="14" t="s">
        <v>67</v>
      </c>
      <c r="K514" s="14"/>
      <c r="L514" s="14"/>
      <c r="M514" s="14"/>
      <c r="N514" s="14"/>
      <c r="O514" s="14"/>
      <c r="P514" s="14"/>
      <c r="Q514" s="14"/>
      <c r="R514" s="14"/>
      <c r="S514" s="14"/>
      <c r="T514" s="14"/>
      <c r="U514" s="14"/>
      <c r="V514" s="14"/>
      <c r="W514" s="14" t="s">
        <v>67</v>
      </c>
      <c r="X514" s="14"/>
      <c r="Y514" s="14"/>
      <c r="Z514" s="14"/>
      <c r="AA514" s="14"/>
      <c r="AB514" s="14" t="s">
        <v>1752</v>
      </c>
      <c r="AC514" s="135">
        <v>44166</v>
      </c>
      <c r="AD514" s="14" t="s">
        <v>782</v>
      </c>
      <c r="AE514" s="24" t="e">
        <f>VLOOKUP(F514,Stakeholders!E:K,7,0)</f>
        <v>#N/A</v>
      </c>
      <c r="AF514" s="14"/>
      <c r="AG514" s="14"/>
      <c r="AH514" s="24" t="s">
        <v>82</v>
      </c>
      <c r="AI514" s="14"/>
      <c r="AJ514" s="14"/>
      <c r="AK514" s="14"/>
      <c r="AL514" s="14"/>
      <c r="AM514" s="14"/>
      <c r="AN514" s="14"/>
      <c r="AO514" s="14"/>
      <c r="AP514" s="14"/>
      <c r="AQ514" s="14"/>
      <c r="AR514" s="14"/>
      <c r="AS514" s="14"/>
      <c r="AT514" s="14"/>
      <c r="AU514" s="14"/>
      <c r="AV514" s="14"/>
      <c r="AW514" s="14"/>
    </row>
    <row r="515" spans="1:49" ht="13">
      <c r="A515" s="133">
        <v>2012</v>
      </c>
      <c r="B515" s="29" t="s">
        <v>92</v>
      </c>
      <c r="C515" s="29" t="s">
        <v>2584</v>
      </c>
      <c r="D515" s="29" t="s">
        <v>2067</v>
      </c>
      <c r="E515" s="29" t="e">
        <v>#N/A</v>
      </c>
      <c r="F515" s="29"/>
      <c r="G515" s="29">
        <f>COUNTIF(Stakeholders!$E$2:$E960,F515)</f>
        <v>0</v>
      </c>
      <c r="H515" s="29" t="s">
        <v>2585</v>
      </c>
      <c r="I515" s="151" t="s">
        <v>2586</v>
      </c>
      <c r="J515" s="29" t="s">
        <v>67</v>
      </c>
      <c r="K515" s="29"/>
      <c r="L515" s="29"/>
      <c r="M515" s="29"/>
      <c r="N515" s="29"/>
      <c r="O515" s="29"/>
      <c r="P515" s="29"/>
      <c r="Q515" s="29"/>
      <c r="R515" s="29"/>
      <c r="S515" s="29"/>
      <c r="T515" s="29"/>
      <c r="U515" s="29"/>
      <c r="V515" s="29"/>
      <c r="W515" s="29" t="s">
        <v>67</v>
      </c>
      <c r="X515" s="29"/>
      <c r="Y515" s="29"/>
      <c r="Z515" s="29"/>
      <c r="AA515" s="29"/>
      <c r="AB515" s="29" t="s">
        <v>1752</v>
      </c>
      <c r="AC515" s="136">
        <v>44167</v>
      </c>
      <c r="AD515" s="29" t="s">
        <v>784</v>
      </c>
      <c r="AE515" s="34" t="e">
        <f>VLOOKUP(F515,Stakeholders!E:K,7,0)</f>
        <v>#N/A</v>
      </c>
      <c r="AF515" s="29"/>
      <c r="AG515" s="29"/>
      <c r="AH515" s="34" t="s">
        <v>82</v>
      </c>
      <c r="AI515" s="29"/>
      <c r="AJ515" s="29"/>
      <c r="AK515" s="29"/>
      <c r="AL515" s="29"/>
      <c r="AM515" s="29"/>
      <c r="AN515" s="29"/>
      <c r="AO515" s="29"/>
      <c r="AP515" s="29"/>
      <c r="AQ515" s="29"/>
      <c r="AR515" s="29"/>
      <c r="AS515" s="29"/>
      <c r="AT515" s="29"/>
      <c r="AU515" s="29"/>
      <c r="AV515" s="29"/>
      <c r="AW515" s="29"/>
    </row>
    <row r="516" spans="1:49" ht="14">
      <c r="A516" s="132">
        <v>2012</v>
      </c>
      <c r="B516" s="29" t="s">
        <v>92</v>
      </c>
      <c r="C516" s="80" t="s">
        <v>412</v>
      </c>
      <c r="D516" s="14" t="s">
        <v>2575</v>
      </c>
      <c r="E516" s="14" t="e">
        <v>#N/A</v>
      </c>
      <c r="F516" s="14"/>
      <c r="G516" s="14">
        <f>COUNTIF(Stakeholders!$E$2:$E960,F516)</f>
        <v>0</v>
      </c>
      <c r="H516" s="14" t="s">
        <v>2587</v>
      </c>
      <c r="I516" s="152" t="s">
        <v>2588</v>
      </c>
      <c r="J516" s="14" t="s">
        <v>67</v>
      </c>
      <c r="K516" s="14"/>
      <c r="L516" s="14"/>
      <c r="M516" s="14"/>
      <c r="N516" s="14"/>
      <c r="O516" s="14"/>
      <c r="P516" s="14"/>
      <c r="Q516" s="14"/>
      <c r="R516" s="14"/>
      <c r="S516" s="14"/>
      <c r="T516" s="14"/>
      <c r="U516" s="14"/>
      <c r="V516" s="14"/>
      <c r="W516" s="14" t="s">
        <v>67</v>
      </c>
      <c r="X516" s="14"/>
      <c r="Y516" s="14"/>
      <c r="Z516" s="14"/>
      <c r="AA516" s="14"/>
      <c r="AB516" s="14" t="s">
        <v>1752</v>
      </c>
      <c r="AC516" s="135">
        <v>44168</v>
      </c>
      <c r="AD516" s="14" t="s">
        <v>785</v>
      </c>
      <c r="AE516" s="24" t="e">
        <f>VLOOKUP(F516,Stakeholders!E:K,7,0)</f>
        <v>#N/A</v>
      </c>
      <c r="AF516" s="14"/>
      <c r="AG516" s="14"/>
      <c r="AH516" s="24" t="s">
        <v>82</v>
      </c>
      <c r="AI516" s="14"/>
      <c r="AJ516" s="14"/>
      <c r="AK516" s="14"/>
      <c r="AL516" s="14"/>
      <c r="AM516" s="14"/>
      <c r="AN516" s="14"/>
      <c r="AO516" s="14"/>
      <c r="AP516" s="14"/>
      <c r="AQ516" s="14"/>
      <c r="AR516" s="14"/>
      <c r="AS516" s="14"/>
      <c r="AT516" s="14"/>
      <c r="AU516" s="14"/>
      <c r="AV516" s="14"/>
      <c r="AW516" s="14"/>
    </row>
    <row r="517" spans="1:49" ht="14">
      <c r="A517" s="133">
        <v>2013</v>
      </c>
      <c r="B517" s="29" t="s">
        <v>92</v>
      </c>
      <c r="C517" s="65" t="s">
        <v>412</v>
      </c>
      <c r="D517" s="29" t="s">
        <v>2575</v>
      </c>
      <c r="E517" s="29" t="e">
        <v>#N/A</v>
      </c>
      <c r="F517" s="29"/>
      <c r="G517" s="29">
        <f>COUNTIF(Stakeholders!$E$2:$E960,F517)</f>
        <v>0</v>
      </c>
      <c r="H517" s="29" t="s">
        <v>2589</v>
      </c>
      <c r="I517" s="151" t="s">
        <v>2590</v>
      </c>
      <c r="J517" s="29" t="s">
        <v>67</v>
      </c>
      <c r="K517" s="29"/>
      <c r="L517" s="29"/>
      <c r="M517" s="29"/>
      <c r="N517" s="29"/>
      <c r="O517" s="29"/>
      <c r="P517" s="29"/>
      <c r="Q517" s="29"/>
      <c r="R517" s="29"/>
      <c r="S517" s="29"/>
      <c r="T517" s="29"/>
      <c r="U517" s="29"/>
      <c r="V517" s="29"/>
      <c r="W517" s="29" t="s">
        <v>67</v>
      </c>
      <c r="X517" s="29"/>
      <c r="Y517" s="29"/>
      <c r="Z517" s="29"/>
      <c r="AA517" s="29"/>
      <c r="AB517" s="29" t="s">
        <v>1752</v>
      </c>
      <c r="AC517" s="136">
        <v>44169</v>
      </c>
      <c r="AD517" s="29" t="s">
        <v>1429</v>
      </c>
      <c r="AE517" s="34" t="e">
        <f>VLOOKUP(F517,Stakeholders!E:K,7,0)</f>
        <v>#N/A</v>
      </c>
      <c r="AF517" s="29"/>
      <c r="AG517" s="29"/>
      <c r="AH517" s="34" t="s">
        <v>82</v>
      </c>
      <c r="AI517" s="29"/>
      <c r="AJ517" s="29"/>
      <c r="AK517" s="29"/>
      <c r="AL517" s="29"/>
      <c r="AM517" s="29"/>
      <c r="AN517" s="29"/>
      <c r="AO517" s="29"/>
      <c r="AP517" s="29"/>
      <c r="AQ517" s="29"/>
      <c r="AR517" s="29"/>
      <c r="AS517" s="29"/>
      <c r="AT517" s="29"/>
      <c r="AU517" s="29"/>
      <c r="AV517" s="29"/>
      <c r="AW517" s="29"/>
    </row>
    <row r="518" spans="1:49" ht="14">
      <c r="A518" s="132">
        <v>2014</v>
      </c>
      <c r="B518" s="29" t="s">
        <v>92</v>
      </c>
      <c r="C518" s="80" t="s">
        <v>412</v>
      </c>
      <c r="D518" s="14" t="s">
        <v>2575</v>
      </c>
      <c r="E518" s="14" t="e">
        <v>#N/A</v>
      </c>
      <c r="F518" s="14"/>
      <c r="G518" s="14">
        <f>COUNTIF(Stakeholders!$E$2:$E960,F518)</f>
        <v>0</v>
      </c>
      <c r="H518" s="14" t="s">
        <v>2591</v>
      </c>
      <c r="I518" s="152" t="s">
        <v>2592</v>
      </c>
      <c r="J518" s="14" t="s">
        <v>67</v>
      </c>
      <c r="K518" s="14"/>
      <c r="L518" s="14"/>
      <c r="M518" s="14"/>
      <c r="N518" s="14"/>
      <c r="O518" s="14"/>
      <c r="P518" s="14"/>
      <c r="Q518" s="14"/>
      <c r="R518" s="14"/>
      <c r="S518" s="14"/>
      <c r="T518" s="14"/>
      <c r="U518" s="14"/>
      <c r="V518" s="14"/>
      <c r="W518" s="14" t="s">
        <v>67</v>
      </c>
      <c r="X518" s="14"/>
      <c r="Y518" s="14"/>
      <c r="Z518" s="14"/>
      <c r="AA518" s="14"/>
      <c r="AB518" s="14" t="s">
        <v>1752</v>
      </c>
      <c r="AC518" s="135">
        <v>44170</v>
      </c>
      <c r="AD518" s="14" t="s">
        <v>1431</v>
      </c>
      <c r="AE518" s="24" t="e">
        <f>VLOOKUP(F518,Stakeholders!E:K,7,0)</f>
        <v>#N/A</v>
      </c>
      <c r="AF518" s="14"/>
      <c r="AG518" s="14"/>
      <c r="AH518" s="24" t="s">
        <v>82</v>
      </c>
      <c r="AI518" s="14"/>
      <c r="AJ518" s="14"/>
      <c r="AK518" s="14"/>
      <c r="AL518" s="14"/>
      <c r="AM518" s="14"/>
      <c r="AN518" s="14"/>
      <c r="AO518" s="14"/>
      <c r="AP518" s="14"/>
      <c r="AQ518" s="14"/>
      <c r="AR518" s="14"/>
      <c r="AS518" s="14"/>
      <c r="AT518" s="14"/>
      <c r="AU518" s="14"/>
      <c r="AV518" s="14"/>
      <c r="AW518" s="14"/>
    </row>
    <row r="519" spans="1:49" ht="14">
      <c r="A519" s="133">
        <v>2014</v>
      </c>
      <c r="B519" s="29" t="s">
        <v>92</v>
      </c>
      <c r="C519" s="65" t="s">
        <v>412</v>
      </c>
      <c r="D519" s="29" t="s">
        <v>2575</v>
      </c>
      <c r="E519" s="29" t="e">
        <v>#N/A</v>
      </c>
      <c r="F519" s="29"/>
      <c r="G519" s="29">
        <f>COUNTIF(Stakeholders!$E$2:$E960,F519)</f>
        <v>0</v>
      </c>
      <c r="H519" s="29" t="s">
        <v>2593</v>
      </c>
      <c r="I519" s="151" t="s">
        <v>2594</v>
      </c>
      <c r="J519" s="29" t="s">
        <v>67</v>
      </c>
      <c r="K519" s="29"/>
      <c r="L519" s="29"/>
      <c r="M519" s="29"/>
      <c r="N519" s="29"/>
      <c r="O519" s="29"/>
      <c r="P519" s="29"/>
      <c r="Q519" s="29"/>
      <c r="R519" s="29"/>
      <c r="S519" s="29"/>
      <c r="T519" s="29"/>
      <c r="U519" s="29"/>
      <c r="V519" s="29"/>
      <c r="W519" s="29" t="s">
        <v>67</v>
      </c>
      <c r="X519" s="29"/>
      <c r="Y519" s="29"/>
      <c r="Z519" s="29"/>
      <c r="AA519" s="29"/>
      <c r="AB519" s="29" t="s">
        <v>1752</v>
      </c>
      <c r="AC519" s="136">
        <v>44171</v>
      </c>
      <c r="AD519" s="29" t="s">
        <v>815</v>
      </c>
      <c r="AE519" s="34" t="e">
        <f>VLOOKUP(F519,Stakeholders!E:K,7,0)</f>
        <v>#N/A</v>
      </c>
      <c r="AF519" s="29"/>
      <c r="AG519" s="29"/>
      <c r="AH519" s="34" t="s">
        <v>82</v>
      </c>
      <c r="AI519" s="29"/>
      <c r="AJ519" s="29"/>
      <c r="AK519" s="29"/>
      <c r="AL519" s="29"/>
      <c r="AM519" s="29"/>
      <c r="AN519" s="29"/>
      <c r="AO519" s="29"/>
      <c r="AP519" s="29"/>
      <c r="AQ519" s="29"/>
      <c r="AR519" s="29"/>
      <c r="AS519" s="29"/>
      <c r="AT519" s="29"/>
      <c r="AU519" s="29"/>
      <c r="AV519" s="29"/>
      <c r="AW519" s="29"/>
    </row>
    <row r="520" spans="1:49" ht="14">
      <c r="A520" s="132">
        <v>2014</v>
      </c>
      <c r="B520" s="29" t="s">
        <v>92</v>
      </c>
      <c r="C520" s="80" t="s">
        <v>412</v>
      </c>
      <c r="D520" s="14" t="s">
        <v>2575</v>
      </c>
      <c r="E520" s="14" t="e">
        <v>#N/A</v>
      </c>
      <c r="F520" s="14"/>
      <c r="G520" s="14">
        <f>COUNTIF(Stakeholders!$E$2:$E960,F520)</f>
        <v>0</v>
      </c>
      <c r="H520" s="14" t="s">
        <v>2595</v>
      </c>
      <c r="I520" s="152" t="s">
        <v>2596</v>
      </c>
      <c r="J520" s="14" t="s">
        <v>67</v>
      </c>
      <c r="K520" s="14"/>
      <c r="L520" s="14"/>
      <c r="M520" s="14"/>
      <c r="N520" s="14"/>
      <c r="O520" s="14"/>
      <c r="P520" s="14"/>
      <c r="Q520" s="14"/>
      <c r="R520" s="14"/>
      <c r="S520" s="14"/>
      <c r="T520" s="14"/>
      <c r="U520" s="14"/>
      <c r="V520" s="14"/>
      <c r="W520" s="14" t="s">
        <v>67</v>
      </c>
      <c r="X520" s="14"/>
      <c r="Y520" s="14"/>
      <c r="Z520" s="14"/>
      <c r="AA520" s="14"/>
      <c r="AB520" s="14" t="s">
        <v>1752</v>
      </c>
      <c r="AC520" s="135">
        <v>44172</v>
      </c>
      <c r="AD520" s="14" t="s">
        <v>816</v>
      </c>
      <c r="AE520" s="24" t="e">
        <f>VLOOKUP(F520,Stakeholders!E:K,7,0)</f>
        <v>#N/A</v>
      </c>
      <c r="AF520" s="14"/>
      <c r="AG520" s="14"/>
      <c r="AH520" s="24" t="s">
        <v>82</v>
      </c>
      <c r="AI520" s="14"/>
      <c r="AJ520" s="14"/>
      <c r="AK520" s="14"/>
      <c r="AL520" s="14"/>
      <c r="AM520" s="14"/>
      <c r="AN520" s="14"/>
      <c r="AO520" s="14"/>
      <c r="AP520" s="14"/>
      <c r="AQ520" s="14"/>
      <c r="AR520" s="14"/>
      <c r="AS520" s="14"/>
      <c r="AT520" s="14"/>
      <c r="AU520" s="14"/>
      <c r="AV520" s="14"/>
      <c r="AW520" s="14"/>
    </row>
    <row r="521" spans="1:49" ht="14">
      <c r="A521" s="133">
        <v>2014</v>
      </c>
      <c r="B521" s="29" t="s">
        <v>92</v>
      </c>
      <c r="C521" s="65" t="s">
        <v>412</v>
      </c>
      <c r="D521" s="29" t="s">
        <v>2575</v>
      </c>
      <c r="E521" s="29" t="e">
        <v>#N/A</v>
      </c>
      <c r="F521" s="29"/>
      <c r="G521" s="29">
        <f>COUNTIF(Stakeholders!$E$2:$E960,F521)</f>
        <v>0</v>
      </c>
      <c r="H521" s="29" t="s">
        <v>2597</v>
      </c>
      <c r="I521" s="151" t="s">
        <v>2598</v>
      </c>
      <c r="J521" s="29" t="s">
        <v>67</v>
      </c>
      <c r="K521" s="29"/>
      <c r="L521" s="29"/>
      <c r="M521" s="29"/>
      <c r="N521" s="29"/>
      <c r="O521" s="29"/>
      <c r="P521" s="29"/>
      <c r="Q521" s="29"/>
      <c r="R521" s="29"/>
      <c r="S521" s="29"/>
      <c r="T521" s="29"/>
      <c r="U521" s="29"/>
      <c r="V521" s="29"/>
      <c r="W521" s="29" t="s">
        <v>67</v>
      </c>
      <c r="X521" s="29"/>
      <c r="Y521" s="29"/>
      <c r="Z521" s="29"/>
      <c r="AA521" s="29"/>
      <c r="AB521" s="29" t="s">
        <v>1752</v>
      </c>
      <c r="AC521" s="136">
        <v>44173</v>
      </c>
      <c r="AD521" s="29" t="s">
        <v>702</v>
      </c>
      <c r="AE521" s="34" t="e">
        <f>VLOOKUP(F521,Stakeholders!E:K,7,0)</f>
        <v>#N/A</v>
      </c>
      <c r="AF521" s="29"/>
      <c r="AG521" s="29"/>
      <c r="AH521" s="34" t="s">
        <v>82</v>
      </c>
      <c r="AI521" s="29"/>
      <c r="AJ521" s="29"/>
      <c r="AK521" s="29"/>
      <c r="AL521" s="29"/>
      <c r="AM521" s="29"/>
      <c r="AN521" s="29"/>
      <c r="AO521" s="29"/>
      <c r="AP521" s="29"/>
      <c r="AQ521" s="29"/>
      <c r="AR521" s="29"/>
      <c r="AS521" s="29"/>
      <c r="AT521" s="29"/>
      <c r="AU521" s="29"/>
      <c r="AV521" s="29"/>
      <c r="AW521" s="29"/>
    </row>
    <row r="522" spans="1:49" ht="14">
      <c r="A522" s="132">
        <v>2014</v>
      </c>
      <c r="B522" s="29" t="s">
        <v>92</v>
      </c>
      <c r="C522" s="80" t="s">
        <v>412</v>
      </c>
      <c r="D522" s="14" t="s">
        <v>2575</v>
      </c>
      <c r="E522" s="14" t="e">
        <v>#N/A</v>
      </c>
      <c r="F522" s="14"/>
      <c r="G522" s="14">
        <f>COUNTIF(Stakeholders!$E$2:$E960,F522)</f>
        <v>0</v>
      </c>
      <c r="H522" s="14" t="s">
        <v>2599</v>
      </c>
      <c r="I522" s="152" t="s">
        <v>2600</v>
      </c>
      <c r="J522" s="14" t="s">
        <v>67</v>
      </c>
      <c r="K522" s="14"/>
      <c r="L522" s="14"/>
      <c r="M522" s="14"/>
      <c r="N522" s="14"/>
      <c r="O522" s="14"/>
      <c r="P522" s="14"/>
      <c r="Q522" s="14"/>
      <c r="R522" s="14"/>
      <c r="S522" s="14"/>
      <c r="T522" s="14"/>
      <c r="U522" s="14"/>
      <c r="V522" s="14"/>
      <c r="W522" s="14" t="s">
        <v>67</v>
      </c>
      <c r="X522" s="14"/>
      <c r="Y522" s="14"/>
      <c r="Z522" s="14"/>
      <c r="AA522" s="14"/>
      <c r="AB522" s="14" t="s">
        <v>1752</v>
      </c>
      <c r="AC522" s="135">
        <v>44174</v>
      </c>
      <c r="AD522" s="14" t="s">
        <v>786</v>
      </c>
      <c r="AE522" s="24" t="e">
        <f>VLOOKUP(F522,Stakeholders!E:K,7,0)</f>
        <v>#N/A</v>
      </c>
      <c r="AF522" s="14"/>
      <c r="AG522" s="14"/>
      <c r="AH522" s="24" t="s">
        <v>82</v>
      </c>
      <c r="AI522" s="14"/>
      <c r="AJ522" s="14"/>
      <c r="AK522" s="14"/>
      <c r="AL522" s="14"/>
      <c r="AM522" s="14"/>
      <c r="AN522" s="14"/>
      <c r="AO522" s="14"/>
      <c r="AP522" s="14"/>
      <c r="AQ522" s="14"/>
      <c r="AR522" s="14"/>
      <c r="AS522" s="14"/>
      <c r="AT522" s="14"/>
      <c r="AU522" s="14"/>
      <c r="AV522" s="14"/>
      <c r="AW522" s="14"/>
    </row>
    <row r="523" spans="1:49" ht="14">
      <c r="A523" s="133">
        <v>2016</v>
      </c>
      <c r="B523" s="29" t="s">
        <v>92</v>
      </c>
      <c r="C523" s="65" t="s">
        <v>412</v>
      </c>
      <c r="D523" s="29" t="s">
        <v>2575</v>
      </c>
      <c r="E523" s="29" t="e">
        <v>#N/A</v>
      </c>
      <c r="F523" s="29"/>
      <c r="G523" s="29">
        <f>COUNTIF(Stakeholders!$E$2:$E960,F523)</f>
        <v>0</v>
      </c>
      <c r="H523" s="29" t="s">
        <v>2601</v>
      </c>
      <c r="I523" s="151" t="s">
        <v>2602</v>
      </c>
      <c r="J523" s="29" t="s">
        <v>67</v>
      </c>
      <c r="K523" s="29"/>
      <c r="L523" s="29"/>
      <c r="M523" s="29"/>
      <c r="N523" s="29"/>
      <c r="O523" s="29"/>
      <c r="P523" s="29"/>
      <c r="Q523" s="29"/>
      <c r="R523" s="29"/>
      <c r="S523" s="29"/>
      <c r="T523" s="29"/>
      <c r="U523" s="29"/>
      <c r="V523" s="29"/>
      <c r="W523" s="29" t="s">
        <v>67</v>
      </c>
      <c r="X523" s="29"/>
      <c r="Y523" s="29"/>
      <c r="Z523" s="29"/>
      <c r="AA523" s="29"/>
      <c r="AB523" s="29" t="s">
        <v>1752</v>
      </c>
      <c r="AC523" s="136">
        <v>44175</v>
      </c>
      <c r="AD523" s="29" t="s">
        <v>787</v>
      </c>
      <c r="AE523" s="34" t="e">
        <f>VLOOKUP(F523,Stakeholders!E:K,7,0)</f>
        <v>#N/A</v>
      </c>
      <c r="AF523" s="29"/>
      <c r="AG523" s="29"/>
      <c r="AH523" s="34" t="s">
        <v>82</v>
      </c>
      <c r="AI523" s="29"/>
      <c r="AJ523" s="29"/>
      <c r="AK523" s="29"/>
      <c r="AL523" s="29"/>
      <c r="AM523" s="29"/>
      <c r="AN523" s="29"/>
      <c r="AO523" s="29"/>
      <c r="AP523" s="29"/>
      <c r="AQ523" s="29"/>
      <c r="AR523" s="29"/>
      <c r="AS523" s="29"/>
      <c r="AT523" s="29"/>
      <c r="AU523" s="29"/>
      <c r="AV523" s="29"/>
      <c r="AW523" s="29"/>
    </row>
    <row r="524" spans="1:49" ht="14">
      <c r="A524" s="132">
        <v>2016</v>
      </c>
      <c r="B524" s="29" t="s">
        <v>92</v>
      </c>
      <c r="C524" s="80" t="s">
        <v>412</v>
      </c>
      <c r="D524" s="14" t="s">
        <v>2603</v>
      </c>
      <c r="E524" s="14" t="e">
        <v>#N/A</v>
      </c>
      <c r="F524" s="14"/>
      <c r="G524" s="14">
        <f>COUNTIF(Stakeholders!$E$2:$E960,F524)</f>
        <v>0</v>
      </c>
      <c r="H524" s="14" t="s">
        <v>2604</v>
      </c>
      <c r="I524" s="152" t="s">
        <v>2605</v>
      </c>
      <c r="J524" s="14" t="s">
        <v>67</v>
      </c>
      <c r="K524" s="14"/>
      <c r="L524" s="14"/>
      <c r="M524" s="14"/>
      <c r="N524" s="14"/>
      <c r="O524" s="14"/>
      <c r="P524" s="14"/>
      <c r="Q524" s="14"/>
      <c r="R524" s="14"/>
      <c r="S524" s="14"/>
      <c r="T524" s="14"/>
      <c r="U524" s="14"/>
      <c r="V524" s="14"/>
      <c r="W524" s="14" t="s">
        <v>67</v>
      </c>
      <c r="X524" s="14"/>
      <c r="Y524" s="14"/>
      <c r="Z524" s="14"/>
      <c r="AA524" s="14"/>
      <c r="AB524" s="14" t="s">
        <v>1752</v>
      </c>
      <c r="AC524" s="135">
        <v>44176</v>
      </c>
      <c r="AD524" s="14" t="s">
        <v>788</v>
      </c>
      <c r="AE524" s="24" t="e">
        <f>VLOOKUP(F524,Stakeholders!E:K,7,0)</f>
        <v>#N/A</v>
      </c>
      <c r="AF524" s="14"/>
      <c r="AG524" s="14"/>
      <c r="AH524" s="24" t="s">
        <v>82</v>
      </c>
      <c r="AI524" s="14"/>
      <c r="AJ524" s="14"/>
      <c r="AK524" s="14"/>
      <c r="AL524" s="14"/>
      <c r="AM524" s="14"/>
      <c r="AN524" s="14"/>
      <c r="AO524" s="14"/>
      <c r="AP524" s="14"/>
      <c r="AQ524" s="14"/>
      <c r="AR524" s="14"/>
      <c r="AS524" s="14"/>
      <c r="AT524" s="14"/>
      <c r="AU524" s="14"/>
      <c r="AV524" s="14"/>
      <c r="AW524" s="14"/>
    </row>
    <row r="525" spans="1:49" ht="13">
      <c r="A525" s="133">
        <v>2017</v>
      </c>
      <c r="B525" s="29" t="s">
        <v>58</v>
      </c>
      <c r="C525" s="29" t="s">
        <v>2606</v>
      </c>
      <c r="D525" s="29" t="s">
        <v>2606</v>
      </c>
      <c r="E525" s="29" t="e">
        <v>#N/A</v>
      </c>
      <c r="F525" s="29"/>
      <c r="G525" s="29">
        <f>COUNTIF(Stakeholders!$E$2:$E960,F525)</f>
        <v>0</v>
      </c>
      <c r="H525" s="29" t="s">
        <v>2607</v>
      </c>
      <c r="I525" s="151" t="s">
        <v>2608</v>
      </c>
      <c r="J525" s="29" t="s">
        <v>67</v>
      </c>
      <c r="K525" s="29"/>
      <c r="L525" s="29"/>
      <c r="M525" s="29"/>
      <c r="N525" s="29"/>
      <c r="O525" s="29"/>
      <c r="P525" s="29"/>
      <c r="Q525" s="29"/>
      <c r="R525" s="29"/>
      <c r="S525" s="29"/>
      <c r="T525" s="29"/>
      <c r="U525" s="29"/>
      <c r="V525" s="29"/>
      <c r="W525" s="29" t="s">
        <v>67</v>
      </c>
      <c r="X525" s="29"/>
      <c r="Y525" s="29"/>
      <c r="Z525" s="29"/>
      <c r="AA525" s="29"/>
      <c r="AB525" s="29" t="s">
        <v>1752</v>
      </c>
      <c r="AC525" s="136">
        <v>44177</v>
      </c>
      <c r="AD525" s="29" t="s">
        <v>1434</v>
      </c>
      <c r="AE525" s="34" t="e">
        <f>VLOOKUP(F525,Stakeholders!E:K,7,0)</f>
        <v>#N/A</v>
      </c>
      <c r="AF525" s="29"/>
      <c r="AG525" s="29"/>
      <c r="AH525" s="34" t="s">
        <v>82</v>
      </c>
      <c r="AI525" s="29"/>
      <c r="AJ525" s="29"/>
      <c r="AK525" s="29"/>
      <c r="AL525" s="29"/>
      <c r="AM525" s="29"/>
      <c r="AN525" s="29"/>
      <c r="AO525" s="29"/>
      <c r="AP525" s="29"/>
      <c r="AQ525" s="29"/>
      <c r="AR525" s="29"/>
      <c r="AS525" s="29"/>
      <c r="AT525" s="29"/>
      <c r="AU525" s="29"/>
      <c r="AV525" s="29"/>
      <c r="AW525" s="29"/>
    </row>
    <row r="526" spans="1:49" ht="14">
      <c r="A526" s="132">
        <v>2017</v>
      </c>
      <c r="B526" s="29" t="s">
        <v>92</v>
      </c>
      <c r="C526" s="80" t="s">
        <v>412</v>
      </c>
      <c r="D526" s="14" t="s">
        <v>2575</v>
      </c>
      <c r="E526" s="14" t="e">
        <v>#N/A</v>
      </c>
      <c r="F526" s="14"/>
      <c r="G526" s="14">
        <f>COUNTIF(Stakeholders!$E$2:$E960,F526)</f>
        <v>0</v>
      </c>
      <c r="H526" s="14" t="s">
        <v>2609</v>
      </c>
      <c r="I526" s="152" t="s">
        <v>2610</v>
      </c>
      <c r="J526" s="14" t="s">
        <v>67</v>
      </c>
      <c r="K526" s="14"/>
      <c r="L526" s="14"/>
      <c r="M526" s="14"/>
      <c r="N526" s="14"/>
      <c r="O526" s="14"/>
      <c r="P526" s="14"/>
      <c r="Q526" s="14"/>
      <c r="R526" s="14"/>
      <c r="S526" s="14"/>
      <c r="T526" s="14"/>
      <c r="U526" s="14"/>
      <c r="V526" s="14"/>
      <c r="W526" s="14" t="s">
        <v>67</v>
      </c>
      <c r="X526" s="14"/>
      <c r="Y526" s="14"/>
      <c r="Z526" s="14"/>
      <c r="AA526" s="14"/>
      <c r="AB526" s="14" t="s">
        <v>1752</v>
      </c>
      <c r="AC526" s="135">
        <v>44178</v>
      </c>
      <c r="AD526" s="14" t="s">
        <v>1435</v>
      </c>
      <c r="AE526" s="24" t="e">
        <f>VLOOKUP(F526,Stakeholders!E:K,7,0)</f>
        <v>#N/A</v>
      </c>
      <c r="AF526" s="14"/>
      <c r="AG526" s="14"/>
      <c r="AH526" s="24" t="s">
        <v>82</v>
      </c>
      <c r="AI526" s="14"/>
      <c r="AJ526" s="14"/>
      <c r="AK526" s="14"/>
      <c r="AL526" s="14"/>
      <c r="AM526" s="14"/>
      <c r="AN526" s="14"/>
      <c r="AO526" s="14"/>
      <c r="AP526" s="14"/>
      <c r="AQ526" s="14"/>
      <c r="AR526" s="14"/>
      <c r="AS526" s="14"/>
      <c r="AT526" s="14"/>
      <c r="AU526" s="14"/>
      <c r="AV526" s="14"/>
      <c r="AW526" s="14"/>
    </row>
    <row r="527" spans="1:49" ht="14">
      <c r="A527" s="133">
        <v>2018</v>
      </c>
      <c r="B527" s="29" t="s">
        <v>92</v>
      </c>
      <c r="C527" s="65" t="s">
        <v>412</v>
      </c>
      <c r="D527" s="29" t="s">
        <v>2575</v>
      </c>
      <c r="E527" s="29" t="e">
        <v>#N/A</v>
      </c>
      <c r="F527" s="29"/>
      <c r="G527" s="29">
        <f>COUNTIF(Stakeholders!$E$2:$E960,F527)</f>
        <v>0</v>
      </c>
      <c r="H527" s="29" t="s">
        <v>2611</v>
      </c>
      <c r="I527" s="151" t="s">
        <v>2612</v>
      </c>
      <c r="J527" s="29" t="s">
        <v>67</v>
      </c>
      <c r="K527" s="29"/>
      <c r="L527" s="29"/>
      <c r="M527" s="29"/>
      <c r="N527" s="29"/>
      <c r="O527" s="29"/>
      <c r="P527" s="29"/>
      <c r="Q527" s="29"/>
      <c r="R527" s="29"/>
      <c r="S527" s="29"/>
      <c r="T527" s="29"/>
      <c r="U527" s="29"/>
      <c r="V527" s="29"/>
      <c r="W527" s="29" t="s">
        <v>67</v>
      </c>
      <c r="X527" s="29"/>
      <c r="Y527" s="29"/>
      <c r="Z527" s="29"/>
      <c r="AA527" s="29"/>
      <c r="AB527" s="29" t="s">
        <v>1752</v>
      </c>
      <c r="AC527" s="136">
        <v>44179</v>
      </c>
      <c r="AD527" s="29" t="s">
        <v>1436</v>
      </c>
      <c r="AE527" s="34" t="e">
        <f>VLOOKUP(F527,Stakeholders!E:K,7,0)</f>
        <v>#N/A</v>
      </c>
      <c r="AF527" s="29"/>
      <c r="AG527" s="29"/>
      <c r="AH527" s="34" t="s">
        <v>82</v>
      </c>
      <c r="AI527" s="29"/>
      <c r="AJ527" s="29"/>
      <c r="AK527" s="29"/>
      <c r="AL527" s="29"/>
      <c r="AM527" s="29"/>
      <c r="AN527" s="29"/>
      <c r="AO527" s="29"/>
      <c r="AP527" s="29"/>
      <c r="AQ527" s="29"/>
      <c r="AR527" s="29"/>
      <c r="AS527" s="29"/>
      <c r="AT527" s="29"/>
      <c r="AU527" s="29"/>
      <c r="AV527" s="29"/>
      <c r="AW527" s="29"/>
    </row>
    <row r="528" spans="1:49" ht="14">
      <c r="A528" s="132">
        <v>2018</v>
      </c>
      <c r="B528" s="29" t="s">
        <v>92</v>
      </c>
      <c r="C528" s="80" t="s">
        <v>412</v>
      </c>
      <c r="D528" s="14" t="s">
        <v>2575</v>
      </c>
      <c r="E528" s="14" t="e">
        <v>#N/A</v>
      </c>
      <c r="F528" s="14"/>
      <c r="G528" s="14">
        <f>COUNTIF(Stakeholders!$E$2:$E960,F528)</f>
        <v>0</v>
      </c>
      <c r="H528" s="14" t="s">
        <v>2613</v>
      </c>
      <c r="I528" s="152" t="s">
        <v>2614</v>
      </c>
      <c r="J528" s="14" t="s">
        <v>67</v>
      </c>
      <c r="K528" s="14"/>
      <c r="L528" s="14"/>
      <c r="M528" s="14"/>
      <c r="N528" s="14"/>
      <c r="O528" s="14"/>
      <c r="P528" s="14"/>
      <c r="Q528" s="14"/>
      <c r="R528" s="14"/>
      <c r="S528" s="14"/>
      <c r="T528" s="14"/>
      <c r="U528" s="14"/>
      <c r="V528" s="14"/>
      <c r="W528" s="14" t="s">
        <v>67</v>
      </c>
      <c r="X528" s="14"/>
      <c r="Y528" s="14"/>
      <c r="Z528" s="14"/>
      <c r="AA528" s="14"/>
      <c r="AB528" s="14" t="s">
        <v>1752</v>
      </c>
      <c r="AC528" s="135">
        <v>44180</v>
      </c>
      <c r="AD528" s="14" t="s">
        <v>789</v>
      </c>
      <c r="AE528" s="24" t="e">
        <f>VLOOKUP(F528,Stakeholders!E:K,7,0)</f>
        <v>#N/A</v>
      </c>
      <c r="AF528" s="14"/>
      <c r="AG528" s="14"/>
      <c r="AH528" s="24" t="s">
        <v>82</v>
      </c>
      <c r="AI528" s="14"/>
      <c r="AJ528" s="14"/>
      <c r="AK528" s="14"/>
      <c r="AL528" s="14"/>
      <c r="AM528" s="14"/>
      <c r="AN528" s="14"/>
      <c r="AO528" s="14"/>
      <c r="AP528" s="14"/>
      <c r="AQ528" s="14"/>
      <c r="AR528" s="14"/>
      <c r="AS528" s="14"/>
      <c r="AT528" s="14"/>
      <c r="AU528" s="14"/>
      <c r="AV528" s="14"/>
      <c r="AW528" s="14"/>
    </row>
    <row r="529" spans="1:49" ht="14">
      <c r="A529" s="133">
        <v>2018</v>
      </c>
      <c r="B529" s="29" t="s">
        <v>92</v>
      </c>
      <c r="C529" s="65" t="s">
        <v>412</v>
      </c>
      <c r="D529" s="29" t="s">
        <v>2575</v>
      </c>
      <c r="E529" s="29" t="e">
        <v>#N/A</v>
      </c>
      <c r="F529" s="29"/>
      <c r="G529" s="29">
        <f>COUNTIF(Stakeholders!$E$2:$E960,F529)</f>
        <v>0</v>
      </c>
      <c r="H529" s="29" t="s">
        <v>2615</v>
      </c>
      <c r="I529" s="151" t="s">
        <v>2616</v>
      </c>
      <c r="J529" s="29" t="s">
        <v>67</v>
      </c>
      <c r="K529" s="29"/>
      <c r="L529" s="29"/>
      <c r="M529" s="29"/>
      <c r="N529" s="29"/>
      <c r="O529" s="29"/>
      <c r="P529" s="29"/>
      <c r="Q529" s="29"/>
      <c r="R529" s="29"/>
      <c r="S529" s="29"/>
      <c r="T529" s="29"/>
      <c r="U529" s="29"/>
      <c r="V529" s="29"/>
      <c r="W529" s="29" t="s">
        <v>67</v>
      </c>
      <c r="X529" s="29"/>
      <c r="Y529" s="29"/>
      <c r="Z529" s="29"/>
      <c r="AA529" s="29"/>
      <c r="AB529" s="29" t="s">
        <v>1752</v>
      </c>
      <c r="AC529" s="136">
        <v>44181</v>
      </c>
      <c r="AD529" s="29" t="s">
        <v>1438</v>
      </c>
      <c r="AE529" s="34" t="e">
        <f>VLOOKUP(F529,Stakeholders!E:K,7,0)</f>
        <v>#N/A</v>
      </c>
      <c r="AF529" s="29"/>
      <c r="AG529" s="29"/>
      <c r="AH529" s="34" t="s">
        <v>82</v>
      </c>
      <c r="AI529" s="29"/>
      <c r="AJ529" s="29"/>
      <c r="AK529" s="29"/>
      <c r="AL529" s="29"/>
      <c r="AM529" s="29"/>
      <c r="AN529" s="29"/>
      <c r="AO529" s="29"/>
      <c r="AP529" s="29"/>
      <c r="AQ529" s="29"/>
      <c r="AR529" s="29"/>
      <c r="AS529" s="29"/>
      <c r="AT529" s="29"/>
      <c r="AU529" s="29"/>
      <c r="AV529" s="29"/>
      <c r="AW529" s="29"/>
    </row>
    <row r="530" spans="1:49" ht="13">
      <c r="A530" s="132">
        <v>2005</v>
      </c>
      <c r="B530" s="29" t="s">
        <v>92</v>
      </c>
      <c r="C530" s="14" t="s">
        <v>2617</v>
      </c>
      <c r="D530" s="14" t="s">
        <v>2617</v>
      </c>
      <c r="E530" s="14" t="e">
        <v>#N/A</v>
      </c>
      <c r="F530" s="14"/>
      <c r="G530" s="14">
        <f>COUNTIF(Stakeholders!$E$2:$E960,F530)</f>
        <v>0</v>
      </c>
      <c r="H530" s="14" t="s">
        <v>2618</v>
      </c>
      <c r="I530" s="152" t="s">
        <v>2619</v>
      </c>
      <c r="J530" s="14" t="s">
        <v>67</v>
      </c>
      <c r="K530" s="14"/>
      <c r="L530" s="14"/>
      <c r="M530" s="14"/>
      <c r="N530" s="14"/>
      <c r="O530" s="14"/>
      <c r="P530" s="14"/>
      <c r="Q530" s="14"/>
      <c r="R530" s="14"/>
      <c r="S530" s="14"/>
      <c r="T530" s="14"/>
      <c r="U530" s="14"/>
      <c r="V530" s="14"/>
      <c r="W530" s="14" t="s">
        <v>67</v>
      </c>
      <c r="X530" s="14"/>
      <c r="Y530" s="14"/>
      <c r="Z530" s="14"/>
      <c r="AA530" s="14"/>
      <c r="AB530" s="14" t="s">
        <v>1752</v>
      </c>
      <c r="AC530" s="135">
        <v>44182</v>
      </c>
      <c r="AD530" s="14" t="s">
        <v>1440</v>
      </c>
      <c r="AE530" s="24" t="e">
        <f>VLOOKUP(F530,Stakeholders!E:K,7,0)</f>
        <v>#N/A</v>
      </c>
      <c r="AF530" s="14"/>
      <c r="AG530" s="14"/>
      <c r="AH530" s="24" t="s">
        <v>82</v>
      </c>
      <c r="AI530" s="14"/>
      <c r="AJ530" s="14"/>
      <c r="AK530" s="14"/>
      <c r="AL530" s="14"/>
      <c r="AM530" s="14"/>
      <c r="AN530" s="14"/>
      <c r="AO530" s="14"/>
      <c r="AP530" s="14"/>
      <c r="AQ530" s="14"/>
      <c r="AR530" s="14"/>
      <c r="AS530" s="14"/>
      <c r="AT530" s="14"/>
      <c r="AU530" s="14"/>
      <c r="AV530" s="14"/>
      <c r="AW530" s="14"/>
    </row>
    <row r="531" spans="1:49" ht="13">
      <c r="A531" s="133">
        <v>2015</v>
      </c>
      <c r="B531" s="29" t="s">
        <v>92</v>
      </c>
      <c r="C531" s="29" t="s">
        <v>2620</v>
      </c>
      <c r="D531" s="29" t="s">
        <v>2621</v>
      </c>
      <c r="E531" s="29" t="e">
        <v>#N/A</v>
      </c>
      <c r="F531" s="29"/>
      <c r="G531" s="29">
        <f>COUNTIF(Stakeholders!$E$2:$E960,F531)</f>
        <v>0</v>
      </c>
      <c r="H531" s="29" t="s">
        <v>2622</v>
      </c>
      <c r="I531" s="151" t="s">
        <v>2623</v>
      </c>
      <c r="J531" s="29" t="s">
        <v>67</v>
      </c>
      <c r="K531" s="29"/>
      <c r="L531" s="29"/>
      <c r="M531" s="29"/>
      <c r="N531" s="29"/>
      <c r="O531" s="29"/>
      <c r="P531" s="29"/>
      <c r="Q531" s="29"/>
      <c r="R531" s="29"/>
      <c r="S531" s="29"/>
      <c r="T531" s="29"/>
      <c r="U531" s="29"/>
      <c r="V531" s="29"/>
      <c r="W531" s="29" t="s">
        <v>67</v>
      </c>
      <c r="X531" s="29"/>
      <c r="Y531" s="29"/>
      <c r="Z531" s="29"/>
      <c r="AA531" s="29"/>
      <c r="AB531" s="29" t="s">
        <v>1752</v>
      </c>
      <c r="AC531" s="136">
        <v>44183</v>
      </c>
      <c r="AD531" s="29" t="s">
        <v>1442</v>
      </c>
      <c r="AE531" s="34" t="e">
        <f>VLOOKUP(F531,Stakeholders!E:K,7,0)</f>
        <v>#N/A</v>
      </c>
      <c r="AF531" s="29"/>
      <c r="AG531" s="29"/>
      <c r="AH531" s="34" t="s">
        <v>82</v>
      </c>
      <c r="AI531" s="29"/>
      <c r="AJ531" s="29"/>
      <c r="AK531" s="29"/>
      <c r="AL531" s="29"/>
      <c r="AM531" s="29"/>
      <c r="AN531" s="29"/>
      <c r="AO531" s="29"/>
      <c r="AP531" s="29"/>
      <c r="AQ531" s="29"/>
      <c r="AR531" s="29"/>
      <c r="AS531" s="29"/>
      <c r="AT531" s="29"/>
      <c r="AU531" s="29"/>
      <c r="AV531" s="29"/>
      <c r="AW531" s="29"/>
    </row>
    <row r="532" spans="1:49" ht="13">
      <c r="A532" s="132">
        <v>2016</v>
      </c>
      <c r="B532" s="29" t="s">
        <v>92</v>
      </c>
      <c r="C532" s="14" t="s">
        <v>2620</v>
      </c>
      <c r="D532" s="14" t="s">
        <v>2621</v>
      </c>
      <c r="E532" s="14" t="e">
        <v>#N/A</v>
      </c>
      <c r="F532" s="14"/>
      <c r="G532" s="14">
        <f>COUNTIF(Stakeholders!$E$2:$E960,F532)</f>
        <v>0</v>
      </c>
      <c r="H532" s="14" t="s">
        <v>2624</v>
      </c>
      <c r="I532" s="152" t="s">
        <v>2625</v>
      </c>
      <c r="J532" s="14" t="s">
        <v>67</v>
      </c>
      <c r="K532" s="14"/>
      <c r="L532" s="14"/>
      <c r="M532" s="14"/>
      <c r="N532" s="14"/>
      <c r="O532" s="14"/>
      <c r="P532" s="14"/>
      <c r="Q532" s="14"/>
      <c r="R532" s="14"/>
      <c r="S532" s="14"/>
      <c r="T532" s="14"/>
      <c r="U532" s="14"/>
      <c r="V532" s="14"/>
      <c r="W532" s="14" t="s">
        <v>67</v>
      </c>
      <c r="X532" s="14"/>
      <c r="Y532" s="14"/>
      <c r="Z532" s="14"/>
      <c r="AA532" s="14"/>
      <c r="AB532" s="14" t="s">
        <v>1752</v>
      </c>
      <c r="AC532" s="135">
        <v>44184</v>
      </c>
      <c r="AD532" s="14" t="s">
        <v>819</v>
      </c>
      <c r="AE532" s="24" t="e">
        <f>VLOOKUP(F532,Stakeholders!E:K,7,0)</f>
        <v>#N/A</v>
      </c>
      <c r="AF532" s="14"/>
      <c r="AG532" s="14"/>
      <c r="AH532" s="24" t="s">
        <v>82</v>
      </c>
      <c r="AI532" s="14"/>
      <c r="AJ532" s="14"/>
      <c r="AK532" s="14"/>
      <c r="AL532" s="14"/>
      <c r="AM532" s="14"/>
      <c r="AN532" s="14"/>
      <c r="AO532" s="14"/>
      <c r="AP532" s="14"/>
      <c r="AQ532" s="14"/>
      <c r="AR532" s="14"/>
      <c r="AS532" s="14"/>
      <c r="AT532" s="14"/>
      <c r="AU532" s="14"/>
      <c r="AV532" s="14"/>
      <c r="AW532" s="14"/>
    </row>
    <row r="533" spans="1:49" ht="13">
      <c r="A533" s="133">
        <v>2017</v>
      </c>
      <c r="B533" s="29" t="s">
        <v>92</v>
      </c>
      <c r="C533" s="29" t="s">
        <v>2620</v>
      </c>
      <c r="D533" s="29" t="s">
        <v>2621</v>
      </c>
      <c r="E533" s="29" t="e">
        <v>#N/A</v>
      </c>
      <c r="F533" s="29"/>
      <c r="G533" s="29">
        <f>COUNTIF(Stakeholders!$E$2:$E960,F533)</f>
        <v>0</v>
      </c>
      <c r="H533" s="29" t="s">
        <v>2626</v>
      </c>
      <c r="I533" s="151" t="s">
        <v>2627</v>
      </c>
      <c r="J533" s="29" t="s">
        <v>67</v>
      </c>
      <c r="K533" s="29"/>
      <c r="L533" s="29"/>
      <c r="M533" s="29"/>
      <c r="N533" s="29"/>
      <c r="O533" s="29"/>
      <c r="P533" s="29"/>
      <c r="Q533" s="29"/>
      <c r="R533" s="29"/>
      <c r="S533" s="29"/>
      <c r="T533" s="29"/>
      <c r="U533" s="29"/>
      <c r="V533" s="29"/>
      <c r="W533" s="29" t="s">
        <v>67</v>
      </c>
      <c r="X533" s="29"/>
      <c r="Y533" s="29"/>
      <c r="Z533" s="29"/>
      <c r="AA533" s="29"/>
      <c r="AB533" s="29" t="s">
        <v>1752</v>
      </c>
      <c r="AC533" s="136">
        <v>44185</v>
      </c>
      <c r="AD533" s="29" t="s">
        <v>790</v>
      </c>
      <c r="AE533" s="34" t="e">
        <f>VLOOKUP(F533,Stakeholders!E:K,7,0)</f>
        <v>#N/A</v>
      </c>
      <c r="AF533" s="29"/>
      <c r="AG533" s="29"/>
      <c r="AH533" s="34" t="s">
        <v>82</v>
      </c>
      <c r="AI533" s="29"/>
      <c r="AJ533" s="29"/>
      <c r="AK533" s="29"/>
      <c r="AL533" s="29"/>
      <c r="AM533" s="29"/>
      <c r="AN533" s="29"/>
      <c r="AO533" s="29"/>
      <c r="AP533" s="29"/>
      <c r="AQ533" s="29"/>
      <c r="AR533" s="29"/>
      <c r="AS533" s="29"/>
      <c r="AT533" s="29"/>
      <c r="AU533" s="29"/>
      <c r="AV533" s="29"/>
      <c r="AW533" s="29"/>
    </row>
    <row r="534" spans="1:49" ht="13">
      <c r="A534" s="132">
        <v>2017</v>
      </c>
      <c r="B534" s="29" t="s">
        <v>92</v>
      </c>
      <c r="C534" s="14" t="s">
        <v>2620</v>
      </c>
      <c r="D534" s="14" t="s">
        <v>2621</v>
      </c>
      <c r="E534" s="14" t="e">
        <v>#N/A</v>
      </c>
      <c r="F534" s="14"/>
      <c r="G534" s="14">
        <f>COUNTIF(Stakeholders!$E$2:$E960,F534)</f>
        <v>0</v>
      </c>
      <c r="H534" s="14" t="s">
        <v>2628</v>
      </c>
      <c r="I534" s="152" t="s">
        <v>2629</v>
      </c>
      <c r="J534" s="14" t="s">
        <v>67</v>
      </c>
      <c r="K534" s="14"/>
      <c r="L534" s="14"/>
      <c r="M534" s="14"/>
      <c r="N534" s="14"/>
      <c r="O534" s="14"/>
      <c r="P534" s="14"/>
      <c r="Q534" s="14"/>
      <c r="R534" s="14"/>
      <c r="S534" s="14"/>
      <c r="T534" s="14"/>
      <c r="U534" s="14"/>
      <c r="V534" s="14"/>
      <c r="W534" s="14" t="s">
        <v>67</v>
      </c>
      <c r="X534" s="14"/>
      <c r="Y534" s="14"/>
      <c r="Z534" s="14"/>
      <c r="AA534" s="14"/>
      <c r="AB534" s="14" t="s">
        <v>1752</v>
      </c>
      <c r="AC534" s="135">
        <v>44186</v>
      </c>
      <c r="AD534" s="14" t="s">
        <v>1444</v>
      </c>
      <c r="AE534" s="24" t="e">
        <f>VLOOKUP(F534,Stakeholders!E:K,7,0)</f>
        <v>#N/A</v>
      </c>
      <c r="AF534" s="14"/>
      <c r="AG534" s="14"/>
      <c r="AH534" s="24" t="s">
        <v>82</v>
      </c>
      <c r="AI534" s="14"/>
      <c r="AJ534" s="14"/>
      <c r="AK534" s="14"/>
      <c r="AL534" s="14"/>
      <c r="AM534" s="14"/>
      <c r="AN534" s="14"/>
      <c r="AO534" s="14"/>
      <c r="AP534" s="14"/>
      <c r="AQ534" s="14"/>
      <c r="AR534" s="14"/>
      <c r="AS534" s="14"/>
      <c r="AT534" s="14"/>
      <c r="AU534" s="14"/>
      <c r="AV534" s="14"/>
      <c r="AW534" s="14"/>
    </row>
    <row r="535" spans="1:49" ht="13">
      <c r="A535" s="133">
        <v>2017</v>
      </c>
      <c r="B535" s="29" t="s">
        <v>92</v>
      </c>
      <c r="C535" s="29" t="s">
        <v>2620</v>
      </c>
      <c r="D535" s="29" t="s">
        <v>2621</v>
      </c>
      <c r="E535" s="29" t="e">
        <v>#N/A</v>
      </c>
      <c r="F535" s="29"/>
      <c r="G535" s="29">
        <f>COUNTIF(Stakeholders!$E$2:$E960,F535)</f>
        <v>0</v>
      </c>
      <c r="H535" s="29" t="s">
        <v>2630</v>
      </c>
      <c r="I535" s="151" t="s">
        <v>2631</v>
      </c>
      <c r="J535" s="29" t="s">
        <v>67</v>
      </c>
      <c r="K535" s="29"/>
      <c r="L535" s="29"/>
      <c r="M535" s="29"/>
      <c r="N535" s="29"/>
      <c r="O535" s="29"/>
      <c r="P535" s="29"/>
      <c r="Q535" s="29"/>
      <c r="R535" s="29"/>
      <c r="S535" s="29"/>
      <c r="T535" s="29"/>
      <c r="U535" s="29"/>
      <c r="V535" s="29"/>
      <c r="W535" s="29" t="s">
        <v>67</v>
      </c>
      <c r="X535" s="29"/>
      <c r="Y535" s="29"/>
      <c r="Z535" s="29"/>
      <c r="AA535" s="29"/>
      <c r="AB535" s="29" t="s">
        <v>1752</v>
      </c>
      <c r="AC535" s="136">
        <v>44187</v>
      </c>
      <c r="AD535" s="29" t="s">
        <v>1445</v>
      </c>
      <c r="AE535" s="34" t="e">
        <f>VLOOKUP(F535,Stakeholders!E:K,7,0)</f>
        <v>#N/A</v>
      </c>
      <c r="AF535" s="29"/>
      <c r="AG535" s="29"/>
      <c r="AH535" s="34" t="s">
        <v>82</v>
      </c>
      <c r="AI535" s="29"/>
      <c r="AJ535" s="29"/>
      <c r="AK535" s="29"/>
      <c r="AL535" s="29"/>
      <c r="AM535" s="29"/>
      <c r="AN535" s="29"/>
      <c r="AO535" s="29"/>
      <c r="AP535" s="29"/>
      <c r="AQ535" s="29"/>
      <c r="AR535" s="29"/>
      <c r="AS535" s="29"/>
      <c r="AT535" s="29"/>
      <c r="AU535" s="29"/>
      <c r="AV535" s="29"/>
      <c r="AW535" s="29"/>
    </row>
    <row r="536" spans="1:49" ht="13">
      <c r="A536" s="132">
        <v>2018</v>
      </c>
      <c r="B536" s="29" t="s">
        <v>92</v>
      </c>
      <c r="C536" s="14" t="s">
        <v>2620</v>
      </c>
      <c r="D536" s="14" t="s">
        <v>2621</v>
      </c>
      <c r="E536" s="14" t="e">
        <v>#N/A</v>
      </c>
      <c r="F536" s="14"/>
      <c r="G536" s="14">
        <f>COUNTIF(Stakeholders!$E$2:$E960,F536)</f>
        <v>0</v>
      </c>
      <c r="H536" s="14" t="s">
        <v>2632</v>
      </c>
      <c r="I536" s="152" t="s">
        <v>2633</v>
      </c>
      <c r="J536" s="14" t="s">
        <v>67</v>
      </c>
      <c r="K536" s="14"/>
      <c r="L536" s="14"/>
      <c r="M536" s="14"/>
      <c r="N536" s="14"/>
      <c r="O536" s="14"/>
      <c r="P536" s="14"/>
      <c r="Q536" s="14"/>
      <c r="R536" s="14"/>
      <c r="S536" s="14"/>
      <c r="T536" s="14"/>
      <c r="U536" s="14"/>
      <c r="V536" s="14"/>
      <c r="W536" s="14" t="s">
        <v>67</v>
      </c>
      <c r="X536" s="14"/>
      <c r="Y536" s="14"/>
      <c r="Z536" s="14"/>
      <c r="AA536" s="14"/>
      <c r="AB536" s="14" t="s">
        <v>1752</v>
      </c>
      <c r="AC536" s="135">
        <v>44188</v>
      </c>
      <c r="AD536" s="14" t="s">
        <v>1446</v>
      </c>
      <c r="AE536" s="24" t="e">
        <f>VLOOKUP(F536,Stakeholders!E:K,7,0)</f>
        <v>#N/A</v>
      </c>
      <c r="AF536" s="14"/>
      <c r="AG536" s="14"/>
      <c r="AH536" s="24" t="s">
        <v>82</v>
      </c>
      <c r="AI536" s="14"/>
      <c r="AJ536" s="14"/>
      <c r="AK536" s="14"/>
      <c r="AL536" s="14"/>
      <c r="AM536" s="14"/>
      <c r="AN536" s="14"/>
      <c r="AO536" s="14"/>
      <c r="AP536" s="14"/>
      <c r="AQ536" s="14"/>
      <c r="AR536" s="14"/>
      <c r="AS536" s="14"/>
      <c r="AT536" s="14"/>
      <c r="AU536" s="14"/>
      <c r="AV536" s="14"/>
      <c r="AW536" s="14"/>
    </row>
    <row r="537" spans="1:49" ht="13">
      <c r="A537" s="133">
        <v>2018</v>
      </c>
      <c r="B537" s="29" t="s">
        <v>92</v>
      </c>
      <c r="C537" s="29" t="s">
        <v>2620</v>
      </c>
      <c r="D537" s="29" t="s">
        <v>2621</v>
      </c>
      <c r="E537" s="29" t="e">
        <v>#N/A</v>
      </c>
      <c r="F537" s="29"/>
      <c r="G537" s="29">
        <f>COUNTIF(Stakeholders!$E$2:$E960,F537)</f>
        <v>0</v>
      </c>
      <c r="H537" s="29" t="s">
        <v>2634</v>
      </c>
      <c r="I537" s="151" t="s">
        <v>2635</v>
      </c>
      <c r="J537" s="29" t="s">
        <v>67</v>
      </c>
      <c r="K537" s="29"/>
      <c r="L537" s="29"/>
      <c r="M537" s="29"/>
      <c r="N537" s="29"/>
      <c r="O537" s="29"/>
      <c r="P537" s="29"/>
      <c r="Q537" s="29"/>
      <c r="R537" s="29"/>
      <c r="S537" s="29"/>
      <c r="T537" s="29"/>
      <c r="U537" s="29"/>
      <c r="V537" s="29"/>
      <c r="W537" s="29" t="s">
        <v>67</v>
      </c>
      <c r="X537" s="29"/>
      <c r="Y537" s="29"/>
      <c r="Z537" s="29"/>
      <c r="AA537" s="29"/>
      <c r="AB537" s="29" t="s">
        <v>1752</v>
      </c>
      <c r="AC537" s="136">
        <v>44189</v>
      </c>
      <c r="AD537" s="29" t="s">
        <v>990</v>
      </c>
      <c r="AE537" s="34" t="e">
        <f>VLOOKUP(F537,Stakeholders!E:K,7,0)</f>
        <v>#N/A</v>
      </c>
      <c r="AF537" s="29"/>
      <c r="AG537" s="29"/>
      <c r="AH537" s="34" t="s">
        <v>82</v>
      </c>
      <c r="AI537" s="29"/>
      <c r="AJ537" s="29"/>
      <c r="AK537" s="29"/>
      <c r="AL537" s="29"/>
      <c r="AM537" s="29"/>
      <c r="AN537" s="29"/>
      <c r="AO537" s="29"/>
      <c r="AP537" s="29"/>
      <c r="AQ537" s="29"/>
      <c r="AR537" s="29"/>
      <c r="AS537" s="29"/>
      <c r="AT537" s="29"/>
      <c r="AU537" s="29"/>
      <c r="AV537" s="29"/>
      <c r="AW537" s="29"/>
    </row>
    <row r="538" spans="1:49" ht="14">
      <c r="A538" s="132">
        <v>1999</v>
      </c>
      <c r="B538" s="140" t="s">
        <v>80</v>
      </c>
      <c r="C538" s="14" t="s">
        <v>2528</v>
      </c>
      <c r="D538" s="14" t="s">
        <v>2528</v>
      </c>
      <c r="E538" s="14" t="e">
        <v>#N/A</v>
      </c>
      <c r="F538" s="14"/>
      <c r="G538" s="14">
        <f>COUNTIF(Stakeholders!$E$2:$E960,F538)</f>
        <v>0</v>
      </c>
      <c r="H538" s="14" t="s">
        <v>2636</v>
      </c>
      <c r="I538" s="152" t="s">
        <v>2637</v>
      </c>
      <c r="J538" s="14" t="s">
        <v>67</v>
      </c>
      <c r="K538" s="14"/>
      <c r="L538" s="14"/>
      <c r="M538" s="14"/>
      <c r="N538" s="14"/>
      <c r="O538" s="14"/>
      <c r="P538" s="14"/>
      <c r="Q538" s="14"/>
      <c r="R538" s="14"/>
      <c r="S538" s="14"/>
      <c r="T538" s="14"/>
      <c r="U538" s="14"/>
      <c r="V538" s="14"/>
      <c r="W538" s="14" t="s">
        <v>67</v>
      </c>
      <c r="X538" s="14"/>
      <c r="Y538" s="14"/>
      <c r="Z538" s="14"/>
      <c r="AA538" s="14"/>
      <c r="AB538" s="14" t="s">
        <v>1752</v>
      </c>
      <c r="AC538" s="135">
        <v>44190</v>
      </c>
      <c r="AD538" s="14" t="s">
        <v>1448</v>
      </c>
      <c r="AE538" s="24" t="e">
        <f>VLOOKUP(F538,Stakeholders!E:K,7,0)</f>
        <v>#N/A</v>
      </c>
      <c r="AF538" s="14"/>
      <c r="AG538" s="14"/>
      <c r="AH538" s="24" t="s">
        <v>82</v>
      </c>
      <c r="AI538" s="14"/>
      <c r="AJ538" s="14"/>
      <c r="AK538" s="14"/>
      <c r="AL538" s="14"/>
      <c r="AM538" s="14"/>
      <c r="AN538" s="14"/>
      <c r="AO538" s="14"/>
      <c r="AP538" s="14"/>
      <c r="AQ538" s="14"/>
      <c r="AR538" s="14"/>
      <c r="AS538" s="14"/>
      <c r="AT538" s="14"/>
      <c r="AU538" s="14"/>
      <c r="AV538" s="14"/>
      <c r="AW538" s="14"/>
    </row>
    <row r="539" spans="1:49" ht="13">
      <c r="A539" s="133">
        <v>2000</v>
      </c>
      <c r="B539" s="29" t="s">
        <v>56</v>
      </c>
      <c r="C539" s="29" t="s">
        <v>2376</v>
      </c>
      <c r="D539" s="29" t="s">
        <v>2638</v>
      </c>
      <c r="E539" s="29" t="e">
        <v>#N/A</v>
      </c>
      <c r="F539" s="29"/>
      <c r="G539" s="29">
        <f>COUNTIF(Stakeholders!$E$2:$E960,F539)</f>
        <v>0</v>
      </c>
      <c r="H539" s="29" t="s">
        <v>2639</v>
      </c>
      <c r="I539" s="151" t="s">
        <v>2640</v>
      </c>
      <c r="J539" s="29" t="s">
        <v>67</v>
      </c>
      <c r="K539" s="29"/>
      <c r="L539" s="29"/>
      <c r="M539" s="29"/>
      <c r="N539" s="29"/>
      <c r="O539" s="29"/>
      <c r="P539" s="29"/>
      <c r="Q539" s="29"/>
      <c r="R539" s="29"/>
      <c r="S539" s="29"/>
      <c r="T539" s="29"/>
      <c r="U539" s="29"/>
      <c r="V539" s="29"/>
      <c r="W539" s="29" t="s">
        <v>67</v>
      </c>
      <c r="X539" s="29"/>
      <c r="Y539" s="29"/>
      <c r="Z539" s="29"/>
      <c r="AA539" s="29"/>
      <c r="AB539" s="29" t="s">
        <v>1752</v>
      </c>
      <c r="AC539" s="136">
        <v>44191</v>
      </c>
      <c r="AD539" s="29" t="s">
        <v>1449</v>
      </c>
      <c r="AE539" s="34" t="e">
        <f>VLOOKUP(F539,Stakeholders!E:K,7,0)</f>
        <v>#N/A</v>
      </c>
      <c r="AF539" s="29"/>
      <c r="AG539" s="29"/>
      <c r="AH539" s="34" t="s">
        <v>82</v>
      </c>
      <c r="AI539" s="29"/>
      <c r="AJ539" s="29"/>
      <c r="AK539" s="29"/>
      <c r="AL539" s="29"/>
      <c r="AM539" s="29"/>
      <c r="AN539" s="29"/>
      <c r="AO539" s="29"/>
      <c r="AP539" s="29"/>
      <c r="AQ539" s="29"/>
      <c r="AR539" s="29"/>
      <c r="AS539" s="29"/>
      <c r="AT539" s="29"/>
      <c r="AU539" s="29"/>
      <c r="AV539" s="29"/>
      <c r="AW539" s="29"/>
    </row>
    <row r="540" spans="1:49" ht="13">
      <c r="A540" s="132">
        <v>2008</v>
      </c>
      <c r="B540" s="14" t="s">
        <v>58</v>
      </c>
      <c r="C540" s="14" t="s">
        <v>2376</v>
      </c>
      <c r="D540" s="14" t="s">
        <v>2384</v>
      </c>
      <c r="E540" s="14" t="e">
        <v>#N/A</v>
      </c>
      <c r="F540" s="14"/>
      <c r="G540" s="14">
        <f>COUNTIF(Stakeholders!$E$2:$E960,F540)</f>
        <v>0</v>
      </c>
      <c r="H540" s="14" t="s">
        <v>2641</v>
      </c>
      <c r="I540" s="152" t="s">
        <v>2642</v>
      </c>
      <c r="J540" s="14" t="s">
        <v>67</v>
      </c>
      <c r="K540" s="14"/>
      <c r="L540" s="14"/>
      <c r="M540" s="14"/>
      <c r="N540" s="14"/>
      <c r="O540" s="14"/>
      <c r="P540" s="14"/>
      <c r="Q540" s="14"/>
      <c r="R540" s="14"/>
      <c r="S540" s="14"/>
      <c r="T540" s="14"/>
      <c r="U540" s="14"/>
      <c r="V540" s="14"/>
      <c r="W540" s="14" t="s">
        <v>67</v>
      </c>
      <c r="X540" s="14"/>
      <c r="Y540" s="14"/>
      <c r="Z540" s="14"/>
      <c r="AA540" s="14"/>
      <c r="AB540" s="14" t="s">
        <v>1752</v>
      </c>
      <c r="AC540" s="135">
        <v>44192</v>
      </c>
      <c r="AD540" s="14" t="s">
        <v>1451</v>
      </c>
      <c r="AE540" s="24" t="e">
        <f>VLOOKUP(F540,Stakeholders!E:K,7,0)</f>
        <v>#N/A</v>
      </c>
      <c r="AF540" s="14"/>
      <c r="AG540" s="14"/>
      <c r="AH540" s="24" t="s">
        <v>82</v>
      </c>
      <c r="AI540" s="14"/>
      <c r="AJ540" s="14"/>
      <c r="AK540" s="14"/>
      <c r="AL540" s="14"/>
      <c r="AM540" s="14"/>
      <c r="AN540" s="14"/>
      <c r="AO540" s="14"/>
      <c r="AP540" s="14"/>
      <c r="AQ540" s="14"/>
      <c r="AR540" s="14"/>
      <c r="AS540" s="14"/>
      <c r="AT540" s="14"/>
      <c r="AU540" s="14"/>
      <c r="AV540" s="14"/>
      <c r="AW540" s="14"/>
    </row>
    <row r="541" spans="1:49" ht="13">
      <c r="A541" s="133">
        <v>2010</v>
      </c>
      <c r="B541" s="29" t="s">
        <v>58</v>
      </c>
      <c r="C541" s="29" t="s">
        <v>2643</v>
      </c>
      <c r="D541" s="29" t="s">
        <v>2539</v>
      </c>
      <c r="E541" s="29" t="e">
        <v>#N/A</v>
      </c>
      <c r="F541" s="29"/>
      <c r="G541" s="29">
        <f>COUNTIF(Stakeholders!$E$2:$E960,F541)</f>
        <v>0</v>
      </c>
      <c r="H541" s="29" t="s">
        <v>2644</v>
      </c>
      <c r="I541" s="151" t="s">
        <v>2645</v>
      </c>
      <c r="J541" s="29" t="s">
        <v>67</v>
      </c>
      <c r="K541" s="29"/>
      <c r="L541" s="29"/>
      <c r="M541" s="29"/>
      <c r="N541" s="29"/>
      <c r="O541" s="29"/>
      <c r="P541" s="29"/>
      <c r="Q541" s="29"/>
      <c r="R541" s="29"/>
      <c r="S541" s="29"/>
      <c r="T541" s="29"/>
      <c r="U541" s="29"/>
      <c r="V541" s="29"/>
      <c r="W541" s="29" t="s">
        <v>67</v>
      </c>
      <c r="X541" s="29"/>
      <c r="Y541" s="29"/>
      <c r="Z541" s="29"/>
      <c r="AA541" s="29"/>
      <c r="AB541" s="29" t="s">
        <v>1752</v>
      </c>
      <c r="AC541" s="136">
        <v>44193</v>
      </c>
      <c r="AD541" s="29" t="s">
        <v>1452</v>
      </c>
      <c r="AE541" s="34" t="e">
        <f>VLOOKUP(F541,Stakeholders!E:K,7,0)</f>
        <v>#N/A</v>
      </c>
      <c r="AF541" s="29"/>
      <c r="AG541" s="29"/>
      <c r="AH541" s="34" t="s">
        <v>82</v>
      </c>
      <c r="AI541" s="29"/>
      <c r="AJ541" s="29"/>
      <c r="AK541" s="29"/>
      <c r="AL541" s="29"/>
      <c r="AM541" s="29"/>
      <c r="AN541" s="29"/>
      <c r="AO541" s="29"/>
      <c r="AP541" s="29"/>
      <c r="AQ541" s="29"/>
      <c r="AR541" s="29"/>
      <c r="AS541" s="29"/>
      <c r="AT541" s="29"/>
      <c r="AU541" s="29"/>
      <c r="AV541" s="29"/>
      <c r="AW541" s="29"/>
    </row>
    <row r="542" spans="1:49" ht="13">
      <c r="A542" s="132">
        <v>2011</v>
      </c>
      <c r="B542" s="14" t="s">
        <v>58</v>
      </c>
      <c r="C542" s="14" t="s">
        <v>1805</v>
      </c>
      <c r="D542" s="14" t="s">
        <v>2265</v>
      </c>
      <c r="E542" s="14" t="e">
        <v>#N/A</v>
      </c>
      <c r="F542" s="14"/>
      <c r="G542" s="14">
        <f>COUNTIF(Stakeholders!$E$2:$E960,F542)</f>
        <v>0</v>
      </c>
      <c r="H542" s="14" t="s">
        <v>2646</v>
      </c>
      <c r="I542" s="152" t="s">
        <v>2647</v>
      </c>
      <c r="J542" s="14" t="s">
        <v>67</v>
      </c>
      <c r="K542" s="14"/>
      <c r="L542" s="14"/>
      <c r="M542" s="14"/>
      <c r="N542" s="14"/>
      <c r="O542" s="14"/>
      <c r="P542" s="14"/>
      <c r="Q542" s="14"/>
      <c r="R542" s="14"/>
      <c r="S542" s="14"/>
      <c r="T542" s="14"/>
      <c r="U542" s="14"/>
      <c r="V542" s="14"/>
      <c r="W542" s="14" t="s">
        <v>67</v>
      </c>
      <c r="X542" s="14"/>
      <c r="Y542" s="14"/>
      <c r="Z542" s="14"/>
      <c r="AA542" s="14"/>
      <c r="AB542" s="14" t="s">
        <v>1752</v>
      </c>
      <c r="AC542" s="135">
        <v>44194</v>
      </c>
      <c r="AD542" s="14" t="s">
        <v>991</v>
      </c>
      <c r="AE542" s="24" t="e">
        <f>VLOOKUP(F542,Stakeholders!E:K,7,0)</f>
        <v>#N/A</v>
      </c>
      <c r="AF542" s="14"/>
      <c r="AG542" s="14"/>
      <c r="AH542" s="24" t="s">
        <v>82</v>
      </c>
      <c r="AI542" s="14"/>
      <c r="AJ542" s="14"/>
      <c r="AK542" s="14"/>
      <c r="AL542" s="14"/>
      <c r="AM542" s="14"/>
      <c r="AN542" s="14"/>
      <c r="AO542" s="14"/>
      <c r="AP542" s="14"/>
      <c r="AQ542" s="14"/>
      <c r="AR542" s="14"/>
      <c r="AS542" s="14"/>
      <c r="AT542" s="14"/>
      <c r="AU542" s="14"/>
      <c r="AV542" s="14"/>
      <c r="AW542" s="14"/>
    </row>
    <row r="543" spans="1:49" ht="13">
      <c r="A543" s="133">
        <v>2013</v>
      </c>
      <c r="B543" s="29" t="s">
        <v>58</v>
      </c>
      <c r="C543" s="29" t="s">
        <v>2648</v>
      </c>
      <c r="D543" s="29" t="s">
        <v>2384</v>
      </c>
      <c r="E543" s="29" t="e">
        <v>#N/A</v>
      </c>
      <c r="F543" s="29"/>
      <c r="G543" s="29">
        <f>COUNTIF(Stakeholders!$E$2:$E960,F543)</f>
        <v>0</v>
      </c>
      <c r="H543" s="29" t="s">
        <v>2649</v>
      </c>
      <c r="I543" s="151" t="s">
        <v>2650</v>
      </c>
      <c r="J543" s="29" t="s">
        <v>67</v>
      </c>
      <c r="K543" s="29"/>
      <c r="L543" s="29"/>
      <c r="M543" s="29"/>
      <c r="N543" s="29"/>
      <c r="O543" s="29"/>
      <c r="P543" s="29"/>
      <c r="Q543" s="29"/>
      <c r="R543" s="29"/>
      <c r="S543" s="29"/>
      <c r="T543" s="29"/>
      <c r="U543" s="29"/>
      <c r="V543" s="29"/>
      <c r="W543" s="29" t="s">
        <v>67</v>
      </c>
      <c r="X543" s="29"/>
      <c r="Y543" s="29"/>
      <c r="Z543" s="29"/>
      <c r="AA543" s="29"/>
      <c r="AB543" s="29" t="s">
        <v>1752</v>
      </c>
      <c r="AC543" s="136">
        <v>44195</v>
      </c>
      <c r="AD543" s="29" t="s">
        <v>1453</v>
      </c>
      <c r="AE543" s="34" t="e">
        <f>VLOOKUP(F543,Stakeholders!E:K,7,0)</f>
        <v>#N/A</v>
      </c>
      <c r="AF543" s="29"/>
      <c r="AG543" s="29"/>
      <c r="AH543" s="34" t="s">
        <v>82</v>
      </c>
      <c r="AI543" s="29"/>
      <c r="AJ543" s="29"/>
      <c r="AK543" s="29"/>
      <c r="AL543" s="29"/>
      <c r="AM543" s="29"/>
      <c r="AN543" s="29"/>
      <c r="AO543" s="29"/>
      <c r="AP543" s="29"/>
      <c r="AQ543" s="29"/>
      <c r="AR543" s="29"/>
      <c r="AS543" s="29"/>
      <c r="AT543" s="29"/>
      <c r="AU543" s="29"/>
      <c r="AV543" s="29"/>
      <c r="AW543" s="29"/>
    </row>
    <row r="544" spans="1:49" ht="14">
      <c r="A544" s="132">
        <v>2015</v>
      </c>
      <c r="B544" s="140" t="s">
        <v>80</v>
      </c>
      <c r="C544" s="14" t="s">
        <v>2528</v>
      </c>
      <c r="D544" s="14" t="s">
        <v>2528</v>
      </c>
      <c r="E544" s="14" t="e">
        <v>#N/A</v>
      </c>
      <c r="F544" s="14"/>
      <c r="G544" s="14">
        <f>COUNTIF(Stakeholders!$E$2:$E960,F544)</f>
        <v>0</v>
      </c>
      <c r="H544" s="14" t="s">
        <v>2651</v>
      </c>
      <c r="I544" s="152" t="s">
        <v>2652</v>
      </c>
      <c r="J544" s="14" t="s">
        <v>67</v>
      </c>
      <c r="K544" s="14"/>
      <c r="L544" s="14"/>
      <c r="M544" s="14"/>
      <c r="N544" s="14"/>
      <c r="O544" s="14"/>
      <c r="P544" s="14"/>
      <c r="Q544" s="14"/>
      <c r="R544" s="14"/>
      <c r="S544" s="14"/>
      <c r="T544" s="14"/>
      <c r="U544" s="14"/>
      <c r="V544" s="14"/>
      <c r="W544" s="14" t="s">
        <v>67</v>
      </c>
      <c r="X544" s="14"/>
      <c r="Y544" s="14"/>
      <c r="Z544" s="14"/>
      <c r="AA544" s="14"/>
      <c r="AB544" s="14" t="s">
        <v>1752</v>
      </c>
      <c r="AC544" s="135">
        <v>44196</v>
      </c>
      <c r="AD544" s="14" t="s">
        <v>1454</v>
      </c>
      <c r="AE544" s="24" t="e">
        <f>VLOOKUP(F544,Stakeholders!E:K,7,0)</f>
        <v>#N/A</v>
      </c>
      <c r="AF544" s="14"/>
      <c r="AG544" s="14"/>
      <c r="AH544" s="24" t="s">
        <v>82</v>
      </c>
      <c r="AI544" s="14"/>
      <c r="AJ544" s="14"/>
      <c r="AK544" s="14"/>
      <c r="AL544" s="14"/>
      <c r="AM544" s="14"/>
      <c r="AN544" s="14"/>
      <c r="AO544" s="14"/>
      <c r="AP544" s="14"/>
      <c r="AQ544" s="14"/>
      <c r="AR544" s="14"/>
      <c r="AS544" s="14"/>
      <c r="AT544" s="14"/>
      <c r="AU544" s="14"/>
      <c r="AV544" s="14"/>
      <c r="AW544" s="14"/>
    </row>
    <row r="545" spans="1:49" ht="14">
      <c r="A545" s="133">
        <v>2016</v>
      </c>
      <c r="B545" s="143" t="s">
        <v>80</v>
      </c>
      <c r="C545" s="29" t="s">
        <v>2528</v>
      </c>
      <c r="D545" s="29" t="s">
        <v>2528</v>
      </c>
      <c r="E545" s="29" t="e">
        <v>#N/A</v>
      </c>
      <c r="F545" s="29"/>
      <c r="G545" s="29">
        <f>COUNTIF(Stakeholders!$E$2:$E960,F545)</f>
        <v>0</v>
      </c>
      <c r="H545" s="29" t="s">
        <v>2653</v>
      </c>
      <c r="I545" s="151" t="s">
        <v>2654</v>
      </c>
      <c r="J545" s="29" t="s">
        <v>67</v>
      </c>
      <c r="K545" s="29"/>
      <c r="L545" s="29"/>
      <c r="M545" s="29"/>
      <c r="N545" s="29"/>
      <c r="O545" s="29"/>
      <c r="P545" s="29"/>
      <c r="Q545" s="29"/>
      <c r="R545" s="29"/>
      <c r="S545" s="29"/>
      <c r="T545" s="29"/>
      <c r="U545" s="29"/>
      <c r="V545" s="29"/>
      <c r="W545" s="29" t="s">
        <v>67</v>
      </c>
      <c r="X545" s="29"/>
      <c r="Y545" s="29"/>
      <c r="Z545" s="29"/>
      <c r="AA545" s="29"/>
      <c r="AB545" s="29" t="s">
        <v>1752</v>
      </c>
      <c r="AC545" s="136">
        <v>44197</v>
      </c>
      <c r="AD545" s="29" t="s">
        <v>1456</v>
      </c>
      <c r="AE545" s="34" t="e">
        <f>VLOOKUP(F545,Stakeholders!E:K,7,0)</f>
        <v>#N/A</v>
      </c>
      <c r="AF545" s="29"/>
      <c r="AG545" s="29"/>
      <c r="AH545" s="34" t="s">
        <v>82</v>
      </c>
      <c r="AI545" s="29"/>
      <c r="AJ545" s="29"/>
      <c r="AK545" s="29"/>
      <c r="AL545" s="29"/>
      <c r="AM545" s="29"/>
      <c r="AN545" s="29"/>
      <c r="AO545" s="29"/>
      <c r="AP545" s="29"/>
      <c r="AQ545" s="29"/>
      <c r="AR545" s="29"/>
      <c r="AS545" s="29"/>
      <c r="AT545" s="29"/>
      <c r="AU545" s="29"/>
      <c r="AV545" s="29"/>
      <c r="AW545" s="29"/>
    </row>
    <row r="546" spans="1:49" ht="13">
      <c r="A546" s="132">
        <v>2018</v>
      </c>
      <c r="B546" s="14" t="s">
        <v>58</v>
      </c>
      <c r="C546" s="14" t="s">
        <v>224</v>
      </c>
      <c r="D546" s="14" t="s">
        <v>2384</v>
      </c>
      <c r="E546" s="14" t="e">
        <v>#N/A</v>
      </c>
      <c r="F546" s="14"/>
      <c r="G546" s="14">
        <f>COUNTIF(Stakeholders!$E$2:$E960,F546)</f>
        <v>0</v>
      </c>
      <c r="H546" s="14" t="s">
        <v>2655</v>
      </c>
      <c r="I546" s="152" t="s">
        <v>2656</v>
      </c>
      <c r="J546" s="14" t="s">
        <v>67</v>
      </c>
      <c r="K546" s="14"/>
      <c r="L546" s="14"/>
      <c r="M546" s="14"/>
      <c r="N546" s="14"/>
      <c r="O546" s="14"/>
      <c r="P546" s="14"/>
      <c r="Q546" s="14"/>
      <c r="R546" s="14"/>
      <c r="S546" s="14"/>
      <c r="T546" s="14"/>
      <c r="U546" s="14"/>
      <c r="V546" s="14"/>
      <c r="W546" s="14" t="s">
        <v>67</v>
      </c>
      <c r="X546" s="14"/>
      <c r="Y546" s="14"/>
      <c r="Z546" s="14"/>
      <c r="AA546" s="14"/>
      <c r="AB546" s="14" t="s">
        <v>1752</v>
      </c>
      <c r="AC546" s="135">
        <v>44198</v>
      </c>
      <c r="AD546" s="14" t="s">
        <v>791</v>
      </c>
      <c r="AE546" s="24" t="e">
        <f>VLOOKUP(F546,Stakeholders!E:K,7,0)</f>
        <v>#N/A</v>
      </c>
      <c r="AF546" s="14"/>
      <c r="AG546" s="14"/>
      <c r="AH546" s="24" t="s">
        <v>82</v>
      </c>
      <c r="AI546" s="14"/>
      <c r="AJ546" s="14"/>
      <c r="AK546" s="14"/>
      <c r="AL546" s="14"/>
      <c r="AM546" s="14"/>
      <c r="AN546" s="14"/>
      <c r="AO546" s="14"/>
      <c r="AP546" s="14"/>
      <c r="AQ546" s="14"/>
      <c r="AR546" s="14"/>
      <c r="AS546" s="14"/>
      <c r="AT546" s="14"/>
      <c r="AU546" s="14"/>
      <c r="AV546" s="14"/>
      <c r="AW546" s="14"/>
    </row>
    <row r="547" spans="1:49" ht="13">
      <c r="A547" s="133">
        <v>2018</v>
      </c>
      <c r="B547" s="29" t="s">
        <v>58</v>
      </c>
      <c r="C547" s="29" t="s">
        <v>73</v>
      </c>
      <c r="D547" s="29" t="s">
        <v>2657</v>
      </c>
      <c r="E547" s="29" t="e">
        <v>#N/A</v>
      </c>
      <c r="F547" s="29"/>
      <c r="G547" s="29">
        <f>COUNTIF(Stakeholders!$E$2:$E960,F547)</f>
        <v>0</v>
      </c>
      <c r="H547" s="29" t="s">
        <v>2658</v>
      </c>
      <c r="I547" s="151" t="s">
        <v>2659</v>
      </c>
      <c r="J547" s="29" t="s">
        <v>67</v>
      </c>
      <c r="K547" s="29"/>
      <c r="L547" s="29"/>
      <c r="M547" s="29"/>
      <c r="N547" s="29"/>
      <c r="O547" s="29"/>
      <c r="P547" s="29"/>
      <c r="Q547" s="29"/>
      <c r="R547" s="29"/>
      <c r="S547" s="29"/>
      <c r="T547" s="29"/>
      <c r="U547" s="29"/>
      <c r="V547" s="29"/>
      <c r="W547" s="29" t="s">
        <v>67</v>
      </c>
      <c r="X547" s="29"/>
      <c r="Y547" s="29"/>
      <c r="Z547" s="29"/>
      <c r="AA547" s="29"/>
      <c r="AB547" s="29" t="s">
        <v>1752</v>
      </c>
      <c r="AC547" s="136">
        <v>44199</v>
      </c>
      <c r="AD547" s="29" t="s">
        <v>1457</v>
      </c>
      <c r="AE547" s="34" t="e">
        <f>VLOOKUP(F547,Stakeholders!E:K,7,0)</f>
        <v>#N/A</v>
      </c>
      <c r="AF547" s="29"/>
      <c r="AG547" s="29"/>
      <c r="AH547" s="34" t="s">
        <v>82</v>
      </c>
      <c r="AI547" s="29"/>
      <c r="AJ547" s="29"/>
      <c r="AK547" s="29"/>
      <c r="AL547" s="29"/>
      <c r="AM547" s="29"/>
      <c r="AN547" s="29"/>
      <c r="AO547" s="29"/>
      <c r="AP547" s="29"/>
      <c r="AQ547" s="29"/>
      <c r="AR547" s="29"/>
      <c r="AS547" s="29"/>
      <c r="AT547" s="29"/>
      <c r="AU547" s="29"/>
      <c r="AV547" s="29"/>
      <c r="AW547" s="29"/>
    </row>
    <row r="548" spans="1:49" ht="13">
      <c r="A548" s="132">
        <v>2018</v>
      </c>
      <c r="B548" s="14" t="s">
        <v>58</v>
      </c>
      <c r="C548" s="14" t="s">
        <v>349</v>
      </c>
      <c r="D548" s="14" t="s">
        <v>2395</v>
      </c>
      <c r="E548" s="14" t="e">
        <v>#N/A</v>
      </c>
      <c r="F548" s="14"/>
      <c r="G548" s="14">
        <f>COUNTIF(Stakeholders!$E$2:$E960,F548)</f>
        <v>0</v>
      </c>
      <c r="H548" s="14" t="s">
        <v>2660</v>
      </c>
      <c r="I548" s="152" t="s">
        <v>2661</v>
      </c>
      <c r="J548" s="14" t="s">
        <v>67</v>
      </c>
      <c r="K548" s="14"/>
      <c r="L548" s="14"/>
      <c r="M548" s="14"/>
      <c r="N548" s="14"/>
      <c r="O548" s="14"/>
      <c r="P548" s="14"/>
      <c r="Q548" s="14"/>
      <c r="R548" s="14"/>
      <c r="S548" s="14"/>
      <c r="T548" s="14"/>
      <c r="U548" s="14"/>
      <c r="V548" s="14"/>
      <c r="W548" s="14" t="s">
        <v>67</v>
      </c>
      <c r="X548" s="14"/>
      <c r="Y548" s="14"/>
      <c r="Z548" s="14"/>
      <c r="AA548" s="14"/>
      <c r="AB548" s="14" t="s">
        <v>1752</v>
      </c>
      <c r="AC548" s="135">
        <v>44200</v>
      </c>
      <c r="AD548" s="14" t="s">
        <v>1459</v>
      </c>
      <c r="AE548" s="24" t="e">
        <f>VLOOKUP(F548,Stakeholders!E:K,7,0)</f>
        <v>#N/A</v>
      </c>
      <c r="AF548" s="14"/>
      <c r="AG548" s="14"/>
      <c r="AH548" s="24" t="s">
        <v>82</v>
      </c>
      <c r="AI548" s="14"/>
      <c r="AJ548" s="14"/>
      <c r="AK548" s="14"/>
      <c r="AL548" s="14"/>
      <c r="AM548" s="14"/>
      <c r="AN548" s="14"/>
      <c r="AO548" s="14"/>
      <c r="AP548" s="14"/>
      <c r="AQ548" s="14"/>
      <c r="AR548" s="14"/>
      <c r="AS548" s="14"/>
      <c r="AT548" s="14"/>
      <c r="AU548" s="14"/>
      <c r="AV548" s="14"/>
      <c r="AW548" s="14"/>
    </row>
    <row r="549" spans="1:49" ht="13">
      <c r="A549" s="133">
        <v>2018</v>
      </c>
      <c r="B549" s="29" t="s">
        <v>58</v>
      </c>
      <c r="C549" s="29" t="s">
        <v>2662</v>
      </c>
      <c r="D549" s="29" t="s">
        <v>2550</v>
      </c>
      <c r="E549" s="29" t="e">
        <v>#N/A</v>
      </c>
      <c r="F549" s="29"/>
      <c r="G549" s="29">
        <f>COUNTIF(Stakeholders!$E$2:$E960,F549)</f>
        <v>0</v>
      </c>
      <c r="H549" s="29" t="s">
        <v>2663</v>
      </c>
      <c r="I549" s="151" t="s">
        <v>2664</v>
      </c>
      <c r="J549" s="29" t="s">
        <v>67</v>
      </c>
      <c r="K549" s="29"/>
      <c r="L549" s="29"/>
      <c r="M549" s="29"/>
      <c r="N549" s="29"/>
      <c r="O549" s="29"/>
      <c r="P549" s="29"/>
      <c r="Q549" s="29"/>
      <c r="R549" s="29"/>
      <c r="S549" s="29"/>
      <c r="T549" s="29"/>
      <c r="U549" s="29"/>
      <c r="V549" s="29"/>
      <c r="W549" s="29" t="s">
        <v>67</v>
      </c>
      <c r="X549" s="29"/>
      <c r="Y549" s="29"/>
      <c r="Z549" s="29"/>
      <c r="AA549" s="29"/>
      <c r="AB549" s="29" t="s">
        <v>1752</v>
      </c>
      <c r="AC549" s="136">
        <v>44201</v>
      </c>
      <c r="AD549" s="29" t="s">
        <v>1460</v>
      </c>
      <c r="AE549" s="34" t="e">
        <f>VLOOKUP(F549,Stakeholders!E:K,7,0)</f>
        <v>#N/A</v>
      </c>
      <c r="AF549" s="29"/>
      <c r="AG549" s="29"/>
      <c r="AH549" s="34" t="s">
        <v>82</v>
      </c>
      <c r="AI549" s="29"/>
      <c r="AJ549" s="29"/>
      <c r="AK549" s="29"/>
      <c r="AL549" s="29"/>
      <c r="AM549" s="29"/>
      <c r="AN549" s="29"/>
      <c r="AO549" s="29"/>
      <c r="AP549" s="29"/>
      <c r="AQ549" s="29"/>
      <c r="AR549" s="29"/>
      <c r="AS549" s="29"/>
      <c r="AT549" s="29"/>
      <c r="AU549" s="29"/>
      <c r="AV549" s="29"/>
      <c r="AW549" s="29"/>
    </row>
    <row r="550" spans="1:49" ht="13">
      <c r="A550" s="132">
        <v>2018</v>
      </c>
      <c r="B550" s="14" t="s">
        <v>58</v>
      </c>
      <c r="C550" s="14" t="s">
        <v>2484</v>
      </c>
      <c r="D550" s="14" t="s">
        <v>2484</v>
      </c>
      <c r="E550" s="14" t="e">
        <v>#N/A</v>
      </c>
      <c r="F550" s="14"/>
      <c r="G550" s="14">
        <f>COUNTIF(Stakeholders!$E$2:$E960,F550)</f>
        <v>0</v>
      </c>
      <c r="H550" s="14" t="s">
        <v>2665</v>
      </c>
      <c r="I550" s="152" t="s">
        <v>2666</v>
      </c>
      <c r="J550" s="14" t="s">
        <v>67</v>
      </c>
      <c r="K550" s="14"/>
      <c r="L550" s="14"/>
      <c r="M550" s="14"/>
      <c r="N550" s="14"/>
      <c r="O550" s="14"/>
      <c r="P550" s="14"/>
      <c r="Q550" s="14"/>
      <c r="R550" s="14"/>
      <c r="S550" s="14"/>
      <c r="T550" s="14"/>
      <c r="U550" s="14"/>
      <c r="V550" s="14"/>
      <c r="W550" s="14" t="s">
        <v>67</v>
      </c>
      <c r="X550" s="14"/>
      <c r="Y550" s="14"/>
      <c r="Z550" s="14"/>
      <c r="AA550" s="14"/>
      <c r="AB550" s="14" t="s">
        <v>1752</v>
      </c>
      <c r="AC550" s="135">
        <v>44202</v>
      </c>
      <c r="AD550" s="14" t="s">
        <v>1461</v>
      </c>
      <c r="AE550" s="24" t="e">
        <f>VLOOKUP(F550,Stakeholders!E:K,7,0)</f>
        <v>#N/A</v>
      </c>
      <c r="AF550" s="14"/>
      <c r="AG550" s="14"/>
      <c r="AH550" s="24" t="s">
        <v>82</v>
      </c>
      <c r="AI550" s="14"/>
      <c r="AJ550" s="14"/>
      <c r="AK550" s="14"/>
      <c r="AL550" s="14"/>
      <c r="AM550" s="14"/>
      <c r="AN550" s="14"/>
      <c r="AO550" s="14"/>
      <c r="AP550" s="14"/>
      <c r="AQ550" s="14"/>
      <c r="AR550" s="14"/>
      <c r="AS550" s="14"/>
      <c r="AT550" s="14"/>
      <c r="AU550" s="14"/>
      <c r="AV550" s="14"/>
      <c r="AW550" s="14"/>
    </row>
    <row r="551" spans="1:49" ht="13">
      <c r="A551" s="133">
        <v>2011</v>
      </c>
      <c r="B551" s="29" t="s">
        <v>58</v>
      </c>
      <c r="C551" s="29" t="s">
        <v>2667</v>
      </c>
      <c r="D551" s="29" t="s">
        <v>2667</v>
      </c>
      <c r="E551" s="29" t="e">
        <v>#N/A</v>
      </c>
      <c r="F551" s="29"/>
      <c r="G551" s="29">
        <f>COUNTIF(Stakeholders!$E$2:$E960,F551)</f>
        <v>0</v>
      </c>
      <c r="H551" s="29" t="s">
        <v>2668</v>
      </c>
      <c r="I551" s="151" t="s">
        <v>2669</v>
      </c>
      <c r="J551" s="29" t="s">
        <v>67</v>
      </c>
      <c r="K551" s="29"/>
      <c r="L551" s="29"/>
      <c r="M551" s="29"/>
      <c r="N551" s="29"/>
      <c r="O551" s="29"/>
      <c r="P551" s="29"/>
      <c r="Q551" s="29"/>
      <c r="R551" s="29"/>
      <c r="S551" s="29"/>
      <c r="T551" s="29"/>
      <c r="U551" s="29"/>
      <c r="V551" s="29"/>
      <c r="W551" s="29" t="s">
        <v>67</v>
      </c>
      <c r="X551" s="29"/>
      <c r="Y551" s="29"/>
      <c r="Z551" s="29"/>
      <c r="AA551" s="29"/>
      <c r="AB551" s="29" t="s">
        <v>1752</v>
      </c>
      <c r="AC551" s="136">
        <v>44203</v>
      </c>
      <c r="AD551" s="29" t="s">
        <v>1462</v>
      </c>
      <c r="AE551" s="34" t="e">
        <f>VLOOKUP(F551,Stakeholders!E:K,7,0)</f>
        <v>#N/A</v>
      </c>
      <c r="AF551" s="29"/>
      <c r="AG551" s="29"/>
      <c r="AH551" s="34" t="s">
        <v>82</v>
      </c>
      <c r="AI551" s="29"/>
      <c r="AJ551" s="29"/>
      <c r="AK551" s="29"/>
      <c r="AL551" s="29"/>
      <c r="AM551" s="29"/>
      <c r="AN551" s="29"/>
      <c r="AO551" s="29"/>
      <c r="AP551" s="29"/>
      <c r="AQ551" s="29"/>
      <c r="AR551" s="29"/>
      <c r="AS551" s="29"/>
      <c r="AT551" s="29"/>
      <c r="AU551" s="29"/>
      <c r="AV551" s="29"/>
      <c r="AW551" s="29"/>
    </row>
    <row r="552" spans="1:49" ht="13">
      <c r="A552" s="132">
        <v>2013</v>
      </c>
      <c r="B552" s="14" t="s">
        <v>58</v>
      </c>
      <c r="C552" s="14" t="s">
        <v>1870</v>
      </c>
      <c r="D552" s="14" t="s">
        <v>2067</v>
      </c>
      <c r="E552" s="14" t="e">
        <v>#N/A</v>
      </c>
      <c r="F552" s="14"/>
      <c r="G552" s="14">
        <f>COUNTIF(Stakeholders!$E$2:$E960,F552)</f>
        <v>0</v>
      </c>
      <c r="H552" s="14" t="s">
        <v>2670</v>
      </c>
      <c r="I552" s="152" t="s">
        <v>2671</v>
      </c>
      <c r="J552" s="14" t="s">
        <v>67</v>
      </c>
      <c r="K552" s="14"/>
      <c r="L552" s="14"/>
      <c r="M552" s="14"/>
      <c r="N552" s="14"/>
      <c r="O552" s="14"/>
      <c r="P552" s="14"/>
      <c r="Q552" s="14"/>
      <c r="R552" s="14"/>
      <c r="S552" s="14"/>
      <c r="T552" s="14"/>
      <c r="U552" s="14"/>
      <c r="V552" s="14"/>
      <c r="W552" s="14" t="s">
        <v>67</v>
      </c>
      <c r="X552" s="14"/>
      <c r="Y552" s="14"/>
      <c r="Z552" s="14"/>
      <c r="AA552" s="14"/>
      <c r="AB552" s="14" t="s">
        <v>1752</v>
      </c>
      <c r="AC552" s="135">
        <v>44204</v>
      </c>
      <c r="AD552" s="14" t="s">
        <v>1463</v>
      </c>
      <c r="AE552" s="24" t="e">
        <f>VLOOKUP(F552,Stakeholders!E:K,7,0)</f>
        <v>#N/A</v>
      </c>
      <c r="AF552" s="14"/>
      <c r="AG552" s="14"/>
      <c r="AH552" s="24" t="s">
        <v>82</v>
      </c>
      <c r="AI552" s="14"/>
      <c r="AJ552" s="14"/>
      <c r="AK552" s="14"/>
      <c r="AL552" s="14"/>
      <c r="AM552" s="14"/>
      <c r="AN552" s="14"/>
      <c r="AO552" s="14"/>
      <c r="AP552" s="14"/>
      <c r="AQ552" s="14"/>
      <c r="AR552" s="14"/>
      <c r="AS552" s="14"/>
      <c r="AT552" s="14"/>
      <c r="AU552" s="14"/>
      <c r="AV552" s="14"/>
      <c r="AW552" s="14"/>
    </row>
    <row r="553" spans="1:49" ht="13">
      <c r="A553" s="133">
        <v>2016</v>
      </c>
      <c r="B553" s="29" t="s">
        <v>58</v>
      </c>
      <c r="C553" s="29" t="s">
        <v>2469</v>
      </c>
      <c r="D553" s="29" t="s">
        <v>2470</v>
      </c>
      <c r="E553" s="29" t="e">
        <v>#N/A</v>
      </c>
      <c r="F553" s="29"/>
      <c r="G553" s="29">
        <f>COUNTIF(Stakeholders!$E$2:$E960,F553)</f>
        <v>0</v>
      </c>
      <c r="H553" s="29" t="s">
        <v>2672</v>
      </c>
      <c r="I553" s="151" t="s">
        <v>2673</v>
      </c>
      <c r="J553" s="29" t="s">
        <v>67</v>
      </c>
      <c r="K553" s="29"/>
      <c r="L553" s="29"/>
      <c r="M553" s="29"/>
      <c r="N553" s="29"/>
      <c r="O553" s="29"/>
      <c r="P553" s="29"/>
      <c r="Q553" s="29"/>
      <c r="R553" s="29"/>
      <c r="S553" s="29"/>
      <c r="T553" s="29"/>
      <c r="U553" s="29"/>
      <c r="V553" s="29"/>
      <c r="W553" s="29" t="s">
        <v>67</v>
      </c>
      <c r="X553" s="29"/>
      <c r="Y553" s="29"/>
      <c r="Z553" s="29"/>
      <c r="AA553" s="29"/>
      <c r="AB553" s="29" t="s">
        <v>1752</v>
      </c>
      <c r="AC553" s="136">
        <v>44205</v>
      </c>
      <c r="AD553" s="29" t="s">
        <v>1464</v>
      </c>
      <c r="AE553" s="34" t="e">
        <f>VLOOKUP(F553,Stakeholders!E:K,7,0)</f>
        <v>#N/A</v>
      </c>
      <c r="AF553" s="29"/>
      <c r="AG553" s="29"/>
      <c r="AH553" s="34" t="s">
        <v>82</v>
      </c>
      <c r="AI553" s="29"/>
      <c r="AJ553" s="29"/>
      <c r="AK553" s="29"/>
      <c r="AL553" s="29"/>
      <c r="AM553" s="29"/>
      <c r="AN553" s="29"/>
      <c r="AO553" s="29"/>
      <c r="AP553" s="29"/>
      <c r="AQ553" s="29"/>
      <c r="AR553" s="29"/>
      <c r="AS553" s="29"/>
      <c r="AT553" s="29"/>
      <c r="AU553" s="29"/>
      <c r="AV553" s="29"/>
      <c r="AW553" s="29"/>
    </row>
    <row r="554" spans="1:49" ht="13">
      <c r="A554" s="132">
        <v>2019</v>
      </c>
      <c r="B554" s="14" t="s">
        <v>58</v>
      </c>
      <c r="C554" s="14" t="s">
        <v>2550</v>
      </c>
      <c r="D554" s="14" t="s">
        <v>2561</v>
      </c>
      <c r="E554" s="14" t="e">
        <v>#N/A</v>
      </c>
      <c r="F554" s="14"/>
      <c r="G554" s="14">
        <f>COUNTIF(Stakeholders!$E$2:$E960,F554)</f>
        <v>0</v>
      </c>
      <c r="H554" s="14" t="s">
        <v>2674</v>
      </c>
      <c r="I554" s="152" t="s">
        <v>2675</v>
      </c>
      <c r="J554" s="14" t="s">
        <v>67</v>
      </c>
      <c r="K554" s="14"/>
      <c r="L554" s="14"/>
      <c r="M554" s="14"/>
      <c r="N554" s="14"/>
      <c r="O554" s="14"/>
      <c r="P554" s="14"/>
      <c r="Q554" s="14"/>
      <c r="R554" s="14"/>
      <c r="S554" s="14"/>
      <c r="T554" s="14"/>
      <c r="U554" s="14"/>
      <c r="V554" s="14"/>
      <c r="W554" s="14" t="s">
        <v>67</v>
      </c>
      <c r="X554" s="14"/>
      <c r="Y554" s="14"/>
      <c r="Z554" s="14"/>
      <c r="AA554" s="14"/>
      <c r="AB554" s="14" t="s">
        <v>1752</v>
      </c>
      <c r="AC554" s="135">
        <v>44206</v>
      </c>
      <c r="AD554" s="14" t="s">
        <v>1467</v>
      </c>
      <c r="AE554" s="24" t="e">
        <f>VLOOKUP(F554,Stakeholders!E:K,7,0)</f>
        <v>#N/A</v>
      </c>
      <c r="AF554" s="14"/>
      <c r="AG554" s="14"/>
      <c r="AH554" s="24" t="s">
        <v>82</v>
      </c>
      <c r="AI554" s="14"/>
      <c r="AJ554" s="14"/>
      <c r="AK554" s="14"/>
      <c r="AL554" s="14"/>
      <c r="AM554" s="14"/>
      <c r="AN554" s="14"/>
      <c r="AO554" s="14"/>
      <c r="AP554" s="14"/>
      <c r="AQ554" s="14"/>
      <c r="AR554" s="14"/>
      <c r="AS554" s="14"/>
      <c r="AT554" s="14"/>
      <c r="AU554" s="14"/>
      <c r="AV554" s="14"/>
      <c r="AW554" s="14"/>
    </row>
    <row r="555" spans="1:49" ht="13">
      <c r="A555" s="133">
        <v>2018</v>
      </c>
      <c r="B555" s="29" t="s">
        <v>58</v>
      </c>
      <c r="C555" s="29" t="s">
        <v>2676</v>
      </c>
      <c r="D555" s="29" t="s">
        <v>2677</v>
      </c>
      <c r="E555" s="29" t="e">
        <v>#N/A</v>
      </c>
      <c r="F555" s="29"/>
      <c r="G555" s="29">
        <f>COUNTIF(Stakeholders!$E$2:$E960,F555)</f>
        <v>0</v>
      </c>
      <c r="H555" s="29" t="s">
        <v>2678</v>
      </c>
      <c r="I555" s="151" t="s">
        <v>2679</v>
      </c>
      <c r="J555" s="29" t="s">
        <v>67</v>
      </c>
      <c r="K555" s="29"/>
      <c r="L555" s="29"/>
      <c r="M555" s="29"/>
      <c r="N555" s="29"/>
      <c r="O555" s="29"/>
      <c r="P555" s="29"/>
      <c r="Q555" s="29"/>
      <c r="R555" s="29"/>
      <c r="S555" s="29"/>
      <c r="T555" s="29"/>
      <c r="U555" s="29"/>
      <c r="V555" s="29"/>
      <c r="W555" s="29" t="s">
        <v>67</v>
      </c>
      <c r="X555" s="29"/>
      <c r="Y555" s="29"/>
      <c r="Z555" s="29"/>
      <c r="AA555" s="29"/>
      <c r="AB555" s="29" t="s">
        <v>1752</v>
      </c>
      <c r="AC555" s="136">
        <v>44207</v>
      </c>
      <c r="AD555" s="29" t="s">
        <v>1468</v>
      </c>
      <c r="AE555" s="34" t="e">
        <f>VLOOKUP(F555,Stakeholders!E:K,7,0)</f>
        <v>#N/A</v>
      </c>
      <c r="AF555" s="29"/>
      <c r="AG555" s="29"/>
      <c r="AH555" s="34" t="s">
        <v>82</v>
      </c>
      <c r="AI555" s="29"/>
      <c r="AJ555" s="29"/>
      <c r="AK555" s="29"/>
      <c r="AL555" s="29"/>
      <c r="AM555" s="29"/>
      <c r="AN555" s="29"/>
      <c r="AO555" s="29"/>
      <c r="AP555" s="29"/>
      <c r="AQ555" s="29"/>
      <c r="AR555" s="29"/>
      <c r="AS555" s="29"/>
      <c r="AT555" s="29"/>
      <c r="AU555" s="29"/>
      <c r="AV555" s="29"/>
      <c r="AW555" s="29"/>
    </row>
    <row r="556" spans="1:49" ht="13">
      <c r="A556" s="132">
        <v>2015</v>
      </c>
      <c r="B556" s="14" t="s">
        <v>56</v>
      </c>
      <c r="C556" s="14" t="s">
        <v>2395</v>
      </c>
      <c r="D556" s="14" t="s">
        <v>2464</v>
      </c>
      <c r="E556" s="14" t="e">
        <v>#N/A</v>
      </c>
      <c r="F556" s="14"/>
      <c r="G556" s="14">
        <f>COUNTIF(Stakeholders!$E$2:$E960,F556)</f>
        <v>0</v>
      </c>
      <c r="H556" s="14" t="s">
        <v>2680</v>
      </c>
      <c r="I556" s="152" t="s">
        <v>2681</v>
      </c>
      <c r="J556" s="14" t="s">
        <v>67</v>
      </c>
      <c r="K556" s="14"/>
      <c r="L556" s="14"/>
      <c r="M556" s="14"/>
      <c r="N556" s="14"/>
      <c r="O556" s="14"/>
      <c r="P556" s="14"/>
      <c r="Q556" s="14"/>
      <c r="R556" s="14"/>
      <c r="S556" s="14"/>
      <c r="T556" s="14"/>
      <c r="U556" s="14"/>
      <c r="V556" s="14"/>
      <c r="W556" s="14" t="s">
        <v>67</v>
      </c>
      <c r="X556" s="14"/>
      <c r="Y556" s="14"/>
      <c r="Z556" s="14"/>
      <c r="AA556" s="14"/>
      <c r="AB556" s="14" t="s">
        <v>1752</v>
      </c>
      <c r="AC556" s="135">
        <v>44208</v>
      </c>
      <c r="AD556" s="14" t="s">
        <v>1469</v>
      </c>
      <c r="AE556" s="24" t="e">
        <f>VLOOKUP(F556,Stakeholders!E:K,7,0)</f>
        <v>#N/A</v>
      </c>
      <c r="AF556" s="14"/>
      <c r="AG556" s="14"/>
      <c r="AH556" s="24" t="s">
        <v>82</v>
      </c>
      <c r="AI556" s="14"/>
      <c r="AJ556" s="14"/>
      <c r="AK556" s="14"/>
      <c r="AL556" s="14"/>
      <c r="AM556" s="14"/>
      <c r="AN556" s="14"/>
      <c r="AO556" s="14"/>
      <c r="AP556" s="14"/>
      <c r="AQ556" s="14"/>
      <c r="AR556" s="14"/>
      <c r="AS556" s="14"/>
      <c r="AT556" s="14"/>
      <c r="AU556" s="14"/>
      <c r="AV556" s="14"/>
      <c r="AW556" s="14"/>
    </row>
    <row r="557" spans="1:49" ht="13">
      <c r="A557" s="133">
        <v>2017</v>
      </c>
      <c r="B557" s="29" t="s">
        <v>58</v>
      </c>
      <c r="C557" s="29" t="s">
        <v>2419</v>
      </c>
      <c r="D557" s="29" t="s">
        <v>2419</v>
      </c>
      <c r="E557" s="29" t="e">
        <v>#N/A</v>
      </c>
      <c r="F557" s="29"/>
      <c r="G557" s="29">
        <f>COUNTIF(Stakeholders!$E$2:$E960,F557)</f>
        <v>0</v>
      </c>
      <c r="H557" s="29" t="s">
        <v>2682</v>
      </c>
      <c r="I557" s="151" t="s">
        <v>2683</v>
      </c>
      <c r="J557" s="29" t="s">
        <v>67</v>
      </c>
      <c r="K557" s="29"/>
      <c r="L557" s="29"/>
      <c r="M557" s="29"/>
      <c r="N557" s="29"/>
      <c r="O557" s="29"/>
      <c r="P557" s="29"/>
      <c r="Q557" s="29"/>
      <c r="R557" s="29"/>
      <c r="S557" s="29"/>
      <c r="T557" s="29"/>
      <c r="U557" s="29"/>
      <c r="V557" s="29"/>
      <c r="W557" s="29" t="s">
        <v>67</v>
      </c>
      <c r="X557" s="29"/>
      <c r="Y557" s="29"/>
      <c r="Z557" s="29"/>
      <c r="AA557" s="29"/>
      <c r="AB557" s="29" t="s">
        <v>1752</v>
      </c>
      <c r="AC557" s="136">
        <v>44209</v>
      </c>
      <c r="AD557" s="29" t="s">
        <v>1470</v>
      </c>
      <c r="AE557" s="34" t="e">
        <f>VLOOKUP(F557,Stakeholders!E:K,7,0)</f>
        <v>#N/A</v>
      </c>
      <c r="AF557" s="29"/>
      <c r="AG557" s="29"/>
      <c r="AH557" s="34" t="s">
        <v>82</v>
      </c>
      <c r="AI557" s="29"/>
      <c r="AJ557" s="29"/>
      <c r="AK557" s="29"/>
      <c r="AL557" s="29"/>
      <c r="AM557" s="29"/>
      <c r="AN557" s="29"/>
      <c r="AO557" s="29"/>
      <c r="AP557" s="29"/>
      <c r="AQ557" s="29"/>
      <c r="AR557" s="29"/>
      <c r="AS557" s="29"/>
      <c r="AT557" s="29"/>
      <c r="AU557" s="29"/>
      <c r="AV557" s="29"/>
      <c r="AW557" s="29"/>
    </row>
    <row r="558" spans="1:49" ht="14">
      <c r="A558" s="132">
        <v>2011</v>
      </c>
      <c r="B558" s="140" t="s">
        <v>80</v>
      </c>
      <c r="C558" s="14" t="s">
        <v>2684</v>
      </c>
      <c r="D558" s="14" t="s">
        <v>2684</v>
      </c>
      <c r="E558" s="14" t="e">
        <v>#N/A</v>
      </c>
      <c r="F558" s="14"/>
      <c r="G558" s="14">
        <f>COUNTIF(Stakeholders!$E$2:$E960,F558)</f>
        <v>0</v>
      </c>
      <c r="H558" s="14" t="s">
        <v>2685</v>
      </c>
      <c r="I558" s="152" t="s">
        <v>2686</v>
      </c>
      <c r="J558" s="14" t="s">
        <v>67</v>
      </c>
      <c r="K558" s="14"/>
      <c r="L558" s="14"/>
      <c r="M558" s="14"/>
      <c r="N558" s="14"/>
      <c r="O558" s="14"/>
      <c r="P558" s="14"/>
      <c r="Q558" s="14"/>
      <c r="R558" s="14"/>
      <c r="S558" s="14"/>
      <c r="T558" s="14"/>
      <c r="U558" s="14"/>
      <c r="V558" s="14"/>
      <c r="W558" s="14" t="s">
        <v>67</v>
      </c>
      <c r="X558" s="14"/>
      <c r="Y558" s="14"/>
      <c r="Z558" s="14"/>
      <c r="AA558" s="14"/>
      <c r="AB558" s="14" t="s">
        <v>1752</v>
      </c>
      <c r="AC558" s="135">
        <v>44210</v>
      </c>
      <c r="AD558" s="14" t="s">
        <v>1471</v>
      </c>
      <c r="AE558" s="24" t="e">
        <f>VLOOKUP(F558,Stakeholders!E:K,7,0)</f>
        <v>#N/A</v>
      </c>
      <c r="AF558" s="14"/>
      <c r="AG558" s="14"/>
      <c r="AH558" s="24" t="s">
        <v>82</v>
      </c>
      <c r="AI558" s="14"/>
      <c r="AJ558" s="14"/>
      <c r="AK558" s="14"/>
      <c r="AL558" s="14"/>
      <c r="AM558" s="14"/>
      <c r="AN558" s="14"/>
      <c r="AO558" s="14"/>
      <c r="AP558" s="14"/>
      <c r="AQ558" s="14"/>
      <c r="AR558" s="14"/>
      <c r="AS558" s="14"/>
      <c r="AT558" s="14"/>
      <c r="AU558" s="14"/>
      <c r="AV558" s="14"/>
      <c r="AW558" s="14"/>
    </row>
    <row r="559" spans="1:49" ht="14">
      <c r="A559" s="133">
        <v>2015</v>
      </c>
      <c r="B559" s="143" t="s">
        <v>80</v>
      </c>
      <c r="C559" s="29" t="s">
        <v>2687</v>
      </c>
      <c r="D559" s="29" t="s">
        <v>1846</v>
      </c>
      <c r="E559" s="29" t="e">
        <v>#N/A</v>
      </c>
      <c r="F559" s="29"/>
      <c r="G559" s="29">
        <f>COUNTIF(Stakeholders!$E$2:$E960,F559)</f>
        <v>0</v>
      </c>
      <c r="H559" s="29" t="s">
        <v>2688</v>
      </c>
      <c r="I559" s="151" t="s">
        <v>2689</v>
      </c>
      <c r="J559" s="29" t="s">
        <v>67</v>
      </c>
      <c r="K559" s="29"/>
      <c r="L559" s="29"/>
      <c r="M559" s="29"/>
      <c r="N559" s="29"/>
      <c r="O559" s="29"/>
      <c r="P559" s="29"/>
      <c r="Q559" s="29"/>
      <c r="R559" s="29"/>
      <c r="S559" s="29"/>
      <c r="T559" s="29"/>
      <c r="U559" s="29"/>
      <c r="V559" s="29"/>
      <c r="W559" s="29" t="s">
        <v>67</v>
      </c>
      <c r="X559" s="29"/>
      <c r="Y559" s="29"/>
      <c r="Z559" s="29"/>
      <c r="AA559" s="29"/>
      <c r="AB559" s="29" t="s">
        <v>1752</v>
      </c>
      <c r="AC559" s="136">
        <v>44211</v>
      </c>
      <c r="AD559" s="29" t="s">
        <v>1472</v>
      </c>
      <c r="AE559" s="34" t="e">
        <f>VLOOKUP(F559,Stakeholders!E:K,7,0)</f>
        <v>#N/A</v>
      </c>
      <c r="AF559" s="29"/>
      <c r="AG559" s="29"/>
      <c r="AH559" s="34" t="s">
        <v>82</v>
      </c>
      <c r="AI559" s="29"/>
      <c r="AJ559" s="29"/>
      <c r="AK559" s="29"/>
      <c r="AL559" s="29"/>
      <c r="AM559" s="29"/>
      <c r="AN559" s="29"/>
      <c r="AO559" s="29"/>
      <c r="AP559" s="29"/>
      <c r="AQ559" s="29"/>
      <c r="AR559" s="29"/>
      <c r="AS559" s="29"/>
      <c r="AT559" s="29"/>
      <c r="AU559" s="29"/>
      <c r="AV559" s="29"/>
      <c r="AW559" s="29"/>
    </row>
    <row r="560" spans="1:49" ht="14">
      <c r="A560" s="132">
        <v>2015</v>
      </c>
      <c r="B560" s="140" t="s">
        <v>80</v>
      </c>
      <c r="C560" s="14" t="s">
        <v>2259</v>
      </c>
      <c r="D560" s="14" t="s">
        <v>2690</v>
      </c>
      <c r="E560" s="14" t="e">
        <v>#N/A</v>
      </c>
      <c r="F560" s="14"/>
      <c r="G560" s="14">
        <f>COUNTIF(Stakeholders!$E$2:$E960,F560)</f>
        <v>0</v>
      </c>
      <c r="H560" s="14" t="s">
        <v>2691</v>
      </c>
      <c r="I560" s="152" t="s">
        <v>2692</v>
      </c>
      <c r="J560" s="14" t="s">
        <v>67</v>
      </c>
      <c r="K560" s="14"/>
      <c r="L560" s="14"/>
      <c r="M560" s="14"/>
      <c r="N560" s="14"/>
      <c r="O560" s="14"/>
      <c r="P560" s="14"/>
      <c r="Q560" s="14"/>
      <c r="R560" s="14"/>
      <c r="S560" s="14"/>
      <c r="T560" s="14"/>
      <c r="U560" s="14"/>
      <c r="V560" s="14"/>
      <c r="W560" s="14" t="s">
        <v>67</v>
      </c>
      <c r="X560" s="14"/>
      <c r="Y560" s="14"/>
      <c r="Z560" s="14"/>
      <c r="AA560" s="14"/>
      <c r="AB560" s="14" t="s">
        <v>1752</v>
      </c>
      <c r="AC560" s="135">
        <v>44212</v>
      </c>
      <c r="AD560" s="14" t="s">
        <v>1473</v>
      </c>
      <c r="AE560" s="24" t="e">
        <f>VLOOKUP(F560,Stakeholders!E:K,7,0)</f>
        <v>#N/A</v>
      </c>
      <c r="AF560" s="14"/>
      <c r="AG560" s="14"/>
      <c r="AH560" s="24" t="s">
        <v>82</v>
      </c>
      <c r="AI560" s="14"/>
      <c r="AJ560" s="14"/>
      <c r="AK560" s="14"/>
      <c r="AL560" s="14"/>
      <c r="AM560" s="14"/>
      <c r="AN560" s="14"/>
      <c r="AO560" s="14"/>
      <c r="AP560" s="14"/>
      <c r="AQ560" s="14"/>
      <c r="AR560" s="14"/>
      <c r="AS560" s="14"/>
      <c r="AT560" s="14"/>
      <c r="AU560" s="14"/>
      <c r="AV560" s="14"/>
      <c r="AW560" s="14"/>
    </row>
    <row r="561" spans="1:49" ht="14">
      <c r="A561" s="133">
        <v>2017</v>
      </c>
      <c r="B561" s="143" t="s">
        <v>80</v>
      </c>
      <c r="C561" s="29" t="s">
        <v>2244</v>
      </c>
      <c r="D561" s="29" t="s">
        <v>2244</v>
      </c>
      <c r="E561" s="29" t="e">
        <v>#N/A</v>
      </c>
      <c r="F561" s="29"/>
      <c r="G561" s="29">
        <f>COUNTIF(Stakeholders!$E$2:$E960,F561)</f>
        <v>0</v>
      </c>
      <c r="H561" s="29" t="s">
        <v>2693</v>
      </c>
      <c r="I561" s="151" t="s">
        <v>2694</v>
      </c>
      <c r="J561" s="29" t="s">
        <v>67</v>
      </c>
      <c r="K561" s="29"/>
      <c r="L561" s="29"/>
      <c r="M561" s="29"/>
      <c r="N561" s="29"/>
      <c r="O561" s="29"/>
      <c r="P561" s="29"/>
      <c r="Q561" s="29"/>
      <c r="R561" s="29"/>
      <c r="S561" s="29"/>
      <c r="T561" s="29"/>
      <c r="U561" s="29"/>
      <c r="V561" s="29"/>
      <c r="W561" s="29" t="s">
        <v>67</v>
      </c>
      <c r="X561" s="29"/>
      <c r="Y561" s="29"/>
      <c r="Z561" s="29"/>
      <c r="AA561" s="29"/>
      <c r="AB561" s="29" t="s">
        <v>1752</v>
      </c>
      <c r="AC561" s="136">
        <v>44213</v>
      </c>
      <c r="AD561" s="29" t="s">
        <v>1474</v>
      </c>
      <c r="AE561" s="34" t="e">
        <f>VLOOKUP(F561,Stakeholders!E:K,7,0)</f>
        <v>#N/A</v>
      </c>
      <c r="AF561" s="29"/>
      <c r="AG561" s="29"/>
      <c r="AH561" s="34" t="s">
        <v>82</v>
      </c>
      <c r="AI561" s="29"/>
      <c r="AJ561" s="29"/>
      <c r="AK561" s="29"/>
      <c r="AL561" s="29"/>
      <c r="AM561" s="29"/>
      <c r="AN561" s="29"/>
      <c r="AO561" s="29"/>
      <c r="AP561" s="29"/>
      <c r="AQ561" s="29"/>
      <c r="AR561" s="29"/>
      <c r="AS561" s="29"/>
      <c r="AT561" s="29"/>
      <c r="AU561" s="29"/>
      <c r="AV561" s="29"/>
      <c r="AW561" s="29"/>
    </row>
    <row r="562" spans="1:49" ht="14">
      <c r="A562" s="132">
        <v>2017</v>
      </c>
      <c r="B562" s="140" t="s">
        <v>80</v>
      </c>
      <c r="C562" s="14" t="s">
        <v>2695</v>
      </c>
      <c r="D562" s="14" t="s">
        <v>2695</v>
      </c>
      <c r="E562" s="14" t="e">
        <v>#N/A</v>
      </c>
      <c r="F562" s="14"/>
      <c r="G562" s="14">
        <f>COUNTIF(Stakeholders!$E$2:$E960,F562)</f>
        <v>0</v>
      </c>
      <c r="H562" s="14" t="s">
        <v>2696</v>
      </c>
      <c r="I562" s="152" t="s">
        <v>2697</v>
      </c>
      <c r="J562" s="14" t="s">
        <v>67</v>
      </c>
      <c r="K562" s="14"/>
      <c r="L562" s="14"/>
      <c r="M562" s="14"/>
      <c r="N562" s="14"/>
      <c r="O562" s="14"/>
      <c r="P562" s="14"/>
      <c r="Q562" s="14"/>
      <c r="R562" s="14"/>
      <c r="S562" s="14"/>
      <c r="T562" s="14"/>
      <c r="U562" s="14"/>
      <c r="V562" s="14"/>
      <c r="W562" s="14" t="s">
        <v>67</v>
      </c>
      <c r="X562" s="14"/>
      <c r="Y562" s="14"/>
      <c r="Z562" s="14"/>
      <c r="AA562" s="14"/>
      <c r="AB562" s="14" t="s">
        <v>1752</v>
      </c>
      <c r="AC562" s="135">
        <v>44214</v>
      </c>
      <c r="AD562" s="14" t="s">
        <v>1476</v>
      </c>
      <c r="AE562" s="24" t="e">
        <f>VLOOKUP(F562,Stakeholders!E:K,7,0)</f>
        <v>#N/A</v>
      </c>
      <c r="AF562" s="14"/>
      <c r="AG562" s="14"/>
      <c r="AH562" s="24" t="s">
        <v>82</v>
      </c>
      <c r="AI562" s="14"/>
      <c r="AJ562" s="14"/>
      <c r="AK562" s="14"/>
      <c r="AL562" s="14"/>
      <c r="AM562" s="14"/>
      <c r="AN562" s="14"/>
      <c r="AO562" s="14"/>
      <c r="AP562" s="14"/>
      <c r="AQ562" s="14"/>
      <c r="AR562" s="14"/>
      <c r="AS562" s="14"/>
      <c r="AT562" s="14"/>
      <c r="AU562" s="14"/>
      <c r="AV562" s="14"/>
      <c r="AW562" s="14"/>
    </row>
    <row r="563" spans="1:49" ht="14">
      <c r="A563" s="133">
        <v>2017</v>
      </c>
      <c r="B563" s="143" t="s">
        <v>80</v>
      </c>
      <c r="C563" s="29" t="s">
        <v>2287</v>
      </c>
      <c r="D563" s="29" t="s">
        <v>2287</v>
      </c>
      <c r="E563" s="29" t="e">
        <v>#N/A</v>
      </c>
      <c r="F563" s="29"/>
      <c r="G563" s="29">
        <f>COUNTIF(Stakeholders!$E$2:$E960,F563)</f>
        <v>0</v>
      </c>
      <c r="H563" s="29" t="s">
        <v>2698</v>
      </c>
      <c r="I563" s="151" t="s">
        <v>2699</v>
      </c>
      <c r="J563" s="29" t="s">
        <v>67</v>
      </c>
      <c r="K563" s="29"/>
      <c r="L563" s="29"/>
      <c r="M563" s="29"/>
      <c r="N563" s="29"/>
      <c r="O563" s="29"/>
      <c r="P563" s="29"/>
      <c r="Q563" s="29"/>
      <c r="R563" s="29"/>
      <c r="S563" s="29"/>
      <c r="T563" s="29"/>
      <c r="U563" s="29"/>
      <c r="V563" s="29"/>
      <c r="W563" s="29" t="s">
        <v>67</v>
      </c>
      <c r="X563" s="29"/>
      <c r="Y563" s="29"/>
      <c r="Z563" s="29"/>
      <c r="AA563" s="153"/>
      <c r="AB563" s="29" t="s">
        <v>1752</v>
      </c>
      <c r="AC563" s="136">
        <v>44215</v>
      </c>
      <c r="AD563" s="29" t="s">
        <v>1477</v>
      </c>
      <c r="AE563" s="34" t="e">
        <f>VLOOKUP(F563,Stakeholders!E:K,7,0)</f>
        <v>#N/A</v>
      </c>
      <c r="AF563" s="29"/>
      <c r="AG563" s="29"/>
      <c r="AH563" s="34" t="s">
        <v>82</v>
      </c>
      <c r="AI563" s="29"/>
      <c r="AJ563" s="29"/>
      <c r="AK563" s="29"/>
      <c r="AL563" s="29"/>
      <c r="AM563" s="29"/>
      <c r="AN563" s="29"/>
      <c r="AO563" s="29"/>
      <c r="AP563" s="29"/>
      <c r="AQ563" s="29"/>
      <c r="AR563" s="29"/>
      <c r="AS563" s="29"/>
      <c r="AT563" s="29"/>
      <c r="AU563" s="29"/>
      <c r="AV563" s="29"/>
      <c r="AW563" s="29"/>
    </row>
    <row r="564" spans="1:49" ht="14">
      <c r="A564" s="132">
        <v>2016</v>
      </c>
      <c r="B564" s="140" t="s">
        <v>80</v>
      </c>
      <c r="C564" s="14" t="s">
        <v>2290</v>
      </c>
      <c r="D564" s="14" t="s">
        <v>2700</v>
      </c>
      <c r="E564" s="14" t="e">
        <v>#N/A</v>
      </c>
      <c r="F564" s="14"/>
      <c r="G564" s="14">
        <f>COUNTIF(Stakeholders!$E$2:$E960,F564)</f>
        <v>0</v>
      </c>
      <c r="H564" s="14" t="s">
        <v>2701</v>
      </c>
      <c r="I564" s="152" t="s">
        <v>2702</v>
      </c>
      <c r="J564" s="14" t="s">
        <v>67</v>
      </c>
      <c r="K564" s="14"/>
      <c r="L564" s="14"/>
      <c r="M564" s="14"/>
      <c r="N564" s="14"/>
      <c r="O564" s="14"/>
      <c r="P564" s="14"/>
      <c r="Q564" s="14"/>
      <c r="R564" s="14"/>
      <c r="S564" s="14"/>
      <c r="T564" s="14"/>
      <c r="U564" s="14"/>
      <c r="V564" s="14"/>
      <c r="W564" s="14" t="s">
        <v>67</v>
      </c>
      <c r="X564" s="14"/>
      <c r="Y564" s="14"/>
      <c r="Z564" s="14"/>
      <c r="AA564" s="154"/>
      <c r="AB564" s="14" t="s">
        <v>1752</v>
      </c>
      <c r="AC564" s="135">
        <v>44216</v>
      </c>
      <c r="AD564" s="14" t="s">
        <v>1478</v>
      </c>
      <c r="AE564" s="24" t="e">
        <f>VLOOKUP(F564,Stakeholders!E:K,7,0)</f>
        <v>#N/A</v>
      </c>
      <c r="AF564" s="14"/>
      <c r="AG564" s="14"/>
      <c r="AH564" s="24" t="s">
        <v>82</v>
      </c>
      <c r="AI564" s="14"/>
      <c r="AJ564" s="14"/>
      <c r="AK564" s="14"/>
      <c r="AL564" s="14"/>
      <c r="AM564" s="14"/>
      <c r="AN564" s="14"/>
      <c r="AO564" s="14"/>
      <c r="AP564" s="14"/>
      <c r="AQ564" s="14"/>
      <c r="AR564" s="14"/>
      <c r="AS564" s="14"/>
      <c r="AT564" s="14"/>
      <c r="AU564" s="14"/>
      <c r="AV564" s="14"/>
      <c r="AW564" s="14"/>
    </row>
    <row r="565" spans="1:49" ht="14">
      <c r="A565" s="133">
        <v>2018</v>
      </c>
      <c r="B565" s="143" t="s">
        <v>80</v>
      </c>
      <c r="C565" s="29" t="s">
        <v>2290</v>
      </c>
      <c r="D565" s="29" t="s">
        <v>2290</v>
      </c>
      <c r="E565" s="29" t="e">
        <v>#N/A</v>
      </c>
      <c r="F565" s="29"/>
      <c r="G565" s="29">
        <f>COUNTIF(Stakeholders!$E$2:$E960,F565)</f>
        <v>0</v>
      </c>
      <c r="H565" s="29" t="s">
        <v>2703</v>
      </c>
      <c r="I565" s="151" t="s">
        <v>2704</v>
      </c>
      <c r="J565" s="29" t="s">
        <v>67</v>
      </c>
      <c r="K565" s="29"/>
      <c r="L565" s="29"/>
      <c r="M565" s="29"/>
      <c r="N565" s="29"/>
      <c r="O565" s="29"/>
      <c r="P565" s="29"/>
      <c r="Q565" s="29"/>
      <c r="R565" s="29"/>
      <c r="S565" s="29"/>
      <c r="T565" s="29"/>
      <c r="U565" s="29"/>
      <c r="V565" s="29"/>
      <c r="W565" s="29" t="s">
        <v>67</v>
      </c>
      <c r="X565" s="29"/>
      <c r="Y565" s="29"/>
      <c r="Z565" s="29"/>
      <c r="AA565" s="29"/>
      <c r="AB565" s="29" t="s">
        <v>1752</v>
      </c>
      <c r="AC565" s="136">
        <v>44217</v>
      </c>
      <c r="AD565" s="29" t="s">
        <v>1479</v>
      </c>
      <c r="AE565" s="34" t="e">
        <f>VLOOKUP(F565,Stakeholders!E:K,7,0)</f>
        <v>#N/A</v>
      </c>
      <c r="AF565" s="29"/>
      <c r="AG565" s="29"/>
      <c r="AH565" s="34" t="s">
        <v>82</v>
      </c>
      <c r="AI565" s="29"/>
      <c r="AJ565" s="29"/>
      <c r="AK565" s="29"/>
      <c r="AL565" s="29"/>
      <c r="AM565" s="29"/>
      <c r="AN565" s="29"/>
      <c r="AO565" s="29"/>
      <c r="AP565" s="29"/>
      <c r="AQ565" s="29"/>
      <c r="AR565" s="29"/>
      <c r="AS565" s="29"/>
      <c r="AT565" s="29"/>
      <c r="AU565" s="29"/>
      <c r="AV565" s="29"/>
      <c r="AW565" s="29"/>
    </row>
    <row r="566" spans="1:49" ht="14">
      <c r="A566" s="132">
        <v>2018</v>
      </c>
      <c r="B566" s="140" t="s">
        <v>80</v>
      </c>
      <c r="C566" s="14" t="s">
        <v>2290</v>
      </c>
      <c r="D566" s="14" t="s">
        <v>2290</v>
      </c>
      <c r="E566" s="14" t="e">
        <v>#N/A</v>
      </c>
      <c r="F566" s="14"/>
      <c r="G566" s="14">
        <f>COUNTIF(Stakeholders!$E$2:$E960,F566)</f>
        <v>0</v>
      </c>
      <c r="H566" s="14" t="s">
        <v>2705</v>
      </c>
      <c r="I566" s="152" t="s">
        <v>2706</v>
      </c>
      <c r="J566" s="14" t="s">
        <v>67</v>
      </c>
      <c r="K566" s="14"/>
      <c r="L566" s="14"/>
      <c r="M566" s="14"/>
      <c r="N566" s="14"/>
      <c r="O566" s="14"/>
      <c r="P566" s="14"/>
      <c r="Q566" s="14"/>
      <c r="R566" s="14"/>
      <c r="S566" s="14"/>
      <c r="T566" s="14"/>
      <c r="U566" s="14"/>
      <c r="V566" s="14"/>
      <c r="W566" s="14" t="s">
        <v>67</v>
      </c>
      <c r="X566" s="14"/>
      <c r="Y566" s="14"/>
      <c r="Z566" s="14"/>
      <c r="AA566" s="154"/>
      <c r="AB566" s="14" t="s">
        <v>1752</v>
      </c>
      <c r="AC566" s="135">
        <v>44218</v>
      </c>
      <c r="AD566" s="14" t="s">
        <v>703</v>
      </c>
      <c r="AE566" s="24" t="e">
        <f>VLOOKUP(F566,Stakeholders!E:K,7,0)</f>
        <v>#N/A</v>
      </c>
      <c r="AF566" s="14"/>
      <c r="AG566" s="14"/>
      <c r="AH566" s="24" t="s">
        <v>82</v>
      </c>
      <c r="AI566" s="14"/>
      <c r="AJ566" s="14"/>
      <c r="AK566" s="14"/>
      <c r="AL566" s="14"/>
      <c r="AM566" s="14"/>
      <c r="AN566" s="14"/>
      <c r="AO566" s="14"/>
      <c r="AP566" s="14"/>
      <c r="AQ566" s="14"/>
      <c r="AR566" s="14"/>
      <c r="AS566" s="14"/>
      <c r="AT566" s="14"/>
      <c r="AU566" s="14"/>
      <c r="AV566" s="14"/>
      <c r="AW566" s="14"/>
    </row>
    <row r="567" spans="1:49" ht="14">
      <c r="A567" s="133">
        <v>2018</v>
      </c>
      <c r="B567" s="143" t="s">
        <v>80</v>
      </c>
      <c r="C567" s="29" t="s">
        <v>2290</v>
      </c>
      <c r="D567" s="29" t="s">
        <v>2707</v>
      </c>
      <c r="E567" s="29" t="e">
        <v>#N/A</v>
      </c>
      <c r="F567" s="29"/>
      <c r="G567" s="29">
        <f>COUNTIF(Stakeholders!$E$2:$E960,F567)</f>
        <v>0</v>
      </c>
      <c r="H567" s="29" t="s">
        <v>2708</v>
      </c>
      <c r="I567" s="151" t="s">
        <v>2709</v>
      </c>
      <c r="J567" s="29" t="s">
        <v>67</v>
      </c>
      <c r="K567" s="29"/>
      <c r="L567" s="29"/>
      <c r="M567" s="29"/>
      <c r="N567" s="29"/>
      <c r="O567" s="29"/>
      <c r="P567" s="29"/>
      <c r="Q567" s="29"/>
      <c r="R567" s="29"/>
      <c r="S567" s="29"/>
      <c r="T567" s="29"/>
      <c r="U567" s="29"/>
      <c r="V567" s="29"/>
      <c r="W567" s="29" t="s">
        <v>67</v>
      </c>
      <c r="X567" s="29"/>
      <c r="Y567" s="29"/>
      <c r="Z567" s="29"/>
      <c r="AA567" s="153"/>
      <c r="AB567" s="29" t="s">
        <v>1752</v>
      </c>
      <c r="AC567" s="136">
        <v>44219</v>
      </c>
      <c r="AD567" s="29" t="s">
        <v>704</v>
      </c>
      <c r="AE567" s="34" t="e">
        <f>VLOOKUP(F567,Stakeholders!E:K,7,0)</f>
        <v>#N/A</v>
      </c>
      <c r="AF567" s="29"/>
      <c r="AG567" s="29"/>
      <c r="AH567" s="34" t="s">
        <v>82</v>
      </c>
      <c r="AI567" s="29"/>
      <c r="AJ567" s="29"/>
      <c r="AK567" s="29"/>
      <c r="AL567" s="29"/>
      <c r="AM567" s="29"/>
      <c r="AN567" s="29"/>
      <c r="AO567" s="29"/>
      <c r="AP567" s="29"/>
      <c r="AQ567" s="29"/>
      <c r="AR567" s="29"/>
      <c r="AS567" s="29"/>
      <c r="AT567" s="29"/>
      <c r="AU567" s="29"/>
      <c r="AV567" s="29"/>
      <c r="AW567" s="29"/>
    </row>
    <row r="568" spans="1:49" ht="14">
      <c r="A568" s="132">
        <v>2019</v>
      </c>
      <c r="B568" s="140" t="s">
        <v>80</v>
      </c>
      <c r="C568" s="14" t="s">
        <v>2710</v>
      </c>
      <c r="D568" s="14" t="s">
        <v>2711</v>
      </c>
      <c r="E568" s="14" t="e">
        <v>#N/A</v>
      </c>
      <c r="F568" s="14"/>
      <c r="G568" s="14">
        <f>COUNTIF(Stakeholders!$E$2:$E960,F568)</f>
        <v>0</v>
      </c>
      <c r="H568" s="14" t="s">
        <v>2712</v>
      </c>
      <c r="I568" s="152" t="s">
        <v>2713</v>
      </c>
      <c r="J568" s="14" t="s">
        <v>67</v>
      </c>
      <c r="K568" s="14"/>
      <c r="L568" s="14"/>
      <c r="M568" s="14"/>
      <c r="N568" s="14"/>
      <c r="O568" s="14"/>
      <c r="P568" s="14"/>
      <c r="Q568" s="14"/>
      <c r="R568" s="14"/>
      <c r="S568" s="14"/>
      <c r="T568" s="14"/>
      <c r="U568" s="14"/>
      <c r="V568" s="14"/>
      <c r="W568" s="14" t="s">
        <v>67</v>
      </c>
      <c r="X568" s="14"/>
      <c r="Y568" s="14"/>
      <c r="Z568" s="14"/>
      <c r="AA568" s="14"/>
      <c r="AB568" s="14" t="s">
        <v>1752</v>
      </c>
      <c r="AC568" s="135">
        <v>44220</v>
      </c>
      <c r="AD568" s="14" t="s">
        <v>1480</v>
      </c>
      <c r="AE568" s="24" t="e">
        <f>VLOOKUP(F568,Stakeholders!E:K,7,0)</f>
        <v>#N/A</v>
      </c>
      <c r="AF568" s="14"/>
      <c r="AG568" s="14"/>
      <c r="AH568" s="24" t="s">
        <v>82</v>
      </c>
      <c r="AI568" s="14"/>
      <c r="AJ568" s="14"/>
      <c r="AK568" s="14"/>
      <c r="AL568" s="14"/>
      <c r="AM568" s="14"/>
      <c r="AN568" s="14"/>
      <c r="AO568" s="14"/>
      <c r="AP568" s="14"/>
      <c r="AQ568" s="14"/>
      <c r="AR568" s="14"/>
      <c r="AS568" s="14"/>
      <c r="AT568" s="14"/>
      <c r="AU568" s="14"/>
      <c r="AV568" s="14"/>
      <c r="AW568" s="14"/>
    </row>
    <row r="569" spans="1:49" ht="14">
      <c r="A569" s="133">
        <v>2019</v>
      </c>
      <c r="B569" s="143" t="s">
        <v>80</v>
      </c>
      <c r="C569" s="29" t="s">
        <v>2264</v>
      </c>
      <c r="D569" s="29" t="s">
        <v>2714</v>
      </c>
      <c r="E569" s="29" t="e">
        <v>#N/A</v>
      </c>
      <c r="F569" s="29"/>
      <c r="G569" s="29">
        <f>COUNTIF(Stakeholders!$E$2:$E960,F569)</f>
        <v>0</v>
      </c>
      <c r="H569" s="29" t="s">
        <v>2715</v>
      </c>
      <c r="I569" s="151" t="s">
        <v>2716</v>
      </c>
      <c r="J569" s="29" t="s">
        <v>67</v>
      </c>
      <c r="K569" s="29"/>
      <c r="L569" s="29"/>
      <c r="M569" s="29"/>
      <c r="N569" s="29"/>
      <c r="O569" s="29"/>
      <c r="P569" s="29"/>
      <c r="Q569" s="29"/>
      <c r="R569" s="29"/>
      <c r="S569" s="29"/>
      <c r="T569" s="29"/>
      <c r="U569" s="29"/>
      <c r="V569" s="29"/>
      <c r="W569" s="29" t="s">
        <v>67</v>
      </c>
      <c r="X569" s="29"/>
      <c r="Y569" s="29"/>
      <c r="Z569" s="29"/>
      <c r="AA569" s="153"/>
      <c r="AB569" s="29" t="s">
        <v>1752</v>
      </c>
      <c r="AC569" s="136">
        <v>44221</v>
      </c>
      <c r="AD569" s="29" t="s">
        <v>1481</v>
      </c>
      <c r="AE569" s="34" t="e">
        <f>VLOOKUP(F569,Stakeholders!E:K,7,0)</f>
        <v>#N/A</v>
      </c>
      <c r="AF569" s="29"/>
      <c r="AG569" s="29"/>
      <c r="AH569" s="34" t="s">
        <v>82</v>
      </c>
      <c r="AI569" s="29"/>
      <c r="AJ569" s="29"/>
      <c r="AK569" s="29"/>
      <c r="AL569" s="29"/>
      <c r="AM569" s="29"/>
      <c r="AN569" s="29"/>
      <c r="AO569" s="29"/>
      <c r="AP569" s="29"/>
      <c r="AQ569" s="29"/>
      <c r="AR569" s="29"/>
      <c r="AS569" s="29"/>
      <c r="AT569" s="29"/>
      <c r="AU569" s="29"/>
      <c r="AV569" s="29"/>
      <c r="AW569" s="29"/>
    </row>
    <row r="570" spans="1:49" ht="14">
      <c r="A570" s="14" t="s">
        <v>2717</v>
      </c>
      <c r="B570" s="140" t="s">
        <v>80</v>
      </c>
      <c r="C570" s="14" t="s">
        <v>2273</v>
      </c>
      <c r="D570" s="14" t="s">
        <v>2273</v>
      </c>
      <c r="E570" s="14" t="e">
        <v>#N/A</v>
      </c>
      <c r="F570" s="14"/>
      <c r="G570" s="14">
        <f>COUNTIF(Stakeholders!$E$2:$E960,F570)</f>
        <v>0</v>
      </c>
      <c r="H570" s="14" t="s">
        <v>2718</v>
      </c>
      <c r="I570" s="152" t="s">
        <v>2719</v>
      </c>
      <c r="J570" s="14" t="s">
        <v>67</v>
      </c>
      <c r="K570" s="14"/>
      <c r="L570" s="14"/>
      <c r="M570" s="14"/>
      <c r="N570" s="14"/>
      <c r="O570" s="14"/>
      <c r="P570" s="14"/>
      <c r="Q570" s="14"/>
      <c r="R570" s="14"/>
      <c r="S570" s="14"/>
      <c r="T570" s="14"/>
      <c r="U570" s="14"/>
      <c r="V570" s="14"/>
      <c r="W570" s="14" t="s">
        <v>67</v>
      </c>
      <c r="X570" s="14"/>
      <c r="Y570" s="14"/>
      <c r="Z570" s="14"/>
      <c r="AA570" s="14"/>
      <c r="AB570" s="14" t="s">
        <v>1752</v>
      </c>
      <c r="AC570" s="135">
        <v>44222</v>
      </c>
      <c r="AD570" s="14" t="s">
        <v>1482</v>
      </c>
      <c r="AE570" s="24" t="e">
        <f>VLOOKUP(F570,Stakeholders!E:K,7,0)</f>
        <v>#N/A</v>
      </c>
      <c r="AF570" s="14"/>
      <c r="AG570" s="14"/>
      <c r="AH570" s="24" t="s">
        <v>82</v>
      </c>
      <c r="AI570" s="14"/>
      <c r="AJ570" s="14"/>
      <c r="AK570" s="14"/>
      <c r="AL570" s="14"/>
      <c r="AM570" s="14"/>
      <c r="AN570" s="14"/>
      <c r="AO570" s="14"/>
      <c r="AP570" s="14"/>
      <c r="AQ570" s="14"/>
      <c r="AR570" s="14"/>
      <c r="AS570" s="14"/>
      <c r="AT570" s="14"/>
      <c r="AU570" s="14"/>
      <c r="AV570" s="14"/>
      <c r="AW570" s="14"/>
    </row>
    <row r="571" spans="1:49" ht="13">
      <c r="A571" s="133">
        <v>2010</v>
      </c>
      <c r="B571" s="37" t="s">
        <v>69</v>
      </c>
      <c r="C571" s="29" t="s">
        <v>2159</v>
      </c>
      <c r="D571" s="29" t="s">
        <v>2159</v>
      </c>
      <c r="E571" s="29" t="e">
        <v>#N/A</v>
      </c>
      <c r="F571" s="29"/>
      <c r="G571" s="29">
        <f>COUNTIF(Stakeholders!$E$2:$E960,F571)</f>
        <v>0</v>
      </c>
      <c r="H571" s="29" t="s">
        <v>2720</v>
      </c>
      <c r="I571" s="151" t="s">
        <v>2721</v>
      </c>
      <c r="J571" s="29" t="s">
        <v>67</v>
      </c>
      <c r="K571" s="29"/>
      <c r="L571" s="29"/>
      <c r="M571" s="29"/>
      <c r="N571" s="29"/>
      <c r="O571" s="29"/>
      <c r="P571" s="29"/>
      <c r="Q571" s="29"/>
      <c r="R571" s="29"/>
      <c r="S571" s="29"/>
      <c r="T571" s="29"/>
      <c r="U571" s="29"/>
      <c r="V571" s="29"/>
      <c r="W571" s="29" t="s">
        <v>67</v>
      </c>
      <c r="X571" s="29"/>
      <c r="Y571" s="29"/>
      <c r="Z571" s="29"/>
      <c r="AA571" s="153"/>
      <c r="AB571" s="29" t="s">
        <v>1752</v>
      </c>
      <c r="AC571" s="136">
        <v>44223</v>
      </c>
      <c r="AD571" s="29" t="s">
        <v>1483</v>
      </c>
      <c r="AE571" s="34" t="e">
        <f>VLOOKUP(F571,Stakeholders!E:K,7,0)</f>
        <v>#N/A</v>
      </c>
      <c r="AF571" s="29"/>
      <c r="AG571" s="29"/>
      <c r="AH571" s="34" t="s">
        <v>82</v>
      </c>
      <c r="AI571" s="29"/>
      <c r="AJ571" s="29"/>
      <c r="AK571" s="29"/>
      <c r="AL571" s="29"/>
      <c r="AM571" s="29"/>
      <c r="AN571" s="29"/>
      <c r="AO571" s="29"/>
      <c r="AP571" s="29"/>
      <c r="AQ571" s="29"/>
      <c r="AR571" s="29"/>
      <c r="AS571" s="29"/>
      <c r="AT571" s="29"/>
      <c r="AU571" s="29"/>
      <c r="AV571" s="29"/>
      <c r="AW571" s="29"/>
    </row>
    <row r="572" spans="1:49" ht="13">
      <c r="A572" s="132">
        <v>2014</v>
      </c>
      <c r="B572" s="39" t="s">
        <v>69</v>
      </c>
      <c r="C572" s="14" t="s">
        <v>2159</v>
      </c>
      <c r="D572" s="14" t="s">
        <v>2159</v>
      </c>
      <c r="E572" s="14" t="e">
        <v>#N/A</v>
      </c>
      <c r="F572" s="14"/>
      <c r="G572" s="14">
        <f>COUNTIF(Stakeholders!$E$2:$E960,F572)</f>
        <v>0</v>
      </c>
      <c r="H572" s="14" t="s">
        <v>2722</v>
      </c>
      <c r="I572" s="152" t="s">
        <v>2723</v>
      </c>
      <c r="J572" s="14" t="s">
        <v>67</v>
      </c>
      <c r="K572" s="14"/>
      <c r="L572" s="14"/>
      <c r="M572" s="14"/>
      <c r="N572" s="14"/>
      <c r="O572" s="14"/>
      <c r="P572" s="14"/>
      <c r="Q572" s="14"/>
      <c r="R572" s="14"/>
      <c r="S572" s="14"/>
      <c r="T572" s="14"/>
      <c r="U572" s="14"/>
      <c r="V572" s="14"/>
      <c r="W572" s="14" t="s">
        <v>67</v>
      </c>
      <c r="X572" s="14"/>
      <c r="Y572" s="14"/>
      <c r="Z572" s="14"/>
      <c r="AA572" s="154"/>
      <c r="AB572" s="14" t="s">
        <v>1752</v>
      </c>
      <c r="AC572" s="135">
        <v>44224</v>
      </c>
      <c r="AD572" s="14" t="s">
        <v>1484</v>
      </c>
      <c r="AE572" s="24" t="e">
        <f>VLOOKUP(F572,Stakeholders!E:K,7,0)</f>
        <v>#N/A</v>
      </c>
      <c r="AF572" s="14"/>
      <c r="AG572" s="14"/>
      <c r="AH572" s="24" t="s">
        <v>82</v>
      </c>
      <c r="AI572" s="14"/>
      <c r="AJ572" s="14"/>
      <c r="AK572" s="14"/>
      <c r="AL572" s="14"/>
      <c r="AM572" s="14"/>
      <c r="AN572" s="14"/>
      <c r="AO572" s="14"/>
      <c r="AP572" s="14"/>
      <c r="AQ572" s="14"/>
      <c r="AR572" s="14"/>
      <c r="AS572" s="14"/>
      <c r="AT572" s="14"/>
      <c r="AU572" s="14"/>
      <c r="AV572" s="14"/>
      <c r="AW572" s="14"/>
    </row>
    <row r="573" spans="1:49" ht="13">
      <c r="A573" s="133">
        <v>2010</v>
      </c>
      <c r="B573" s="37" t="s">
        <v>69</v>
      </c>
      <c r="C573" s="29" t="s">
        <v>2224</v>
      </c>
      <c r="D573" s="29" t="s">
        <v>2224</v>
      </c>
      <c r="E573" s="29" t="e">
        <v>#N/A</v>
      </c>
      <c r="F573" s="29"/>
      <c r="G573" s="29">
        <f>COUNTIF(Stakeholders!$E$2:$E960,F573)</f>
        <v>0</v>
      </c>
      <c r="H573" s="29" t="s">
        <v>2724</v>
      </c>
      <c r="I573" s="151" t="s">
        <v>2725</v>
      </c>
      <c r="J573" s="29" t="s">
        <v>67</v>
      </c>
      <c r="K573" s="29"/>
      <c r="L573" s="29"/>
      <c r="M573" s="29"/>
      <c r="N573" s="29"/>
      <c r="O573" s="29"/>
      <c r="P573" s="29"/>
      <c r="Q573" s="29"/>
      <c r="R573" s="29"/>
      <c r="S573" s="29"/>
      <c r="T573" s="29"/>
      <c r="U573" s="29"/>
      <c r="V573" s="29"/>
      <c r="W573" s="29" t="s">
        <v>67</v>
      </c>
      <c r="X573" s="29"/>
      <c r="Y573" s="29"/>
      <c r="Z573" s="29"/>
      <c r="AA573" s="29"/>
      <c r="AB573" s="29" t="s">
        <v>1752</v>
      </c>
      <c r="AC573" s="136">
        <v>44225</v>
      </c>
      <c r="AD573" s="29" t="s">
        <v>1485</v>
      </c>
      <c r="AE573" s="34" t="e">
        <f>VLOOKUP(F573,Stakeholders!E:K,7,0)</f>
        <v>#N/A</v>
      </c>
      <c r="AF573" s="29"/>
      <c r="AG573" s="29"/>
      <c r="AH573" s="34" t="s">
        <v>82</v>
      </c>
      <c r="AI573" s="29"/>
      <c r="AJ573" s="29"/>
      <c r="AK573" s="29"/>
      <c r="AL573" s="29"/>
      <c r="AM573" s="29"/>
      <c r="AN573" s="29"/>
      <c r="AO573" s="29"/>
      <c r="AP573" s="29"/>
      <c r="AQ573" s="29"/>
      <c r="AR573" s="29"/>
      <c r="AS573" s="29"/>
      <c r="AT573" s="29"/>
      <c r="AU573" s="29"/>
      <c r="AV573" s="29"/>
      <c r="AW573" s="29"/>
    </row>
    <row r="574" spans="1:49" ht="13">
      <c r="A574" s="132">
        <v>2008</v>
      </c>
      <c r="B574" s="39" t="s">
        <v>69</v>
      </c>
      <c r="C574" s="14" t="s">
        <v>2224</v>
      </c>
      <c r="D574" s="14" t="s">
        <v>2224</v>
      </c>
      <c r="E574" s="14" t="e">
        <v>#N/A</v>
      </c>
      <c r="F574" s="14"/>
      <c r="G574" s="14">
        <f>COUNTIF(Stakeholders!$E$2:$E960,F574)</f>
        <v>0</v>
      </c>
      <c r="H574" s="14" t="s">
        <v>2726</v>
      </c>
      <c r="I574" s="152" t="s">
        <v>2727</v>
      </c>
      <c r="J574" s="14" t="s">
        <v>67</v>
      </c>
      <c r="K574" s="14"/>
      <c r="L574" s="14"/>
      <c r="M574" s="14"/>
      <c r="N574" s="14"/>
      <c r="O574" s="14"/>
      <c r="P574" s="14"/>
      <c r="Q574" s="14"/>
      <c r="R574" s="14"/>
      <c r="S574" s="14"/>
      <c r="T574" s="14"/>
      <c r="U574" s="14"/>
      <c r="V574" s="14"/>
      <c r="W574" s="14" t="s">
        <v>67</v>
      </c>
      <c r="X574" s="14"/>
      <c r="Y574" s="14"/>
      <c r="Z574" s="14"/>
      <c r="AA574" s="14"/>
      <c r="AB574" s="14" t="s">
        <v>1752</v>
      </c>
      <c r="AC574" s="135">
        <v>44226</v>
      </c>
      <c r="AD574" s="14" t="s">
        <v>1486</v>
      </c>
      <c r="AE574" s="24" t="e">
        <f>VLOOKUP(F574,Stakeholders!E:K,7,0)</f>
        <v>#N/A</v>
      </c>
      <c r="AF574" s="14"/>
      <c r="AG574" s="14"/>
      <c r="AH574" s="24" t="s">
        <v>82</v>
      </c>
      <c r="AI574" s="14"/>
      <c r="AJ574" s="14"/>
      <c r="AK574" s="14"/>
      <c r="AL574" s="14"/>
      <c r="AM574" s="14"/>
      <c r="AN574" s="14"/>
      <c r="AO574" s="14"/>
      <c r="AP574" s="14"/>
      <c r="AQ574" s="14"/>
      <c r="AR574" s="14"/>
      <c r="AS574" s="14"/>
      <c r="AT574" s="14"/>
      <c r="AU574" s="14"/>
      <c r="AV574" s="14"/>
      <c r="AW574" s="14"/>
    </row>
    <row r="575" spans="1:49" ht="13">
      <c r="A575" s="133">
        <v>2015</v>
      </c>
      <c r="B575" s="37" t="s">
        <v>69</v>
      </c>
      <c r="C575" s="29" t="s">
        <v>2224</v>
      </c>
      <c r="D575" s="29" t="s">
        <v>2224</v>
      </c>
      <c r="E575" s="29" t="e">
        <v>#N/A</v>
      </c>
      <c r="F575" s="29"/>
      <c r="G575" s="29">
        <f>COUNTIF(Stakeholders!$E$2:$E960,F575)</f>
        <v>0</v>
      </c>
      <c r="H575" s="29" t="s">
        <v>2728</v>
      </c>
      <c r="I575" s="151" t="s">
        <v>2729</v>
      </c>
      <c r="J575" s="29" t="s">
        <v>67</v>
      </c>
      <c r="K575" s="29"/>
      <c r="L575" s="29"/>
      <c r="M575" s="29"/>
      <c r="N575" s="29"/>
      <c r="O575" s="29"/>
      <c r="P575" s="29"/>
      <c r="Q575" s="29"/>
      <c r="R575" s="29"/>
      <c r="S575" s="29"/>
      <c r="T575" s="29"/>
      <c r="U575" s="29"/>
      <c r="V575" s="29"/>
      <c r="W575" s="29" t="s">
        <v>67</v>
      </c>
      <c r="X575" s="29"/>
      <c r="Y575" s="29"/>
      <c r="Z575" s="29"/>
      <c r="AA575" s="29"/>
      <c r="AB575" s="29" t="s">
        <v>1752</v>
      </c>
      <c r="AC575" s="136">
        <v>44227</v>
      </c>
      <c r="AD575" s="29" t="s">
        <v>1489</v>
      </c>
      <c r="AE575" s="34" t="e">
        <f>VLOOKUP(F575,Stakeholders!E:K,7,0)</f>
        <v>#N/A</v>
      </c>
      <c r="AF575" s="29"/>
      <c r="AG575" s="29"/>
      <c r="AH575" s="34" t="s">
        <v>82</v>
      </c>
      <c r="AI575" s="29"/>
      <c r="AJ575" s="29"/>
      <c r="AK575" s="29"/>
      <c r="AL575" s="29"/>
      <c r="AM575" s="29"/>
      <c r="AN575" s="29"/>
      <c r="AO575" s="29"/>
      <c r="AP575" s="29"/>
      <c r="AQ575" s="29"/>
      <c r="AR575" s="29"/>
      <c r="AS575" s="29"/>
      <c r="AT575" s="29"/>
      <c r="AU575" s="29"/>
      <c r="AV575" s="29"/>
      <c r="AW575" s="29"/>
    </row>
    <row r="576" spans="1:49" ht="13">
      <c r="A576" s="132">
        <v>2008</v>
      </c>
      <c r="B576" s="39" t="s">
        <v>69</v>
      </c>
      <c r="C576" s="14" t="s">
        <v>2730</v>
      </c>
      <c r="D576" s="14" t="s">
        <v>2224</v>
      </c>
      <c r="E576" s="14" t="e">
        <v>#N/A</v>
      </c>
      <c r="F576" s="14"/>
      <c r="G576" s="14">
        <f>COUNTIF(Stakeholders!$E$2:$E960,F576)</f>
        <v>0</v>
      </c>
      <c r="H576" s="14" t="s">
        <v>2731</v>
      </c>
      <c r="I576" s="152" t="s">
        <v>2732</v>
      </c>
      <c r="J576" s="14" t="s">
        <v>67</v>
      </c>
      <c r="K576" s="14"/>
      <c r="L576" s="14"/>
      <c r="M576" s="14"/>
      <c r="N576" s="14"/>
      <c r="O576" s="14"/>
      <c r="P576" s="14"/>
      <c r="Q576" s="14"/>
      <c r="R576" s="14"/>
      <c r="S576" s="14"/>
      <c r="T576" s="14"/>
      <c r="U576" s="14"/>
      <c r="V576" s="14"/>
      <c r="W576" s="14" t="s">
        <v>67</v>
      </c>
      <c r="X576" s="14"/>
      <c r="Y576" s="14"/>
      <c r="Z576" s="14"/>
      <c r="AA576" s="154"/>
      <c r="AB576" s="14" t="s">
        <v>1752</v>
      </c>
      <c r="AC576" s="135">
        <v>44228</v>
      </c>
      <c r="AD576" s="14" t="s">
        <v>1490</v>
      </c>
      <c r="AE576" s="24" t="e">
        <f>VLOOKUP(F576,Stakeholders!E:K,7,0)</f>
        <v>#N/A</v>
      </c>
      <c r="AF576" s="14"/>
      <c r="AG576" s="14"/>
      <c r="AH576" s="24" t="s">
        <v>82</v>
      </c>
      <c r="AI576" s="14"/>
      <c r="AJ576" s="14"/>
      <c r="AK576" s="14"/>
      <c r="AL576" s="14"/>
      <c r="AM576" s="14"/>
      <c r="AN576" s="14"/>
      <c r="AO576" s="14"/>
      <c r="AP576" s="14"/>
      <c r="AQ576" s="14"/>
      <c r="AR576" s="14"/>
      <c r="AS576" s="14"/>
      <c r="AT576" s="14"/>
      <c r="AU576" s="14"/>
      <c r="AV576" s="14"/>
      <c r="AW576" s="14"/>
    </row>
    <row r="577" spans="1:49" ht="13">
      <c r="A577" s="133">
        <v>2000</v>
      </c>
      <c r="B577" s="37" t="s">
        <v>69</v>
      </c>
      <c r="C577" s="29" t="s">
        <v>273</v>
      </c>
      <c r="D577" s="29" t="s">
        <v>2130</v>
      </c>
      <c r="E577" s="29" t="e">
        <v>#N/A</v>
      </c>
      <c r="F577" s="29"/>
      <c r="G577" s="29">
        <f>COUNTIF(Stakeholders!$E$2:$E960,F577)</f>
        <v>0</v>
      </c>
      <c r="H577" s="29" t="s">
        <v>2733</v>
      </c>
      <c r="I577" s="151" t="s">
        <v>2734</v>
      </c>
      <c r="J577" s="29" t="s">
        <v>67</v>
      </c>
      <c r="K577" s="29"/>
      <c r="L577" s="29"/>
      <c r="M577" s="29"/>
      <c r="N577" s="29"/>
      <c r="O577" s="29"/>
      <c r="P577" s="29"/>
      <c r="Q577" s="29"/>
      <c r="R577" s="29"/>
      <c r="S577" s="29"/>
      <c r="T577" s="29"/>
      <c r="U577" s="29"/>
      <c r="V577" s="29"/>
      <c r="W577" s="29" t="s">
        <v>67</v>
      </c>
      <c r="X577" s="29"/>
      <c r="Y577" s="29"/>
      <c r="Z577" s="29"/>
      <c r="AA577" s="153"/>
      <c r="AB577" s="29" t="s">
        <v>1752</v>
      </c>
      <c r="AC577" s="136">
        <v>44229</v>
      </c>
      <c r="AD577" s="29" t="s">
        <v>1491</v>
      </c>
      <c r="AE577" s="34" t="e">
        <f>VLOOKUP(F577,Stakeholders!E:K,7,0)</f>
        <v>#N/A</v>
      </c>
      <c r="AF577" s="29"/>
      <c r="AG577" s="29"/>
      <c r="AH577" s="34" t="s">
        <v>82</v>
      </c>
      <c r="AI577" s="29"/>
      <c r="AJ577" s="29"/>
      <c r="AK577" s="29"/>
      <c r="AL577" s="29"/>
      <c r="AM577" s="29"/>
      <c r="AN577" s="29"/>
      <c r="AO577" s="29"/>
      <c r="AP577" s="29"/>
      <c r="AQ577" s="29"/>
      <c r="AR577" s="29"/>
      <c r="AS577" s="29"/>
      <c r="AT577" s="29"/>
      <c r="AU577" s="29"/>
      <c r="AV577" s="29"/>
      <c r="AW577" s="29"/>
    </row>
    <row r="578" spans="1:49" ht="13">
      <c r="A578" s="132">
        <v>2002</v>
      </c>
      <c r="B578" s="39" t="s">
        <v>69</v>
      </c>
      <c r="C578" s="14" t="s">
        <v>273</v>
      </c>
      <c r="D578" s="14" t="s">
        <v>2130</v>
      </c>
      <c r="E578" s="14" t="e">
        <v>#N/A</v>
      </c>
      <c r="F578" s="14"/>
      <c r="G578" s="14">
        <f>COUNTIF(Stakeholders!$E$2:$E960,F578)</f>
        <v>0</v>
      </c>
      <c r="H578" s="14" t="s">
        <v>2735</v>
      </c>
      <c r="I578" s="152" t="s">
        <v>2736</v>
      </c>
      <c r="J578" s="14" t="s">
        <v>67</v>
      </c>
      <c r="K578" s="14"/>
      <c r="L578" s="14"/>
      <c r="M578" s="14"/>
      <c r="N578" s="14"/>
      <c r="O578" s="14"/>
      <c r="P578" s="14"/>
      <c r="Q578" s="14"/>
      <c r="R578" s="14"/>
      <c r="S578" s="14"/>
      <c r="T578" s="14"/>
      <c r="U578" s="14"/>
      <c r="V578" s="14"/>
      <c r="W578" s="14" t="s">
        <v>67</v>
      </c>
      <c r="X578" s="14"/>
      <c r="Y578" s="14"/>
      <c r="Z578" s="14"/>
      <c r="AA578" s="14"/>
      <c r="AB578" s="14" t="s">
        <v>1752</v>
      </c>
      <c r="AC578" s="135">
        <v>44230</v>
      </c>
      <c r="AD578" s="14" t="s">
        <v>1492</v>
      </c>
      <c r="AE578" s="24" t="e">
        <f>VLOOKUP(F578,Stakeholders!E:K,7,0)</f>
        <v>#N/A</v>
      </c>
      <c r="AF578" s="14"/>
      <c r="AG578" s="14"/>
      <c r="AH578" s="24" t="s">
        <v>82</v>
      </c>
      <c r="AI578" s="14"/>
      <c r="AJ578" s="14"/>
      <c r="AK578" s="14"/>
      <c r="AL578" s="14"/>
      <c r="AM578" s="14"/>
      <c r="AN578" s="14"/>
      <c r="AO578" s="14"/>
      <c r="AP578" s="14"/>
      <c r="AQ578" s="14"/>
      <c r="AR578" s="14"/>
      <c r="AS578" s="14"/>
      <c r="AT578" s="14"/>
      <c r="AU578" s="14"/>
      <c r="AV578" s="14"/>
      <c r="AW578" s="14"/>
    </row>
    <row r="579" spans="1:49" ht="13">
      <c r="A579" s="133">
        <v>2008</v>
      </c>
      <c r="B579" s="37" t="s">
        <v>69</v>
      </c>
      <c r="C579" s="29" t="s">
        <v>2197</v>
      </c>
      <c r="D579" s="29" t="s">
        <v>2197</v>
      </c>
      <c r="E579" s="29" t="e">
        <v>#N/A</v>
      </c>
      <c r="F579" s="29"/>
      <c r="G579" s="29">
        <f>COUNTIF(Stakeholders!$E$2:$E960,F579)</f>
        <v>0</v>
      </c>
      <c r="H579" s="29" t="s">
        <v>2737</v>
      </c>
      <c r="I579" s="151" t="s">
        <v>2738</v>
      </c>
      <c r="J579" s="29" t="s">
        <v>67</v>
      </c>
      <c r="K579" s="29"/>
      <c r="L579" s="29"/>
      <c r="M579" s="29"/>
      <c r="N579" s="29"/>
      <c r="O579" s="29"/>
      <c r="P579" s="29"/>
      <c r="Q579" s="29"/>
      <c r="R579" s="29"/>
      <c r="S579" s="29"/>
      <c r="T579" s="29"/>
      <c r="U579" s="29"/>
      <c r="V579" s="29"/>
      <c r="W579" s="29" t="s">
        <v>67</v>
      </c>
      <c r="X579" s="29"/>
      <c r="Y579" s="29"/>
      <c r="Z579" s="29"/>
      <c r="AA579" s="29"/>
      <c r="AB579" s="29" t="s">
        <v>1752</v>
      </c>
      <c r="AC579" s="136">
        <v>44231</v>
      </c>
      <c r="AD579" s="29" t="s">
        <v>1493</v>
      </c>
      <c r="AE579" s="34" t="e">
        <f>VLOOKUP(F579,Stakeholders!E:K,7,0)</f>
        <v>#N/A</v>
      </c>
      <c r="AF579" s="29"/>
      <c r="AG579" s="29"/>
      <c r="AH579" s="34" t="s">
        <v>82</v>
      </c>
      <c r="AI579" s="29"/>
      <c r="AJ579" s="29"/>
      <c r="AK579" s="29"/>
      <c r="AL579" s="29"/>
      <c r="AM579" s="29"/>
      <c r="AN579" s="29"/>
      <c r="AO579" s="29"/>
      <c r="AP579" s="29"/>
      <c r="AQ579" s="29"/>
      <c r="AR579" s="29"/>
      <c r="AS579" s="29"/>
      <c r="AT579" s="29"/>
      <c r="AU579" s="29"/>
      <c r="AV579" s="29"/>
      <c r="AW579" s="29"/>
    </row>
    <row r="580" spans="1:49" ht="13">
      <c r="A580" s="132">
        <v>2012</v>
      </c>
      <c r="B580" s="39" t="s">
        <v>69</v>
      </c>
      <c r="C580" s="14" t="s">
        <v>2109</v>
      </c>
      <c r="D580" s="14" t="s">
        <v>2110</v>
      </c>
      <c r="E580" s="14" t="e">
        <v>#N/A</v>
      </c>
      <c r="F580" s="14"/>
      <c r="G580" s="14">
        <f>COUNTIF(Stakeholders!$E$2:$E960,F580)</f>
        <v>0</v>
      </c>
      <c r="H580" s="14" t="s">
        <v>2739</v>
      </c>
      <c r="I580" s="152" t="s">
        <v>2740</v>
      </c>
      <c r="J580" s="14" t="s">
        <v>67</v>
      </c>
      <c r="K580" s="14"/>
      <c r="L580" s="14"/>
      <c r="M580" s="14"/>
      <c r="N580" s="14"/>
      <c r="O580" s="14"/>
      <c r="P580" s="14"/>
      <c r="Q580" s="14"/>
      <c r="R580" s="14"/>
      <c r="S580" s="14"/>
      <c r="T580" s="14"/>
      <c r="U580" s="14"/>
      <c r="V580" s="14"/>
      <c r="W580" s="14" t="s">
        <v>67</v>
      </c>
      <c r="X580" s="14"/>
      <c r="Y580" s="14"/>
      <c r="Z580" s="14"/>
      <c r="AA580" s="14"/>
      <c r="AB580" s="14" t="s">
        <v>1752</v>
      </c>
      <c r="AC580" s="135">
        <v>44232</v>
      </c>
      <c r="AD580" s="14" t="s">
        <v>1494</v>
      </c>
      <c r="AE580" s="24" t="e">
        <f>VLOOKUP(F580,Stakeholders!E:K,7,0)</f>
        <v>#N/A</v>
      </c>
      <c r="AF580" s="14"/>
      <c r="AG580" s="14"/>
      <c r="AH580" s="24" t="s">
        <v>82</v>
      </c>
      <c r="AI580" s="14"/>
      <c r="AJ580" s="14"/>
      <c r="AK580" s="14"/>
      <c r="AL580" s="14"/>
      <c r="AM580" s="14"/>
      <c r="AN580" s="14"/>
      <c r="AO580" s="14"/>
      <c r="AP580" s="14"/>
      <c r="AQ580" s="14"/>
      <c r="AR580" s="14"/>
      <c r="AS580" s="14"/>
      <c r="AT580" s="14"/>
      <c r="AU580" s="14"/>
      <c r="AV580" s="14"/>
      <c r="AW580" s="14"/>
    </row>
    <row r="581" spans="1:49" ht="13">
      <c r="A581" s="133">
        <v>2014</v>
      </c>
      <c r="B581" s="37" t="s">
        <v>69</v>
      </c>
      <c r="C581" s="29" t="s">
        <v>2113</v>
      </c>
      <c r="D581" s="29" t="s">
        <v>2741</v>
      </c>
      <c r="E581" s="29" t="e">
        <v>#N/A</v>
      </c>
      <c r="F581" s="29"/>
      <c r="G581" s="29">
        <f>COUNTIF(Stakeholders!$E$2:$E960,F581)</f>
        <v>0</v>
      </c>
      <c r="H581" s="29" t="s">
        <v>2742</v>
      </c>
      <c r="I581" s="151" t="s">
        <v>2743</v>
      </c>
      <c r="J581" s="29" t="s">
        <v>67</v>
      </c>
      <c r="K581" s="29"/>
      <c r="L581" s="29"/>
      <c r="M581" s="29"/>
      <c r="N581" s="29"/>
      <c r="O581" s="29"/>
      <c r="P581" s="29"/>
      <c r="Q581" s="29"/>
      <c r="R581" s="29"/>
      <c r="S581" s="29"/>
      <c r="T581" s="29"/>
      <c r="U581" s="29"/>
      <c r="V581" s="29"/>
      <c r="W581" s="29" t="s">
        <v>67</v>
      </c>
      <c r="X581" s="29"/>
      <c r="Y581" s="29"/>
      <c r="Z581" s="29"/>
      <c r="AA581" s="29"/>
      <c r="AB581" s="29" t="s">
        <v>1752</v>
      </c>
      <c r="AC581" s="136">
        <v>44233</v>
      </c>
      <c r="AD581" s="29" t="s">
        <v>1495</v>
      </c>
      <c r="AE581" s="34" t="e">
        <f>VLOOKUP(F581,Stakeholders!E:K,7,0)</f>
        <v>#N/A</v>
      </c>
      <c r="AF581" s="29"/>
      <c r="AG581" s="29"/>
      <c r="AH581" s="34" t="s">
        <v>82</v>
      </c>
      <c r="AI581" s="29"/>
      <c r="AJ581" s="29"/>
      <c r="AK581" s="29"/>
      <c r="AL581" s="29"/>
      <c r="AM581" s="29"/>
      <c r="AN581" s="29"/>
      <c r="AO581" s="29"/>
      <c r="AP581" s="29"/>
      <c r="AQ581" s="29"/>
      <c r="AR581" s="29"/>
      <c r="AS581" s="29"/>
      <c r="AT581" s="29"/>
      <c r="AU581" s="29"/>
      <c r="AV581" s="29"/>
      <c r="AW581" s="29"/>
    </row>
    <row r="582" spans="1:49" ht="13">
      <c r="A582" s="132">
        <v>2015</v>
      </c>
      <c r="B582" s="39" t="s">
        <v>69</v>
      </c>
      <c r="C582" s="14" t="s">
        <v>2113</v>
      </c>
      <c r="D582" s="14" t="s">
        <v>2744</v>
      </c>
      <c r="E582" s="14" t="e">
        <v>#N/A</v>
      </c>
      <c r="F582" s="14"/>
      <c r="G582" s="14">
        <f>COUNTIF(Stakeholders!$E$2:$E960,F582)</f>
        <v>0</v>
      </c>
      <c r="H582" s="14" t="s">
        <v>2745</v>
      </c>
      <c r="I582" s="152" t="s">
        <v>2746</v>
      </c>
      <c r="J582" s="14" t="s">
        <v>67</v>
      </c>
      <c r="K582" s="14"/>
      <c r="L582" s="14"/>
      <c r="M582" s="14"/>
      <c r="N582" s="14"/>
      <c r="O582" s="14"/>
      <c r="P582" s="14"/>
      <c r="Q582" s="14"/>
      <c r="R582" s="14"/>
      <c r="S582" s="14"/>
      <c r="T582" s="14"/>
      <c r="U582" s="14"/>
      <c r="V582" s="14"/>
      <c r="W582" s="14" t="s">
        <v>67</v>
      </c>
      <c r="X582" s="14"/>
      <c r="Y582" s="14"/>
      <c r="Z582" s="14"/>
      <c r="AA582" s="14"/>
      <c r="AB582" s="14" t="s">
        <v>1752</v>
      </c>
      <c r="AC582" s="135">
        <v>44234</v>
      </c>
      <c r="AD582" s="14" t="s">
        <v>1496</v>
      </c>
      <c r="AE582" s="24" t="e">
        <f>VLOOKUP(F582,Stakeholders!E:K,7,0)</f>
        <v>#N/A</v>
      </c>
      <c r="AF582" s="14"/>
      <c r="AG582" s="14"/>
      <c r="AH582" s="24" t="s">
        <v>82</v>
      </c>
      <c r="AI582" s="14"/>
      <c r="AJ582" s="14"/>
      <c r="AK582" s="14"/>
      <c r="AL582" s="14"/>
      <c r="AM582" s="14"/>
      <c r="AN582" s="14"/>
      <c r="AO582" s="14"/>
      <c r="AP582" s="14"/>
      <c r="AQ582" s="14"/>
      <c r="AR582" s="14"/>
      <c r="AS582" s="14"/>
      <c r="AT582" s="14"/>
      <c r="AU582" s="14"/>
      <c r="AV582" s="14"/>
      <c r="AW582" s="14"/>
    </row>
    <row r="583" spans="1:49" ht="13">
      <c r="A583" s="133">
        <v>2016</v>
      </c>
      <c r="B583" s="37" t="s">
        <v>69</v>
      </c>
      <c r="C583" s="29" t="s">
        <v>2211</v>
      </c>
      <c r="D583" s="29" t="s">
        <v>2211</v>
      </c>
      <c r="E583" s="29" t="e">
        <v>#N/A</v>
      </c>
      <c r="F583" s="29"/>
      <c r="G583" s="29">
        <f>COUNTIF(Stakeholders!$E$2:$E960,F583)</f>
        <v>0</v>
      </c>
      <c r="H583" s="29" t="s">
        <v>2747</v>
      </c>
      <c r="I583" s="151" t="s">
        <v>2748</v>
      </c>
      <c r="J583" s="29" t="s">
        <v>67</v>
      </c>
      <c r="K583" s="29"/>
      <c r="L583" s="29"/>
      <c r="M583" s="29"/>
      <c r="N583" s="29"/>
      <c r="O583" s="29"/>
      <c r="P583" s="29"/>
      <c r="Q583" s="29"/>
      <c r="R583" s="29"/>
      <c r="S583" s="29"/>
      <c r="T583" s="29"/>
      <c r="U583" s="29"/>
      <c r="V583" s="29"/>
      <c r="W583" s="29" t="s">
        <v>67</v>
      </c>
      <c r="X583" s="29"/>
      <c r="Y583" s="29"/>
      <c r="Z583" s="29"/>
      <c r="AA583" s="29"/>
      <c r="AB583" s="29" t="s">
        <v>1752</v>
      </c>
      <c r="AC583" s="136">
        <v>44235</v>
      </c>
      <c r="AD583" s="29" t="s">
        <v>1497</v>
      </c>
      <c r="AE583" s="34" t="e">
        <f>VLOOKUP(F583,Stakeholders!E:K,7,0)</f>
        <v>#N/A</v>
      </c>
      <c r="AF583" s="29"/>
      <c r="AG583" s="29"/>
      <c r="AH583" s="34" t="s">
        <v>82</v>
      </c>
      <c r="AI583" s="29"/>
      <c r="AJ583" s="29"/>
      <c r="AK583" s="29"/>
      <c r="AL583" s="29"/>
      <c r="AM583" s="29"/>
      <c r="AN583" s="29"/>
      <c r="AO583" s="29"/>
      <c r="AP583" s="29"/>
      <c r="AQ583" s="29"/>
      <c r="AR583" s="29"/>
      <c r="AS583" s="29"/>
      <c r="AT583" s="29"/>
      <c r="AU583" s="29"/>
      <c r="AV583" s="29"/>
      <c r="AW583" s="29"/>
    </row>
    <row r="584" spans="1:49" ht="13">
      <c r="A584" s="132">
        <v>2016</v>
      </c>
      <c r="B584" s="39" t="s">
        <v>69</v>
      </c>
      <c r="C584" s="14" t="s">
        <v>2211</v>
      </c>
      <c r="D584" s="14" t="s">
        <v>2211</v>
      </c>
      <c r="E584" s="14" t="e">
        <v>#N/A</v>
      </c>
      <c r="F584" s="14"/>
      <c r="G584" s="14">
        <f>COUNTIF(Stakeholders!$E$2:$E960,F584)</f>
        <v>0</v>
      </c>
      <c r="H584" s="14" t="s">
        <v>2749</v>
      </c>
      <c r="I584" s="152" t="s">
        <v>2750</v>
      </c>
      <c r="J584" s="14" t="s">
        <v>67</v>
      </c>
      <c r="K584" s="14"/>
      <c r="L584" s="14"/>
      <c r="M584" s="14"/>
      <c r="N584" s="14"/>
      <c r="O584" s="14"/>
      <c r="P584" s="14"/>
      <c r="Q584" s="14"/>
      <c r="R584" s="14"/>
      <c r="S584" s="14"/>
      <c r="T584" s="14"/>
      <c r="U584" s="14"/>
      <c r="V584" s="14"/>
      <c r="W584" s="14" t="s">
        <v>67</v>
      </c>
      <c r="X584" s="14"/>
      <c r="Y584" s="14"/>
      <c r="Z584" s="14"/>
      <c r="AA584" s="14"/>
      <c r="AB584" s="14" t="s">
        <v>1752</v>
      </c>
      <c r="AC584" s="135">
        <v>44236</v>
      </c>
      <c r="AD584" s="14" t="s">
        <v>1498</v>
      </c>
      <c r="AE584" s="24" t="e">
        <f>VLOOKUP(F584,Stakeholders!E:K,7,0)</f>
        <v>#N/A</v>
      </c>
      <c r="AF584" s="14"/>
      <c r="AG584" s="14"/>
      <c r="AH584" s="24" t="s">
        <v>82</v>
      </c>
      <c r="AI584" s="14"/>
      <c r="AJ584" s="14"/>
      <c r="AK584" s="14"/>
      <c r="AL584" s="14"/>
      <c r="AM584" s="14"/>
      <c r="AN584" s="14"/>
      <c r="AO584" s="14"/>
      <c r="AP584" s="14"/>
      <c r="AQ584" s="14"/>
      <c r="AR584" s="14"/>
      <c r="AS584" s="14"/>
      <c r="AT584" s="14"/>
      <c r="AU584" s="14"/>
      <c r="AV584" s="14"/>
      <c r="AW584" s="14"/>
    </row>
    <row r="585" spans="1:49" ht="13">
      <c r="A585" s="133">
        <v>2016</v>
      </c>
      <c r="B585" s="37" t="s">
        <v>69</v>
      </c>
      <c r="C585" s="29" t="s">
        <v>2113</v>
      </c>
      <c r="D585" s="29" t="s">
        <v>2751</v>
      </c>
      <c r="E585" s="29" t="e">
        <v>#N/A</v>
      </c>
      <c r="F585" s="29"/>
      <c r="G585" s="29">
        <f>COUNTIF(Stakeholders!$E$2:$E960,F585)</f>
        <v>0</v>
      </c>
      <c r="H585" s="29" t="s">
        <v>2752</v>
      </c>
      <c r="I585" s="151" t="s">
        <v>2753</v>
      </c>
      <c r="J585" s="29" t="s">
        <v>67</v>
      </c>
      <c r="K585" s="29"/>
      <c r="L585" s="29"/>
      <c r="M585" s="29"/>
      <c r="N585" s="29"/>
      <c r="O585" s="29"/>
      <c r="P585" s="29"/>
      <c r="Q585" s="29"/>
      <c r="R585" s="29"/>
      <c r="S585" s="29"/>
      <c r="T585" s="29"/>
      <c r="U585" s="29"/>
      <c r="V585" s="29"/>
      <c r="W585" s="29" t="s">
        <v>67</v>
      </c>
      <c r="X585" s="29"/>
      <c r="Y585" s="29"/>
      <c r="Z585" s="29"/>
      <c r="AA585" s="153"/>
      <c r="AB585" s="29" t="s">
        <v>1752</v>
      </c>
      <c r="AC585" s="136">
        <v>44237</v>
      </c>
      <c r="AD585" s="29" t="s">
        <v>1499</v>
      </c>
      <c r="AE585" s="34" t="e">
        <f>VLOOKUP(F585,Stakeholders!E:K,7,0)</f>
        <v>#N/A</v>
      </c>
      <c r="AF585" s="29"/>
      <c r="AG585" s="29"/>
      <c r="AH585" s="34" t="s">
        <v>82</v>
      </c>
      <c r="AI585" s="29"/>
      <c r="AJ585" s="29"/>
      <c r="AK585" s="29"/>
      <c r="AL585" s="29"/>
      <c r="AM585" s="29"/>
      <c r="AN585" s="29"/>
      <c r="AO585" s="29"/>
      <c r="AP585" s="29"/>
      <c r="AQ585" s="29"/>
      <c r="AR585" s="29"/>
      <c r="AS585" s="29"/>
      <c r="AT585" s="29"/>
      <c r="AU585" s="29"/>
      <c r="AV585" s="29"/>
      <c r="AW585" s="29"/>
    </row>
    <row r="586" spans="1:49" ht="13">
      <c r="A586" s="132">
        <v>2016</v>
      </c>
      <c r="B586" s="39" t="s">
        <v>69</v>
      </c>
      <c r="C586" s="14" t="s">
        <v>2143</v>
      </c>
      <c r="D586" s="14" t="s">
        <v>2143</v>
      </c>
      <c r="E586" s="14" t="e">
        <v>#N/A</v>
      </c>
      <c r="F586" s="14"/>
      <c r="G586" s="14">
        <f>COUNTIF(Stakeholders!$E$2:$E960,F586)</f>
        <v>0</v>
      </c>
      <c r="H586" s="14" t="s">
        <v>2754</v>
      </c>
      <c r="I586" s="152" t="s">
        <v>2755</v>
      </c>
      <c r="J586" s="14" t="s">
        <v>67</v>
      </c>
      <c r="K586" s="14"/>
      <c r="L586" s="14"/>
      <c r="M586" s="14"/>
      <c r="N586" s="14"/>
      <c r="O586" s="14"/>
      <c r="P586" s="14"/>
      <c r="Q586" s="14"/>
      <c r="R586" s="14"/>
      <c r="S586" s="14"/>
      <c r="T586" s="14"/>
      <c r="U586" s="14"/>
      <c r="V586" s="14"/>
      <c r="W586" s="14" t="s">
        <v>67</v>
      </c>
      <c r="X586" s="14"/>
      <c r="Y586" s="14"/>
      <c r="Z586" s="14"/>
      <c r="AA586" s="14"/>
      <c r="AB586" s="14" t="s">
        <v>1752</v>
      </c>
      <c r="AC586" s="135">
        <v>44238</v>
      </c>
      <c r="AD586" s="14" t="s">
        <v>1501</v>
      </c>
      <c r="AE586" s="24" t="e">
        <f>VLOOKUP(F586,Stakeholders!E:K,7,0)</f>
        <v>#N/A</v>
      </c>
      <c r="AF586" s="14"/>
      <c r="AG586" s="14"/>
      <c r="AH586" s="24" t="s">
        <v>82</v>
      </c>
      <c r="AI586" s="14"/>
      <c r="AJ586" s="14"/>
      <c r="AK586" s="14"/>
      <c r="AL586" s="14"/>
      <c r="AM586" s="14"/>
      <c r="AN586" s="14"/>
      <c r="AO586" s="14"/>
      <c r="AP586" s="14"/>
      <c r="AQ586" s="14"/>
      <c r="AR586" s="14"/>
      <c r="AS586" s="14"/>
      <c r="AT586" s="14"/>
      <c r="AU586" s="14"/>
      <c r="AV586" s="14"/>
      <c r="AW586" s="14"/>
    </row>
    <row r="587" spans="1:49" ht="13">
      <c r="A587" s="133">
        <v>2017</v>
      </c>
      <c r="B587" s="37" t="s">
        <v>69</v>
      </c>
      <c r="C587" s="29" t="s">
        <v>2117</v>
      </c>
      <c r="D587" s="29" t="s">
        <v>2117</v>
      </c>
      <c r="E587" s="29" t="e">
        <v>#N/A</v>
      </c>
      <c r="F587" s="29"/>
      <c r="G587" s="29">
        <f>COUNTIF(Stakeholders!$E$2:$E960,F587)</f>
        <v>0</v>
      </c>
      <c r="H587" s="29" t="s">
        <v>2756</v>
      </c>
      <c r="I587" s="151" t="s">
        <v>2757</v>
      </c>
      <c r="J587" s="29" t="s">
        <v>67</v>
      </c>
      <c r="K587" s="29"/>
      <c r="L587" s="29"/>
      <c r="M587" s="29"/>
      <c r="N587" s="29"/>
      <c r="O587" s="29"/>
      <c r="P587" s="29"/>
      <c r="Q587" s="29"/>
      <c r="R587" s="29"/>
      <c r="S587" s="29"/>
      <c r="T587" s="29"/>
      <c r="U587" s="29"/>
      <c r="V587" s="29"/>
      <c r="W587" s="29" t="s">
        <v>67</v>
      </c>
      <c r="X587" s="29"/>
      <c r="Y587" s="29"/>
      <c r="Z587" s="29"/>
      <c r="AA587" s="29"/>
      <c r="AB587" s="29" t="s">
        <v>1752</v>
      </c>
      <c r="AC587" s="136">
        <v>44239</v>
      </c>
      <c r="AD587" s="29" t="s">
        <v>1502</v>
      </c>
      <c r="AE587" s="34" t="e">
        <f>VLOOKUP(F587,Stakeholders!E:K,7,0)</f>
        <v>#N/A</v>
      </c>
      <c r="AF587" s="29"/>
      <c r="AG587" s="29"/>
      <c r="AH587" s="34" t="s">
        <v>82</v>
      </c>
      <c r="AI587" s="29"/>
      <c r="AJ587" s="29"/>
      <c r="AK587" s="29"/>
      <c r="AL587" s="29"/>
      <c r="AM587" s="29"/>
      <c r="AN587" s="29"/>
      <c r="AO587" s="29"/>
      <c r="AP587" s="29"/>
      <c r="AQ587" s="29"/>
      <c r="AR587" s="29"/>
      <c r="AS587" s="29"/>
      <c r="AT587" s="29"/>
      <c r="AU587" s="29"/>
      <c r="AV587" s="29"/>
      <c r="AW587" s="29"/>
    </row>
    <row r="588" spans="1:49" ht="13">
      <c r="A588" s="132">
        <v>2018</v>
      </c>
      <c r="B588" s="39" t="s">
        <v>69</v>
      </c>
      <c r="C588" s="14" t="s">
        <v>2113</v>
      </c>
      <c r="D588" s="14" t="s">
        <v>2744</v>
      </c>
      <c r="E588" s="14" t="e">
        <v>#N/A</v>
      </c>
      <c r="F588" s="14"/>
      <c r="G588" s="14">
        <f>COUNTIF(Stakeholders!$E$2:$E960,F588)</f>
        <v>0</v>
      </c>
      <c r="H588" s="14" t="s">
        <v>2758</v>
      </c>
      <c r="I588" s="152" t="s">
        <v>2759</v>
      </c>
      <c r="J588" s="14" t="s">
        <v>67</v>
      </c>
      <c r="K588" s="14"/>
      <c r="L588" s="14"/>
      <c r="M588" s="14"/>
      <c r="N588" s="14"/>
      <c r="O588" s="14"/>
      <c r="P588" s="14"/>
      <c r="Q588" s="14"/>
      <c r="R588" s="14"/>
      <c r="S588" s="14"/>
      <c r="T588" s="14"/>
      <c r="U588" s="14"/>
      <c r="V588" s="14"/>
      <c r="W588" s="14" t="s">
        <v>67</v>
      </c>
      <c r="X588" s="14"/>
      <c r="Y588" s="14"/>
      <c r="Z588" s="14"/>
      <c r="AA588" s="14"/>
      <c r="AB588" s="14" t="s">
        <v>1752</v>
      </c>
      <c r="AC588" s="135">
        <v>44240</v>
      </c>
      <c r="AD588" s="14" t="s">
        <v>1503</v>
      </c>
      <c r="AE588" s="24" t="e">
        <f>VLOOKUP(F588,Stakeholders!E:K,7,0)</f>
        <v>#N/A</v>
      </c>
      <c r="AF588" s="14"/>
      <c r="AG588" s="14"/>
      <c r="AH588" s="24" t="s">
        <v>82</v>
      </c>
      <c r="AI588" s="14"/>
      <c r="AJ588" s="14"/>
      <c r="AK588" s="14"/>
      <c r="AL588" s="14"/>
      <c r="AM588" s="14"/>
      <c r="AN588" s="14"/>
      <c r="AO588" s="14"/>
      <c r="AP588" s="14"/>
      <c r="AQ588" s="14"/>
      <c r="AR588" s="14"/>
      <c r="AS588" s="14"/>
      <c r="AT588" s="14"/>
      <c r="AU588" s="14"/>
      <c r="AV588" s="14"/>
      <c r="AW588" s="14"/>
    </row>
    <row r="589" spans="1:49" ht="13">
      <c r="A589" s="133">
        <v>2018</v>
      </c>
      <c r="B589" s="37" t="s">
        <v>69</v>
      </c>
      <c r="C589" s="29" t="s">
        <v>273</v>
      </c>
      <c r="D589" s="29" t="s">
        <v>2130</v>
      </c>
      <c r="E589" s="29" t="e">
        <v>#N/A</v>
      </c>
      <c r="F589" s="29"/>
      <c r="G589" s="29">
        <f>COUNTIF(Stakeholders!$E$2:$E960,F589)</f>
        <v>0</v>
      </c>
      <c r="H589" s="29" t="s">
        <v>2760</v>
      </c>
      <c r="I589" s="151" t="s">
        <v>2761</v>
      </c>
      <c r="J589" s="29" t="s">
        <v>67</v>
      </c>
      <c r="K589" s="29"/>
      <c r="L589" s="29"/>
      <c r="M589" s="29"/>
      <c r="N589" s="29"/>
      <c r="O589" s="29"/>
      <c r="P589" s="29"/>
      <c r="Q589" s="29"/>
      <c r="R589" s="29"/>
      <c r="S589" s="29"/>
      <c r="T589" s="29"/>
      <c r="U589" s="29"/>
      <c r="V589" s="29"/>
      <c r="W589" s="29" t="s">
        <v>67</v>
      </c>
      <c r="X589" s="29"/>
      <c r="Y589" s="29"/>
      <c r="Z589" s="29"/>
      <c r="AA589" s="29"/>
      <c r="AB589" s="29" t="s">
        <v>1752</v>
      </c>
      <c r="AC589" s="136">
        <v>44241</v>
      </c>
      <c r="AD589" s="29" t="s">
        <v>1504</v>
      </c>
      <c r="AE589" s="34" t="e">
        <f>VLOOKUP(F589,Stakeholders!E:K,7,0)</f>
        <v>#N/A</v>
      </c>
      <c r="AF589" s="29"/>
      <c r="AG589" s="29"/>
      <c r="AH589" s="34" t="s">
        <v>82</v>
      </c>
      <c r="AI589" s="29"/>
      <c r="AJ589" s="29"/>
      <c r="AK589" s="29"/>
      <c r="AL589" s="29"/>
      <c r="AM589" s="29"/>
      <c r="AN589" s="29"/>
      <c r="AO589" s="29"/>
      <c r="AP589" s="29"/>
      <c r="AQ589" s="29"/>
      <c r="AR589" s="29"/>
      <c r="AS589" s="29"/>
      <c r="AT589" s="29"/>
      <c r="AU589" s="29"/>
      <c r="AV589" s="29"/>
      <c r="AW589" s="29"/>
    </row>
    <row r="590" spans="1:49" ht="13">
      <c r="A590" s="132">
        <v>2009</v>
      </c>
      <c r="B590" s="39" t="s">
        <v>69</v>
      </c>
      <c r="C590" s="14" t="s">
        <v>2204</v>
      </c>
      <c r="D590" s="14" t="s">
        <v>2204</v>
      </c>
      <c r="E590" s="14" t="e">
        <v>#N/A</v>
      </c>
      <c r="F590" s="14"/>
      <c r="G590" s="14">
        <f>COUNTIF(Stakeholders!$E$2:$E960,F590)</f>
        <v>0</v>
      </c>
      <c r="H590" s="14" t="s">
        <v>2762</v>
      </c>
      <c r="I590" s="152" t="s">
        <v>2763</v>
      </c>
      <c r="J590" s="14" t="s">
        <v>67</v>
      </c>
      <c r="K590" s="14"/>
      <c r="L590" s="14"/>
      <c r="M590" s="14"/>
      <c r="N590" s="14"/>
      <c r="O590" s="14"/>
      <c r="P590" s="14"/>
      <c r="Q590" s="14"/>
      <c r="R590" s="14"/>
      <c r="S590" s="14"/>
      <c r="T590" s="14"/>
      <c r="U590" s="14"/>
      <c r="V590" s="14"/>
      <c r="W590" s="14" t="s">
        <v>67</v>
      </c>
      <c r="X590" s="14"/>
      <c r="Y590" s="14"/>
      <c r="Z590" s="14"/>
      <c r="AA590" s="14"/>
      <c r="AB590" s="14" t="s">
        <v>1752</v>
      </c>
      <c r="AC590" s="135">
        <v>44242</v>
      </c>
      <c r="AD590" s="14" t="s">
        <v>1505</v>
      </c>
      <c r="AE590" s="24" t="e">
        <f>VLOOKUP(F590,Stakeholders!E:K,7,0)</f>
        <v>#N/A</v>
      </c>
      <c r="AF590" s="14"/>
      <c r="AG590" s="14"/>
      <c r="AH590" s="24" t="s">
        <v>82</v>
      </c>
      <c r="AI590" s="14"/>
      <c r="AJ590" s="14"/>
      <c r="AK590" s="14"/>
      <c r="AL590" s="14"/>
      <c r="AM590" s="14"/>
      <c r="AN590" s="14"/>
      <c r="AO590" s="14"/>
      <c r="AP590" s="14"/>
      <c r="AQ590" s="14"/>
      <c r="AR590" s="14"/>
      <c r="AS590" s="14"/>
      <c r="AT590" s="14"/>
      <c r="AU590" s="14"/>
      <c r="AV590" s="14"/>
      <c r="AW590" s="14"/>
    </row>
    <row r="591" spans="1:49" ht="13">
      <c r="A591" s="133">
        <v>2017</v>
      </c>
      <c r="B591" s="29" t="s">
        <v>58</v>
      </c>
      <c r="C591" s="29" t="s">
        <v>353</v>
      </c>
      <c r="D591" s="29" t="s">
        <v>2764</v>
      </c>
      <c r="E591" s="29" t="e">
        <v>#N/A</v>
      </c>
      <c r="F591" s="29"/>
      <c r="G591" s="29">
        <f>COUNTIF(Stakeholders!$E$2:$E960,F591)</f>
        <v>0</v>
      </c>
      <c r="H591" s="29" t="s">
        <v>2765</v>
      </c>
      <c r="I591" s="151" t="s">
        <v>2766</v>
      </c>
      <c r="J591" s="29" t="s">
        <v>67</v>
      </c>
      <c r="K591" s="29"/>
      <c r="L591" s="29"/>
      <c r="M591" s="29"/>
      <c r="N591" s="29"/>
      <c r="O591" s="29"/>
      <c r="P591" s="29"/>
      <c r="Q591" s="29"/>
      <c r="R591" s="29"/>
      <c r="S591" s="29"/>
      <c r="T591" s="29"/>
      <c r="U591" s="29"/>
      <c r="V591" s="29"/>
      <c r="W591" s="29" t="s">
        <v>67</v>
      </c>
      <c r="X591" s="29"/>
      <c r="Y591" s="29"/>
      <c r="Z591" s="29"/>
      <c r="AA591" s="29"/>
      <c r="AB591" s="29" t="s">
        <v>1752</v>
      </c>
      <c r="AC591" s="136">
        <v>44243</v>
      </c>
      <c r="AD591" s="29" t="s">
        <v>1506</v>
      </c>
      <c r="AE591" s="34" t="e">
        <f>VLOOKUP(F591,Stakeholders!E:K,7,0)</f>
        <v>#N/A</v>
      </c>
      <c r="AF591" s="29"/>
      <c r="AG591" s="29"/>
      <c r="AH591" s="34" t="s">
        <v>82</v>
      </c>
      <c r="AI591" s="29"/>
      <c r="AJ591" s="29"/>
      <c r="AK591" s="29"/>
      <c r="AL591" s="29"/>
      <c r="AM591" s="29"/>
      <c r="AN591" s="29"/>
      <c r="AO591" s="29"/>
      <c r="AP591" s="29"/>
      <c r="AQ591" s="29"/>
      <c r="AR591" s="29"/>
      <c r="AS591" s="29"/>
      <c r="AT591" s="29"/>
      <c r="AU591" s="29"/>
      <c r="AV591" s="29"/>
      <c r="AW591" s="29"/>
    </row>
    <row r="592" spans="1:49" ht="13">
      <c r="A592" s="14" t="s">
        <v>2767</v>
      </c>
      <c r="B592" s="14" t="s">
        <v>58</v>
      </c>
      <c r="C592" s="14" t="s">
        <v>2424</v>
      </c>
      <c r="D592" s="14" t="s">
        <v>2424</v>
      </c>
      <c r="E592" s="14" t="e">
        <v>#N/A</v>
      </c>
      <c r="F592" s="14"/>
      <c r="G592" s="14">
        <f>COUNTIF(Stakeholders!$E$2:$E960,F592)</f>
        <v>0</v>
      </c>
      <c r="H592" s="14" t="s">
        <v>2768</v>
      </c>
      <c r="I592" s="152" t="s">
        <v>2769</v>
      </c>
      <c r="J592" s="14" t="s">
        <v>67</v>
      </c>
      <c r="K592" s="14"/>
      <c r="L592" s="14"/>
      <c r="M592" s="14"/>
      <c r="N592" s="14"/>
      <c r="O592" s="14"/>
      <c r="P592" s="14"/>
      <c r="Q592" s="14"/>
      <c r="R592" s="14"/>
      <c r="S592" s="14"/>
      <c r="T592" s="14"/>
      <c r="U592" s="14"/>
      <c r="V592" s="14"/>
      <c r="W592" s="14" t="s">
        <v>67</v>
      </c>
      <c r="X592" s="14"/>
      <c r="Y592" s="14"/>
      <c r="Z592" s="14"/>
      <c r="AA592" s="14"/>
      <c r="AB592" s="14" t="s">
        <v>1752</v>
      </c>
      <c r="AC592" s="135">
        <v>44244</v>
      </c>
      <c r="AD592" s="14" t="s">
        <v>1507</v>
      </c>
      <c r="AE592" s="24" t="e">
        <f>VLOOKUP(F592,Stakeholders!E:K,7,0)</f>
        <v>#N/A</v>
      </c>
      <c r="AF592" s="14"/>
      <c r="AG592" s="14"/>
      <c r="AH592" s="24" t="s">
        <v>82</v>
      </c>
      <c r="AI592" s="14"/>
      <c r="AJ592" s="14"/>
      <c r="AK592" s="14"/>
      <c r="AL592" s="14"/>
      <c r="AM592" s="14"/>
      <c r="AN592" s="14"/>
      <c r="AO592" s="14"/>
      <c r="AP592" s="14"/>
      <c r="AQ592" s="14"/>
      <c r="AR592" s="14"/>
      <c r="AS592" s="14"/>
      <c r="AT592" s="14"/>
      <c r="AU592" s="14"/>
      <c r="AV592" s="14"/>
      <c r="AW592" s="14"/>
    </row>
    <row r="593" spans="1:49" ht="13">
      <c r="A593" s="133">
        <v>2018</v>
      </c>
      <c r="B593" s="29" t="s">
        <v>58</v>
      </c>
      <c r="C593" s="29" t="s">
        <v>607</v>
      </c>
      <c r="D593" s="29" t="s">
        <v>2067</v>
      </c>
      <c r="E593" s="29" t="e">
        <v>#N/A</v>
      </c>
      <c r="F593" s="29"/>
      <c r="G593" s="29">
        <f>COUNTIF(Stakeholders!$E$2:$E960,F593)</f>
        <v>0</v>
      </c>
      <c r="H593" s="29" t="s">
        <v>2770</v>
      </c>
      <c r="I593" s="151" t="s">
        <v>2771</v>
      </c>
      <c r="J593" s="29" t="s">
        <v>67</v>
      </c>
      <c r="K593" s="29"/>
      <c r="L593" s="29"/>
      <c r="M593" s="29"/>
      <c r="N593" s="29"/>
      <c r="O593" s="29"/>
      <c r="P593" s="29"/>
      <c r="Q593" s="29"/>
      <c r="R593" s="29"/>
      <c r="S593" s="29"/>
      <c r="T593" s="29"/>
      <c r="U593" s="29"/>
      <c r="V593" s="29"/>
      <c r="W593" s="29" t="s">
        <v>67</v>
      </c>
      <c r="X593" s="29"/>
      <c r="Y593" s="29"/>
      <c r="Z593" s="29"/>
      <c r="AA593" s="29"/>
      <c r="AB593" s="29" t="s">
        <v>1752</v>
      </c>
      <c r="AC593" s="136">
        <v>44245</v>
      </c>
      <c r="AD593" s="29" t="s">
        <v>992</v>
      </c>
      <c r="AE593" s="34" t="e">
        <f>VLOOKUP(F593,Stakeholders!E:K,7,0)</f>
        <v>#N/A</v>
      </c>
      <c r="AF593" s="29"/>
      <c r="AG593" s="29"/>
      <c r="AH593" s="34" t="s">
        <v>82</v>
      </c>
      <c r="AI593" s="29"/>
      <c r="AJ593" s="29"/>
      <c r="AK593" s="29"/>
      <c r="AL593" s="29"/>
      <c r="AM593" s="29"/>
      <c r="AN593" s="29"/>
      <c r="AO593" s="29"/>
      <c r="AP593" s="29"/>
      <c r="AQ593" s="29"/>
      <c r="AR593" s="29"/>
      <c r="AS593" s="29"/>
      <c r="AT593" s="29"/>
      <c r="AU593" s="29"/>
      <c r="AV593" s="29"/>
      <c r="AW593" s="29"/>
    </row>
    <row r="594" spans="1:49" ht="13">
      <c r="A594" s="132">
        <v>2014</v>
      </c>
      <c r="B594" s="14" t="s">
        <v>58</v>
      </c>
      <c r="C594" s="14" t="s">
        <v>607</v>
      </c>
      <c r="D594" s="14" t="s">
        <v>607</v>
      </c>
      <c r="E594" s="14" t="e">
        <v>#N/A</v>
      </c>
      <c r="F594" s="14"/>
      <c r="G594" s="14">
        <f>COUNTIF(Stakeholders!$E$2:$E960,F594)</f>
        <v>0</v>
      </c>
      <c r="H594" s="14" t="s">
        <v>2772</v>
      </c>
      <c r="I594" s="152" t="s">
        <v>2773</v>
      </c>
      <c r="J594" s="14" t="s">
        <v>67</v>
      </c>
      <c r="K594" s="14"/>
      <c r="L594" s="14"/>
      <c r="M594" s="14"/>
      <c r="N594" s="14"/>
      <c r="O594" s="14"/>
      <c r="P594" s="14"/>
      <c r="Q594" s="14"/>
      <c r="R594" s="14"/>
      <c r="S594" s="14"/>
      <c r="T594" s="14"/>
      <c r="U594" s="14"/>
      <c r="V594" s="14"/>
      <c r="W594" s="14" t="s">
        <v>67</v>
      </c>
      <c r="X594" s="14"/>
      <c r="Y594" s="14"/>
      <c r="Z594" s="14"/>
      <c r="AA594" s="154"/>
      <c r="AB594" s="14" t="s">
        <v>1752</v>
      </c>
      <c r="AC594" s="135">
        <v>44246</v>
      </c>
      <c r="AD594" s="14" t="s">
        <v>1508</v>
      </c>
      <c r="AE594" s="24" t="e">
        <f>VLOOKUP(F594,Stakeholders!E:K,7,0)</f>
        <v>#N/A</v>
      </c>
      <c r="AF594" s="14"/>
      <c r="AG594" s="14"/>
      <c r="AH594" s="24" t="s">
        <v>82</v>
      </c>
      <c r="AI594" s="14"/>
      <c r="AJ594" s="14"/>
      <c r="AK594" s="14"/>
      <c r="AL594" s="14"/>
      <c r="AM594" s="14"/>
      <c r="AN594" s="14"/>
      <c r="AO594" s="14"/>
      <c r="AP594" s="14"/>
      <c r="AQ594" s="14"/>
      <c r="AR594" s="14"/>
      <c r="AS594" s="14"/>
      <c r="AT594" s="14"/>
      <c r="AU594" s="14"/>
      <c r="AV594" s="14"/>
      <c r="AW594" s="14"/>
    </row>
    <row r="595" spans="1:49" ht="13">
      <c r="A595" s="133">
        <v>2014</v>
      </c>
      <c r="B595" s="29" t="s">
        <v>58</v>
      </c>
      <c r="C595" s="29" t="s">
        <v>348</v>
      </c>
      <c r="D595" s="29" t="s">
        <v>2774</v>
      </c>
      <c r="E595" s="29" t="e">
        <v>#N/A</v>
      </c>
      <c r="F595" s="29"/>
      <c r="G595" s="29">
        <f>COUNTIF(Stakeholders!$E$2:$E960,F595)</f>
        <v>0</v>
      </c>
      <c r="H595" s="29" t="s">
        <v>2775</v>
      </c>
      <c r="I595" s="151" t="s">
        <v>2776</v>
      </c>
      <c r="J595" s="29" t="s">
        <v>67</v>
      </c>
      <c r="K595" s="29"/>
      <c r="L595" s="29"/>
      <c r="M595" s="29"/>
      <c r="N595" s="29"/>
      <c r="O595" s="29"/>
      <c r="P595" s="29"/>
      <c r="Q595" s="29"/>
      <c r="R595" s="29"/>
      <c r="S595" s="29"/>
      <c r="T595" s="29"/>
      <c r="U595" s="29"/>
      <c r="V595" s="29"/>
      <c r="W595" s="29" t="s">
        <v>67</v>
      </c>
      <c r="X595" s="29"/>
      <c r="Y595" s="29"/>
      <c r="Z595" s="29"/>
      <c r="AA595" s="153"/>
      <c r="AB595" s="29" t="s">
        <v>1752</v>
      </c>
      <c r="AC595" s="136">
        <v>44247</v>
      </c>
      <c r="AD595" s="29" t="s">
        <v>1509</v>
      </c>
      <c r="AE595" s="34" t="e">
        <f>VLOOKUP(F595,Stakeholders!E:K,7,0)</f>
        <v>#N/A</v>
      </c>
      <c r="AF595" s="29"/>
      <c r="AG595" s="29"/>
      <c r="AH595" s="34" t="s">
        <v>82</v>
      </c>
      <c r="AI595" s="29"/>
      <c r="AJ595" s="29"/>
      <c r="AK595" s="29"/>
      <c r="AL595" s="29"/>
      <c r="AM595" s="29"/>
      <c r="AN595" s="29"/>
      <c r="AO595" s="29"/>
      <c r="AP595" s="29"/>
      <c r="AQ595" s="29"/>
      <c r="AR595" s="29"/>
      <c r="AS595" s="29"/>
      <c r="AT595" s="29"/>
      <c r="AU595" s="29"/>
      <c r="AV595" s="29"/>
      <c r="AW595" s="29"/>
    </row>
    <row r="596" spans="1:49" ht="13">
      <c r="A596" s="132">
        <v>2015</v>
      </c>
      <c r="B596" s="14" t="s">
        <v>58</v>
      </c>
      <c r="C596" s="14" t="s">
        <v>2419</v>
      </c>
      <c r="D596" s="14" t="s">
        <v>1846</v>
      </c>
      <c r="E596" s="14" t="e">
        <v>#N/A</v>
      </c>
      <c r="F596" s="14"/>
      <c r="G596" s="14">
        <f>COUNTIF(Stakeholders!$E$2:$E960,F596)</f>
        <v>0</v>
      </c>
      <c r="H596" s="14" t="s">
        <v>2777</v>
      </c>
      <c r="I596" s="152" t="s">
        <v>2778</v>
      </c>
      <c r="J596" s="14" t="s">
        <v>67</v>
      </c>
      <c r="K596" s="14"/>
      <c r="L596" s="14"/>
      <c r="M596" s="14"/>
      <c r="N596" s="14"/>
      <c r="O596" s="14"/>
      <c r="P596" s="14"/>
      <c r="Q596" s="14"/>
      <c r="R596" s="14"/>
      <c r="S596" s="14"/>
      <c r="T596" s="14"/>
      <c r="U596" s="14"/>
      <c r="V596" s="14"/>
      <c r="W596" s="14" t="s">
        <v>67</v>
      </c>
      <c r="X596" s="14"/>
      <c r="Y596" s="14"/>
      <c r="Z596" s="14"/>
      <c r="AA596" s="14"/>
      <c r="AB596" s="14" t="s">
        <v>1752</v>
      </c>
      <c r="AC596" s="135">
        <v>44248</v>
      </c>
      <c r="AD596" s="14" t="s">
        <v>1510</v>
      </c>
      <c r="AE596" s="24" t="e">
        <f>VLOOKUP(F596,Stakeholders!E:K,7,0)</f>
        <v>#N/A</v>
      </c>
      <c r="AF596" s="14"/>
      <c r="AG596" s="14"/>
      <c r="AH596" s="24" t="s">
        <v>82</v>
      </c>
      <c r="AI596" s="14"/>
      <c r="AJ596" s="14"/>
      <c r="AK596" s="14"/>
      <c r="AL596" s="14"/>
      <c r="AM596" s="14"/>
      <c r="AN596" s="14"/>
      <c r="AO596" s="14"/>
      <c r="AP596" s="14"/>
      <c r="AQ596" s="14"/>
      <c r="AR596" s="14"/>
      <c r="AS596" s="14"/>
      <c r="AT596" s="14"/>
      <c r="AU596" s="14"/>
      <c r="AV596" s="14"/>
      <c r="AW596" s="14"/>
    </row>
    <row r="597" spans="1:49" ht="13">
      <c r="A597" s="133">
        <v>2018</v>
      </c>
      <c r="B597" s="29" t="s">
        <v>58</v>
      </c>
      <c r="C597" s="29" t="s">
        <v>2451</v>
      </c>
      <c r="D597" s="29" t="s">
        <v>2451</v>
      </c>
      <c r="E597" s="29" t="e">
        <v>#N/A</v>
      </c>
      <c r="F597" s="29"/>
      <c r="G597" s="29">
        <f>COUNTIF(Stakeholders!$E$2:$E960,F597)</f>
        <v>0</v>
      </c>
      <c r="H597" s="29" t="s">
        <v>2779</v>
      </c>
      <c r="I597" s="151" t="s">
        <v>2780</v>
      </c>
      <c r="J597" s="29" t="s">
        <v>67</v>
      </c>
      <c r="K597" s="29"/>
      <c r="L597" s="29"/>
      <c r="M597" s="29"/>
      <c r="N597" s="29"/>
      <c r="O597" s="29"/>
      <c r="P597" s="29"/>
      <c r="Q597" s="29"/>
      <c r="R597" s="29"/>
      <c r="S597" s="29"/>
      <c r="T597" s="29"/>
      <c r="U597" s="29"/>
      <c r="V597" s="29"/>
      <c r="W597" s="29" t="s">
        <v>67</v>
      </c>
      <c r="X597" s="29"/>
      <c r="Y597" s="29"/>
      <c r="Z597" s="29"/>
      <c r="AA597" s="29"/>
      <c r="AB597" s="29" t="s">
        <v>1752</v>
      </c>
      <c r="AC597" s="136">
        <v>44249</v>
      </c>
      <c r="AD597" s="29" t="s">
        <v>1511</v>
      </c>
      <c r="AE597" s="34" t="e">
        <f>VLOOKUP(F597,Stakeholders!E:K,7,0)</f>
        <v>#N/A</v>
      </c>
      <c r="AF597" s="29"/>
      <c r="AG597" s="29"/>
      <c r="AH597" s="34" t="s">
        <v>82</v>
      </c>
      <c r="AI597" s="29"/>
      <c r="AJ597" s="29"/>
      <c r="AK597" s="29"/>
      <c r="AL597" s="29"/>
      <c r="AM597" s="29"/>
      <c r="AN597" s="29"/>
      <c r="AO597" s="29"/>
      <c r="AP597" s="29"/>
      <c r="AQ597" s="29"/>
      <c r="AR597" s="29"/>
      <c r="AS597" s="29"/>
      <c r="AT597" s="29"/>
      <c r="AU597" s="29"/>
      <c r="AV597" s="29"/>
      <c r="AW597" s="29"/>
    </row>
    <row r="598" spans="1:49" ht="14">
      <c r="A598" s="132">
        <v>2005</v>
      </c>
      <c r="B598" s="29" t="s">
        <v>92</v>
      </c>
      <c r="C598" s="15" t="s">
        <v>412</v>
      </c>
      <c r="D598" s="14" t="s">
        <v>2575</v>
      </c>
      <c r="E598" s="14" t="e">
        <v>#N/A</v>
      </c>
      <c r="F598" s="14"/>
      <c r="G598" s="14">
        <f>COUNTIF(Stakeholders!$E$2:$E960,F598)</f>
        <v>0</v>
      </c>
      <c r="H598" s="14" t="s">
        <v>2781</v>
      </c>
      <c r="I598" s="152" t="s">
        <v>2782</v>
      </c>
      <c r="J598" s="14" t="s">
        <v>67</v>
      </c>
      <c r="K598" s="14"/>
      <c r="L598" s="14"/>
      <c r="M598" s="14"/>
      <c r="N598" s="14"/>
      <c r="O598" s="14"/>
      <c r="P598" s="14"/>
      <c r="Q598" s="14"/>
      <c r="R598" s="14"/>
      <c r="S598" s="14"/>
      <c r="T598" s="14"/>
      <c r="U598" s="14"/>
      <c r="V598" s="14"/>
      <c r="W598" s="14" t="s">
        <v>67</v>
      </c>
      <c r="X598" s="14"/>
      <c r="Y598" s="14"/>
      <c r="Z598" s="14"/>
      <c r="AA598" s="14"/>
      <c r="AB598" s="14" t="s">
        <v>1752</v>
      </c>
      <c r="AC598" s="135">
        <v>44250</v>
      </c>
      <c r="AD598" s="14" t="s">
        <v>792</v>
      </c>
      <c r="AE598" s="24" t="e">
        <f>VLOOKUP(F598,Stakeholders!E:K,7,0)</f>
        <v>#N/A</v>
      </c>
      <c r="AF598" s="14"/>
      <c r="AG598" s="14"/>
      <c r="AH598" s="24" t="s">
        <v>82</v>
      </c>
      <c r="AI598" s="14"/>
      <c r="AJ598" s="14"/>
      <c r="AK598" s="14"/>
      <c r="AL598" s="14"/>
      <c r="AM598" s="14"/>
      <c r="AN598" s="14"/>
      <c r="AO598" s="14"/>
      <c r="AP598" s="14"/>
      <c r="AQ598" s="14"/>
      <c r="AR598" s="14"/>
      <c r="AS598" s="14"/>
      <c r="AT598" s="14"/>
      <c r="AU598" s="14"/>
      <c r="AV598" s="14"/>
      <c r="AW598" s="14"/>
    </row>
    <row r="599" spans="1:49" ht="15.75" customHeight="1">
      <c r="A599" s="133">
        <v>2010</v>
      </c>
      <c r="B599" s="29" t="s">
        <v>92</v>
      </c>
      <c r="C599" s="29" t="s">
        <v>2621</v>
      </c>
      <c r="D599" s="29" t="s">
        <v>2621</v>
      </c>
      <c r="E599" s="29" t="e">
        <v>#N/A</v>
      </c>
      <c r="F599" s="29"/>
      <c r="G599" s="29">
        <f>COUNTIF(Stakeholders!$E$2:$E960,F599)</f>
        <v>0</v>
      </c>
      <c r="H599" s="29" t="s">
        <v>2783</v>
      </c>
      <c r="I599" s="151" t="s">
        <v>2784</v>
      </c>
      <c r="J599" s="29" t="s">
        <v>67</v>
      </c>
      <c r="K599" s="29"/>
      <c r="L599" s="29"/>
      <c r="M599" s="29"/>
      <c r="N599" s="29"/>
      <c r="O599" s="29"/>
      <c r="P599" s="29"/>
      <c r="Q599" s="29"/>
      <c r="R599" s="29"/>
      <c r="S599" s="29"/>
      <c r="T599" s="29"/>
      <c r="U599" s="29"/>
      <c r="V599" s="29"/>
      <c r="W599" s="29" t="s">
        <v>67</v>
      </c>
      <c r="X599" s="29"/>
      <c r="Y599" s="29"/>
      <c r="Z599" s="29"/>
      <c r="AA599" s="29"/>
      <c r="AB599" s="29" t="s">
        <v>1752</v>
      </c>
      <c r="AC599" s="136">
        <v>44251</v>
      </c>
      <c r="AD599" s="29" t="s">
        <v>1512</v>
      </c>
      <c r="AE599" s="34" t="e">
        <f>VLOOKUP(F599,Stakeholders!E:K,7,0)</f>
        <v>#N/A</v>
      </c>
      <c r="AF599" s="34"/>
      <c r="AG599" s="29"/>
      <c r="AH599" s="34" t="s">
        <v>82</v>
      </c>
      <c r="AI599" s="29"/>
      <c r="AJ599" s="29"/>
      <c r="AK599" s="29"/>
      <c r="AL599" s="29"/>
      <c r="AM599" s="29"/>
      <c r="AN599" s="29"/>
      <c r="AO599" s="29"/>
      <c r="AP599" s="29"/>
      <c r="AQ599" s="29"/>
      <c r="AR599" s="29"/>
      <c r="AS599" s="29"/>
      <c r="AT599" s="29"/>
      <c r="AU599" s="29"/>
      <c r="AV599" s="29"/>
      <c r="AW599" s="29"/>
    </row>
    <row r="600" spans="1:49" ht="13">
      <c r="A600" s="17">
        <v>2022</v>
      </c>
      <c r="B600" s="12" t="s">
        <v>64</v>
      </c>
      <c r="C600" s="12" t="s">
        <v>73</v>
      </c>
      <c r="D600" s="12" t="s">
        <v>85</v>
      </c>
      <c r="E600" s="14" t="s">
        <v>73</v>
      </c>
      <c r="F600" s="12" t="s">
        <v>125</v>
      </c>
      <c r="G600" s="14">
        <f>COUNTIF(Stakeholders!$E$2:$E960,F600)</f>
        <v>1</v>
      </c>
      <c r="H600" s="86" t="s">
        <v>2785</v>
      </c>
      <c r="I600" s="41" t="s">
        <v>2786</v>
      </c>
      <c r="J600" s="12" t="s">
        <v>1629</v>
      </c>
      <c r="K600" s="12" t="s">
        <v>1629</v>
      </c>
      <c r="L600" s="14"/>
      <c r="M600" s="14"/>
      <c r="N600" s="14"/>
      <c r="O600" s="14"/>
      <c r="P600" s="14"/>
      <c r="Q600" s="14"/>
      <c r="R600" s="14"/>
      <c r="S600" s="14"/>
      <c r="T600" s="14"/>
      <c r="U600" s="14"/>
      <c r="V600" s="14"/>
      <c r="W600" s="12" t="s">
        <v>1629</v>
      </c>
      <c r="X600" s="14"/>
      <c r="Y600" s="14"/>
      <c r="Z600" s="14"/>
      <c r="AA600" s="24"/>
      <c r="AB600" s="14" t="s">
        <v>96</v>
      </c>
      <c r="AC600" s="155">
        <v>44708</v>
      </c>
      <c r="AD600" s="14">
        <v>178</v>
      </c>
      <c r="AE600" s="24">
        <f>VLOOKUP(F600,Stakeholders!E:K,7,0)</f>
        <v>20</v>
      </c>
      <c r="AF600" s="24">
        <f>VLOOKUP(B600&amp;D600,Areas!$D:$E,2,FALSE)</f>
        <v>283</v>
      </c>
      <c r="AG600" s="14" t="s">
        <v>2787</v>
      </c>
      <c r="AH600" s="24" t="s">
        <v>82</v>
      </c>
      <c r="AI600" s="14"/>
      <c r="AJ600" s="14"/>
      <c r="AK600" s="14"/>
      <c r="AL600" s="14"/>
      <c r="AM600" s="14"/>
      <c r="AN600" s="14"/>
      <c r="AO600" s="14"/>
      <c r="AP600" s="14"/>
      <c r="AQ600" s="14"/>
      <c r="AR600" s="14"/>
      <c r="AS600" s="14"/>
      <c r="AT600" s="14"/>
      <c r="AU600" s="14"/>
      <c r="AV600" s="14"/>
      <c r="AW600" s="14"/>
    </row>
    <row r="601" spans="1:49" ht="13">
      <c r="A601" s="26">
        <v>2022</v>
      </c>
      <c r="B601" s="12" t="s">
        <v>64</v>
      </c>
      <c r="C601" s="22" t="s">
        <v>73</v>
      </c>
      <c r="D601" s="22" t="s">
        <v>2788</v>
      </c>
      <c r="E601" s="29" t="s">
        <v>73</v>
      </c>
      <c r="F601" s="22" t="s">
        <v>125</v>
      </c>
      <c r="G601" s="29">
        <f>COUNTIF(Stakeholders!$E$2:$E960,F601)</f>
        <v>1</v>
      </c>
      <c r="H601" s="156" t="s">
        <v>2789</v>
      </c>
      <c r="I601" s="40" t="s">
        <v>2790</v>
      </c>
      <c r="J601" s="22" t="s">
        <v>1629</v>
      </c>
      <c r="K601" s="22" t="s">
        <v>1629</v>
      </c>
      <c r="L601" s="22"/>
      <c r="N601" s="29"/>
      <c r="O601" s="29"/>
      <c r="P601" s="29"/>
      <c r="Q601" s="29"/>
      <c r="R601" s="29"/>
      <c r="S601" s="29"/>
      <c r="T601" s="29"/>
      <c r="U601" s="29"/>
      <c r="V601" s="29"/>
      <c r="W601" s="157" t="s">
        <v>1635</v>
      </c>
      <c r="X601" s="29"/>
      <c r="Y601" s="29"/>
      <c r="Z601" s="29"/>
      <c r="AA601" s="34"/>
      <c r="AB601" s="29" t="s">
        <v>96</v>
      </c>
      <c r="AC601" s="158">
        <v>44708</v>
      </c>
      <c r="AD601" s="29">
        <v>179</v>
      </c>
      <c r="AE601" s="34">
        <f>VLOOKUP(F601,Stakeholders!E:K,7,0)</f>
        <v>20</v>
      </c>
      <c r="AF601" s="34" t="e">
        <f>VLOOKUP(B601&amp;D601,Areas!$D:$E,2,FALSE)</f>
        <v>#N/A</v>
      </c>
      <c r="AG601" s="29">
        <v>0</v>
      </c>
      <c r="AH601" s="34" t="s">
        <v>82</v>
      </c>
      <c r="AI601" s="29"/>
      <c r="AJ601" s="29"/>
      <c r="AK601" s="29"/>
      <c r="AL601" s="29"/>
      <c r="AM601" s="29"/>
      <c r="AN601" s="29"/>
      <c r="AO601" s="29"/>
      <c r="AP601" s="29"/>
      <c r="AQ601" s="29"/>
      <c r="AR601" s="29"/>
      <c r="AS601" s="29"/>
      <c r="AT601" s="29"/>
      <c r="AU601" s="29"/>
      <c r="AV601" s="29"/>
      <c r="AW601" s="29"/>
    </row>
    <row r="602" spans="1:49" ht="13">
      <c r="A602" s="17">
        <v>2022</v>
      </c>
      <c r="B602" s="12" t="s">
        <v>64</v>
      </c>
      <c r="C602" s="12" t="s">
        <v>73</v>
      </c>
      <c r="D602" s="12" t="s">
        <v>73</v>
      </c>
      <c r="E602" s="14" t="s">
        <v>73</v>
      </c>
      <c r="F602" s="12" t="s">
        <v>125</v>
      </c>
      <c r="G602" s="14">
        <f>COUNTIF(Stakeholders!$E$2:$E960,F602)</f>
        <v>1</v>
      </c>
      <c r="H602" s="159" t="s">
        <v>2791</v>
      </c>
      <c r="I602" s="160" t="s">
        <v>2792</v>
      </c>
      <c r="J602" s="161" t="s">
        <v>1629</v>
      </c>
      <c r="K602" s="159" t="s">
        <v>1629</v>
      </c>
      <c r="L602" s="159"/>
      <c r="M602" s="14"/>
      <c r="N602" s="14"/>
      <c r="O602" s="14"/>
      <c r="P602" s="14"/>
      <c r="Q602" s="14"/>
      <c r="R602" s="14"/>
      <c r="S602" s="14"/>
      <c r="T602" s="14"/>
      <c r="U602" s="14"/>
      <c r="V602" s="14"/>
      <c r="W602" s="159" t="s">
        <v>1635</v>
      </c>
      <c r="X602" s="14"/>
      <c r="Y602" s="14"/>
      <c r="Z602" s="14"/>
      <c r="AA602" s="24"/>
      <c r="AB602" s="14" t="s">
        <v>96</v>
      </c>
      <c r="AC602" s="155">
        <v>44708</v>
      </c>
      <c r="AD602" s="14">
        <v>180</v>
      </c>
      <c r="AE602" s="24">
        <f>VLOOKUP(F602,Stakeholders!E:K,7,0)</f>
        <v>20</v>
      </c>
      <c r="AF602" s="24">
        <f>VLOOKUP(B602&amp;D602,Areas!$D:$E,2,FALSE)</f>
        <v>56</v>
      </c>
      <c r="AG602" s="14" t="s">
        <v>2793</v>
      </c>
      <c r="AH602" s="24" t="s">
        <v>82</v>
      </c>
      <c r="AI602" s="14"/>
      <c r="AJ602" s="14"/>
      <c r="AK602" s="14"/>
      <c r="AL602" s="14"/>
      <c r="AM602" s="14"/>
      <c r="AN602" s="14"/>
      <c r="AO602" s="14"/>
      <c r="AP602" s="14"/>
      <c r="AQ602" s="14"/>
      <c r="AR602" s="14"/>
      <c r="AS602" s="14"/>
      <c r="AT602" s="14"/>
      <c r="AU602" s="14"/>
      <c r="AV602" s="14"/>
      <c r="AW602" s="14"/>
    </row>
    <row r="603" spans="1:49" ht="14">
      <c r="A603" s="162">
        <v>2022</v>
      </c>
      <c r="B603" s="12" t="s">
        <v>64</v>
      </c>
      <c r="C603" s="163" t="s">
        <v>397</v>
      </c>
      <c r="D603" s="164" t="s">
        <v>85</v>
      </c>
      <c r="E603" s="29" t="s">
        <v>397</v>
      </c>
      <c r="F603" s="22" t="s">
        <v>125</v>
      </c>
      <c r="G603" s="29">
        <f>COUNTIF(Stakeholders!$E$2:$E960,F603)</f>
        <v>1</v>
      </c>
      <c r="H603" s="164" t="s">
        <v>2794</v>
      </c>
      <c r="I603" s="165" t="s">
        <v>2795</v>
      </c>
      <c r="J603" s="166" t="s">
        <v>1629</v>
      </c>
      <c r="K603" s="164" t="s">
        <v>1629</v>
      </c>
      <c r="L603" s="164"/>
      <c r="M603" s="29"/>
      <c r="N603" s="29"/>
      <c r="O603" s="29"/>
      <c r="P603" s="29"/>
      <c r="Q603" s="29"/>
      <c r="R603" s="29"/>
      <c r="S603" s="29"/>
      <c r="T603" s="29"/>
      <c r="U603" s="29"/>
      <c r="V603" s="29"/>
      <c r="W603" s="164" t="s">
        <v>1635</v>
      </c>
      <c r="X603" s="29"/>
      <c r="Y603" s="29"/>
      <c r="Z603" s="29"/>
      <c r="AA603" s="34"/>
      <c r="AB603" s="29" t="s">
        <v>96</v>
      </c>
      <c r="AC603" s="158">
        <v>44708</v>
      </c>
      <c r="AD603" s="29">
        <v>181</v>
      </c>
      <c r="AE603" s="34">
        <f>VLOOKUP(F603,Stakeholders!E:K,7,0)</f>
        <v>20</v>
      </c>
      <c r="AF603" s="34">
        <f>VLOOKUP(B603&amp;D603,Areas!$D:$E,2,FALSE)</f>
        <v>283</v>
      </c>
      <c r="AG603" s="29" t="s">
        <v>2796</v>
      </c>
      <c r="AH603" s="34" t="s">
        <v>82</v>
      </c>
      <c r="AI603" s="29"/>
      <c r="AJ603" s="29"/>
      <c r="AK603" s="29"/>
      <c r="AL603" s="29"/>
      <c r="AM603" s="29"/>
      <c r="AN603" s="29"/>
      <c r="AO603" s="29"/>
      <c r="AP603" s="29"/>
      <c r="AQ603" s="29"/>
      <c r="AR603" s="29"/>
      <c r="AS603" s="29"/>
      <c r="AT603" s="29"/>
      <c r="AU603" s="29"/>
      <c r="AV603" s="29"/>
      <c r="AW603" s="29"/>
    </row>
    <row r="604" spans="1:49" ht="13">
      <c r="A604" s="17">
        <v>2022</v>
      </c>
      <c r="B604" s="12" t="s">
        <v>64</v>
      </c>
      <c r="C604" s="12" t="s">
        <v>73</v>
      </c>
      <c r="D604" s="12" t="s">
        <v>2797</v>
      </c>
      <c r="E604" s="14" t="s">
        <v>73</v>
      </c>
      <c r="F604" s="12" t="s">
        <v>125</v>
      </c>
      <c r="G604" s="14">
        <f>COUNTIF(Stakeholders!$E$2:$E960,F604)</f>
        <v>1</v>
      </c>
      <c r="H604" s="159" t="s">
        <v>2798</v>
      </c>
      <c r="I604" s="160" t="s">
        <v>2799</v>
      </c>
      <c r="J604" s="161" t="s">
        <v>1629</v>
      </c>
      <c r="K604" s="159" t="s">
        <v>1629</v>
      </c>
      <c r="L604" s="159"/>
      <c r="M604" s="14"/>
      <c r="N604" s="14"/>
      <c r="O604" s="14"/>
      <c r="P604" s="14"/>
      <c r="Q604" s="14"/>
      <c r="R604" s="14"/>
      <c r="S604" s="14"/>
      <c r="T604" s="14"/>
      <c r="U604" s="14"/>
      <c r="V604" s="14"/>
      <c r="W604" s="159" t="s">
        <v>1635</v>
      </c>
      <c r="X604" s="14"/>
      <c r="Y604" s="14"/>
      <c r="Z604" s="14"/>
      <c r="AA604" s="24"/>
      <c r="AB604" s="14" t="s">
        <v>96</v>
      </c>
      <c r="AC604" s="155">
        <v>44729</v>
      </c>
      <c r="AD604" s="14">
        <v>182</v>
      </c>
      <c r="AE604" s="24">
        <f>VLOOKUP(F604,Stakeholders!E:K,7,0)</f>
        <v>20</v>
      </c>
      <c r="AF604" s="24" t="e">
        <f>VLOOKUP(B604&amp;D604,Areas!$D:$E,2,FALSE)</f>
        <v>#N/A</v>
      </c>
      <c r="AG604" s="14" t="s">
        <v>2800</v>
      </c>
      <c r="AH604" s="24" t="s">
        <v>82</v>
      </c>
      <c r="AI604" s="14"/>
      <c r="AJ604" s="14"/>
      <c r="AK604" s="14"/>
      <c r="AL604" s="14"/>
      <c r="AM604" s="14"/>
      <c r="AN604" s="14"/>
      <c r="AO604" s="14"/>
      <c r="AP604" s="14"/>
      <c r="AQ604" s="14"/>
      <c r="AR604" s="14"/>
      <c r="AS604" s="14"/>
      <c r="AT604" s="14"/>
      <c r="AU604" s="14"/>
      <c r="AV604" s="14"/>
      <c r="AW604" s="14"/>
    </row>
    <row r="605" spans="1:49" ht="13">
      <c r="A605" s="26">
        <v>2022</v>
      </c>
      <c r="B605" s="12" t="s">
        <v>64</v>
      </c>
      <c r="C605" s="22" t="s">
        <v>73</v>
      </c>
      <c r="D605" s="22" t="s">
        <v>226</v>
      </c>
      <c r="E605" s="29" t="s">
        <v>73</v>
      </c>
      <c r="F605" s="22" t="s">
        <v>125</v>
      </c>
      <c r="G605" s="29">
        <f>COUNTIF(Stakeholders!$E$2:$E960,F605)</f>
        <v>1</v>
      </c>
      <c r="H605" s="164" t="s">
        <v>2801</v>
      </c>
      <c r="I605" s="165" t="s">
        <v>1731</v>
      </c>
      <c r="J605" s="166" t="s">
        <v>1629</v>
      </c>
      <c r="K605" s="164" t="s">
        <v>1629</v>
      </c>
      <c r="L605" s="164"/>
      <c r="M605" s="29"/>
      <c r="N605" s="29"/>
      <c r="O605" s="29"/>
      <c r="P605" s="29"/>
      <c r="Q605" s="29"/>
      <c r="R605" s="29"/>
      <c r="S605" s="29"/>
      <c r="T605" s="29"/>
      <c r="U605" s="29"/>
      <c r="V605" s="29"/>
      <c r="W605" s="164" t="s">
        <v>1635</v>
      </c>
      <c r="X605" s="29"/>
      <c r="Y605" s="29"/>
      <c r="Z605" s="29"/>
      <c r="AA605" s="34"/>
      <c r="AB605" s="29" t="s">
        <v>96</v>
      </c>
      <c r="AC605" s="158">
        <v>44729</v>
      </c>
      <c r="AD605" s="29">
        <v>183</v>
      </c>
      <c r="AE605" s="34">
        <f>VLOOKUP(F605,Stakeholders!E:K,7,0)</f>
        <v>20</v>
      </c>
      <c r="AF605" s="34" t="e">
        <f>VLOOKUP(B605&amp;D605,Areas!$D:$E,2,FALSE)</f>
        <v>#N/A</v>
      </c>
      <c r="AG605" s="29" t="s">
        <v>2802</v>
      </c>
      <c r="AH605" s="34" t="s">
        <v>82</v>
      </c>
      <c r="AI605" s="29"/>
      <c r="AJ605" s="29"/>
      <c r="AK605" s="29"/>
      <c r="AL605" s="29"/>
      <c r="AM605" s="29"/>
      <c r="AN605" s="29"/>
      <c r="AO605" s="29"/>
      <c r="AP605" s="29"/>
      <c r="AQ605" s="29"/>
      <c r="AR605" s="29"/>
      <c r="AS605" s="29"/>
      <c r="AT605" s="29"/>
      <c r="AU605" s="29"/>
      <c r="AV605" s="29"/>
      <c r="AW605" s="29"/>
    </row>
    <row r="606" spans="1:49" ht="13">
      <c r="A606" s="167">
        <v>2015</v>
      </c>
      <c r="B606" s="159" t="s">
        <v>8</v>
      </c>
      <c r="C606" s="159" t="s">
        <v>224</v>
      </c>
      <c r="D606" s="159" t="s">
        <v>8</v>
      </c>
      <c r="E606" s="21" t="s">
        <v>662</v>
      </c>
      <c r="F606" s="21" t="s">
        <v>662</v>
      </c>
      <c r="G606" s="14">
        <f>COUNTIF(Stakeholders!$E$2:$E960,F606)</f>
        <v>1</v>
      </c>
      <c r="H606" s="159" t="s">
        <v>2803</v>
      </c>
      <c r="I606" s="41" t="s">
        <v>2804</v>
      </c>
      <c r="J606" s="12" t="s">
        <v>1635</v>
      </c>
      <c r="K606" s="12" t="s">
        <v>1629</v>
      </c>
      <c r="L606" s="159"/>
      <c r="M606" s="14"/>
      <c r="N606" s="14"/>
      <c r="O606" s="14"/>
      <c r="P606" s="14"/>
      <c r="Q606" s="14"/>
      <c r="R606" s="14"/>
      <c r="S606" s="14"/>
      <c r="T606" s="14"/>
      <c r="U606" s="14"/>
      <c r="V606" s="14"/>
      <c r="W606" s="12" t="s">
        <v>1635</v>
      </c>
      <c r="X606" s="14"/>
      <c r="Y606" s="14"/>
      <c r="Z606" s="14"/>
      <c r="AA606" s="24"/>
      <c r="AB606" s="14" t="s">
        <v>96</v>
      </c>
      <c r="AC606" s="155">
        <v>44729</v>
      </c>
      <c r="AD606" s="14">
        <v>184</v>
      </c>
      <c r="AE606" s="24">
        <f>VLOOKUP(F606,Stakeholders!E:K,7,0)</f>
        <v>118</v>
      </c>
      <c r="AF606" s="24" t="e">
        <f>VLOOKUP(B606&amp;D606,Areas!$D:$E,2,FALSE)</f>
        <v>#N/A</v>
      </c>
      <c r="AG606" s="14">
        <v>0</v>
      </c>
      <c r="AH606" s="24" t="s">
        <v>82</v>
      </c>
      <c r="AI606" s="14"/>
      <c r="AJ606" s="14"/>
      <c r="AK606" s="14"/>
      <c r="AL606" s="14"/>
      <c r="AM606" s="14"/>
      <c r="AN606" s="14"/>
      <c r="AO606" s="14"/>
      <c r="AP606" s="14"/>
      <c r="AQ606" s="14"/>
      <c r="AR606" s="14"/>
      <c r="AS606" s="14"/>
      <c r="AT606" s="14"/>
      <c r="AU606" s="14"/>
      <c r="AV606" s="14"/>
      <c r="AW606" s="14"/>
    </row>
    <row r="607" spans="1:49" ht="13">
      <c r="A607" s="162">
        <v>2020</v>
      </c>
      <c r="B607" s="164" t="s">
        <v>8</v>
      </c>
      <c r="C607" s="164" t="s">
        <v>224</v>
      </c>
      <c r="D607" s="164" t="s">
        <v>8</v>
      </c>
      <c r="E607" s="29" t="s">
        <v>8</v>
      </c>
      <c r="F607" s="168" t="s">
        <v>59</v>
      </c>
      <c r="G607" s="29">
        <f>COUNTIF(Stakeholders!$E$2:$E960,F607)</f>
        <v>1</v>
      </c>
      <c r="H607" s="168" t="s">
        <v>799</v>
      </c>
      <c r="I607" s="40" t="s">
        <v>800</v>
      </c>
      <c r="J607" s="22" t="s">
        <v>1635</v>
      </c>
      <c r="K607" s="22" t="s">
        <v>1629</v>
      </c>
      <c r="L607" s="164"/>
      <c r="M607" s="29"/>
      <c r="N607" s="29"/>
      <c r="O607" s="29"/>
      <c r="P607" s="29"/>
      <c r="Q607" s="29"/>
      <c r="R607" s="29"/>
      <c r="S607" s="29"/>
      <c r="T607" s="29"/>
      <c r="U607" s="29"/>
      <c r="V607" s="29"/>
      <c r="W607" s="22" t="s">
        <v>1635</v>
      </c>
      <c r="X607" s="29"/>
      <c r="Y607" s="29"/>
      <c r="Z607" s="29"/>
      <c r="AA607" s="34"/>
      <c r="AB607" s="29" t="s">
        <v>96</v>
      </c>
      <c r="AC607" s="158">
        <v>44729</v>
      </c>
      <c r="AD607" s="29">
        <v>185</v>
      </c>
      <c r="AE607" s="34">
        <f>VLOOKUP(F607,Stakeholders!E:K,7,0)</f>
        <v>1</v>
      </c>
      <c r="AF607" s="34" t="e">
        <f>VLOOKUP(B607&amp;D607,Areas!$D:$E,2,FALSE)</f>
        <v>#N/A</v>
      </c>
      <c r="AG607" s="29">
        <v>0</v>
      </c>
      <c r="AH607" s="34" t="s">
        <v>82</v>
      </c>
      <c r="AI607" s="29"/>
      <c r="AJ607" s="29"/>
      <c r="AK607" s="29"/>
      <c r="AL607" s="29"/>
      <c r="AM607" s="29"/>
      <c r="AN607" s="29"/>
      <c r="AO607" s="29"/>
      <c r="AP607" s="29"/>
      <c r="AQ607" s="29"/>
      <c r="AR607" s="29"/>
      <c r="AS607" s="29"/>
      <c r="AT607" s="29"/>
      <c r="AU607" s="29"/>
      <c r="AV607" s="29"/>
      <c r="AW607" s="29"/>
    </row>
    <row r="608" spans="1:49" ht="13">
      <c r="A608" s="167">
        <v>2022</v>
      </c>
      <c r="B608" s="12" t="s">
        <v>64</v>
      </c>
      <c r="C608" s="159" t="s">
        <v>224</v>
      </c>
      <c r="D608" s="159" t="s">
        <v>85</v>
      </c>
      <c r="E608" s="14" t="s">
        <v>73</v>
      </c>
      <c r="F608" s="169" t="s">
        <v>480</v>
      </c>
      <c r="G608" s="14">
        <f>COUNTIF(Stakeholders!$E$2:$E960,F608)</f>
        <v>1</v>
      </c>
      <c r="H608" s="170" t="s">
        <v>2805</v>
      </c>
      <c r="I608" s="41" t="s">
        <v>2806</v>
      </c>
      <c r="J608" s="12" t="s">
        <v>1629</v>
      </c>
      <c r="K608" s="12" t="s">
        <v>1629</v>
      </c>
      <c r="L608" s="12"/>
      <c r="M608" s="14"/>
      <c r="N608" s="14"/>
      <c r="O608" s="14"/>
      <c r="P608" s="14"/>
      <c r="Q608" s="14"/>
      <c r="R608" s="14"/>
      <c r="S608" s="14"/>
      <c r="T608" s="14"/>
      <c r="U608" s="14"/>
      <c r="V608" s="14"/>
      <c r="W608" s="12" t="s">
        <v>1629</v>
      </c>
      <c r="X608" s="14"/>
      <c r="Y608" s="14"/>
      <c r="Z608" s="14"/>
      <c r="AA608" s="24"/>
      <c r="AB608" s="14" t="s">
        <v>1551</v>
      </c>
      <c r="AC608" s="155">
        <v>44731</v>
      </c>
      <c r="AD608" s="14">
        <v>186</v>
      </c>
      <c r="AE608" s="24">
        <f>VLOOKUP(F608,Stakeholders!E:K,7,0)</f>
        <v>41</v>
      </c>
      <c r="AF608" s="24">
        <f>VLOOKUP(B608&amp;D608,Areas!$D:$E,2,FALSE)</f>
        <v>283</v>
      </c>
      <c r="AG608" s="14"/>
      <c r="AH608" s="24" t="s">
        <v>82</v>
      </c>
      <c r="AI608" s="14"/>
      <c r="AJ608" s="14"/>
      <c r="AK608" s="14"/>
      <c r="AL608" s="14"/>
      <c r="AM608" s="14"/>
      <c r="AN608" s="14"/>
      <c r="AO608" s="14"/>
      <c r="AP608" s="14"/>
      <c r="AQ608" s="14"/>
      <c r="AR608" s="14"/>
      <c r="AS608" s="14"/>
      <c r="AT608" s="14"/>
      <c r="AU608" s="14"/>
      <c r="AV608" s="14"/>
      <c r="AW608" s="14"/>
    </row>
    <row r="609" spans="1:49" ht="13">
      <c r="A609" s="162">
        <v>2021</v>
      </c>
      <c r="B609" s="12" t="s">
        <v>64</v>
      </c>
      <c r="C609" s="164" t="s">
        <v>224</v>
      </c>
      <c r="D609" s="164" t="s">
        <v>85</v>
      </c>
      <c r="E609" s="29" t="s">
        <v>73</v>
      </c>
      <c r="F609" s="171" t="s">
        <v>514</v>
      </c>
      <c r="G609" s="29">
        <f>COUNTIF(Stakeholders!$E$2:$E960,F609)</f>
        <v>1</v>
      </c>
      <c r="H609" s="171" t="s">
        <v>2807</v>
      </c>
      <c r="I609" s="165" t="s">
        <v>2808</v>
      </c>
      <c r="J609" s="22" t="s">
        <v>1629</v>
      </c>
      <c r="K609" s="22" t="s">
        <v>1629</v>
      </c>
      <c r="L609" s="164"/>
      <c r="M609" s="29"/>
      <c r="N609" s="29"/>
      <c r="O609" s="29"/>
      <c r="P609" s="29"/>
      <c r="Q609" s="29"/>
      <c r="R609" s="29"/>
      <c r="S609" s="29"/>
      <c r="T609" s="29"/>
      <c r="U609" s="29"/>
      <c r="V609" s="29"/>
      <c r="W609" s="22" t="s">
        <v>1629</v>
      </c>
      <c r="X609" s="29"/>
      <c r="Y609" s="29"/>
      <c r="Z609" s="29"/>
      <c r="AA609" s="34"/>
      <c r="AB609" s="29" t="s">
        <v>1551</v>
      </c>
      <c r="AC609" s="158">
        <v>44731</v>
      </c>
      <c r="AD609" s="29">
        <v>187</v>
      </c>
      <c r="AE609" s="34">
        <f>VLOOKUP(F609,Stakeholders!E:K,7,0)</f>
        <v>47</v>
      </c>
      <c r="AF609" s="34">
        <f>VLOOKUP(B609&amp;D609,Areas!$D:$E,2,FALSE)</f>
        <v>283</v>
      </c>
      <c r="AG609" s="29" t="s">
        <v>2800</v>
      </c>
      <c r="AH609" s="34" t="s">
        <v>82</v>
      </c>
      <c r="AI609" s="29"/>
      <c r="AJ609" s="29"/>
      <c r="AK609" s="29"/>
      <c r="AL609" s="29"/>
      <c r="AM609" s="29"/>
      <c r="AN609" s="29"/>
      <c r="AO609" s="29"/>
      <c r="AP609" s="29"/>
      <c r="AQ609" s="29"/>
      <c r="AR609" s="29"/>
      <c r="AS609" s="29"/>
      <c r="AT609" s="29"/>
      <c r="AU609" s="29"/>
      <c r="AV609" s="29"/>
      <c r="AW609" s="29"/>
    </row>
    <row r="610" spans="1:49" ht="13">
      <c r="A610" s="17">
        <v>2021</v>
      </c>
      <c r="B610" s="12" t="s">
        <v>64</v>
      </c>
      <c r="C610" s="159" t="s">
        <v>224</v>
      </c>
      <c r="D610" s="12" t="s">
        <v>85</v>
      </c>
      <c r="E610" s="14" t="s">
        <v>73</v>
      </c>
      <c r="F610" s="169" t="s">
        <v>514</v>
      </c>
      <c r="G610" s="14">
        <f>COUNTIF(Stakeholders!$E$2:$E960,F610)</f>
        <v>1</v>
      </c>
      <c r="H610" s="21" t="s">
        <v>2809</v>
      </c>
      <c r="I610" s="160" t="s">
        <v>2810</v>
      </c>
      <c r="J610" s="12" t="s">
        <v>1629</v>
      </c>
      <c r="K610" s="12" t="s">
        <v>1629</v>
      </c>
      <c r="L610" s="159"/>
      <c r="M610" s="14"/>
      <c r="N610" s="14"/>
      <c r="O610" s="14"/>
      <c r="P610" s="14"/>
      <c r="Q610" s="14"/>
      <c r="R610" s="14"/>
      <c r="S610" s="14"/>
      <c r="T610" s="14"/>
      <c r="U610" s="14"/>
      <c r="V610" s="14"/>
      <c r="W610" s="12" t="s">
        <v>1635</v>
      </c>
      <c r="X610" s="14"/>
      <c r="Y610" s="14"/>
      <c r="Z610" s="14"/>
      <c r="AA610" s="24"/>
      <c r="AB610" s="14" t="s">
        <v>1551</v>
      </c>
      <c r="AC610" s="155">
        <v>44731</v>
      </c>
      <c r="AD610" s="14">
        <v>188</v>
      </c>
      <c r="AE610" s="24">
        <f>VLOOKUP(F610,Stakeholders!E:K,7,0)</f>
        <v>47</v>
      </c>
      <c r="AF610" s="24">
        <f>VLOOKUP(B610&amp;D610,Areas!$D:$E,2,FALSE)</f>
        <v>283</v>
      </c>
      <c r="AG610" s="14" t="s">
        <v>2811</v>
      </c>
      <c r="AH610" s="24" t="s">
        <v>82</v>
      </c>
      <c r="AI610" s="14"/>
      <c r="AJ610" s="14"/>
      <c r="AK610" s="14"/>
      <c r="AL610" s="14"/>
      <c r="AM610" s="14"/>
      <c r="AN610" s="14"/>
      <c r="AO610" s="14"/>
      <c r="AP610" s="14"/>
      <c r="AQ610" s="14"/>
      <c r="AR610" s="14"/>
      <c r="AS610" s="14"/>
      <c r="AT610" s="14"/>
      <c r="AU610" s="14"/>
      <c r="AV610" s="14"/>
      <c r="AW610" s="14"/>
    </row>
    <row r="611" spans="1:49" ht="13">
      <c r="A611" s="26">
        <v>2021</v>
      </c>
      <c r="B611" s="12" t="s">
        <v>64</v>
      </c>
      <c r="C611" s="164" t="s">
        <v>224</v>
      </c>
      <c r="D611" s="22" t="s">
        <v>73</v>
      </c>
      <c r="E611" s="29" t="s">
        <v>73</v>
      </c>
      <c r="F611" s="171" t="s">
        <v>514</v>
      </c>
      <c r="G611" s="29">
        <f>COUNTIF(Stakeholders!$E$2:$E960,F611)</f>
        <v>1</v>
      </c>
      <c r="H611" s="29" t="s">
        <v>2812</v>
      </c>
      <c r="I611" s="165" t="s">
        <v>2813</v>
      </c>
      <c r="J611" s="22" t="s">
        <v>1629</v>
      </c>
      <c r="K611" s="22" t="s">
        <v>1629</v>
      </c>
      <c r="L611" s="164"/>
      <c r="M611" s="29"/>
      <c r="N611" s="29"/>
      <c r="O611" s="29"/>
      <c r="P611" s="29"/>
      <c r="Q611" s="29"/>
      <c r="R611" s="29"/>
      <c r="S611" s="29"/>
      <c r="T611" s="29"/>
      <c r="U611" s="29"/>
      <c r="V611" s="29"/>
      <c r="W611" s="22" t="s">
        <v>1635</v>
      </c>
      <c r="X611" s="29"/>
      <c r="Y611" s="29"/>
      <c r="Z611" s="29"/>
      <c r="AA611" s="34"/>
      <c r="AB611" s="29" t="s">
        <v>1551</v>
      </c>
      <c r="AC611" s="158">
        <v>44731</v>
      </c>
      <c r="AD611" s="29">
        <v>189</v>
      </c>
      <c r="AE611" s="34">
        <f>VLOOKUP(F611,Stakeholders!E:K,7,0)</f>
        <v>47</v>
      </c>
      <c r="AF611" s="34">
        <f>VLOOKUP(B611&amp;D611,Areas!$D:$E,2,FALSE)</f>
        <v>56</v>
      </c>
      <c r="AG611" s="29" t="s">
        <v>2814</v>
      </c>
      <c r="AH611" s="34" t="s">
        <v>82</v>
      </c>
      <c r="AI611" s="29"/>
      <c r="AJ611" s="29"/>
      <c r="AK611" s="29"/>
      <c r="AL611" s="29"/>
      <c r="AM611" s="29"/>
      <c r="AN611" s="29"/>
      <c r="AO611" s="29"/>
      <c r="AP611" s="29"/>
      <c r="AQ611" s="29"/>
      <c r="AR611" s="29"/>
      <c r="AS611" s="29"/>
      <c r="AT611" s="29"/>
      <c r="AU611" s="29"/>
      <c r="AV611" s="29"/>
      <c r="AW611" s="29"/>
    </row>
    <row r="612" spans="1:49" ht="13">
      <c r="A612" s="172">
        <v>2023</v>
      </c>
      <c r="B612" s="49" t="s">
        <v>58</v>
      </c>
      <c r="C612" s="50" t="s">
        <v>397</v>
      </c>
      <c r="D612" s="50" t="s">
        <v>397</v>
      </c>
      <c r="E612" s="50" t="s">
        <v>397</v>
      </c>
      <c r="F612" s="50" t="s">
        <v>914</v>
      </c>
      <c r="G612" s="99">
        <v>2</v>
      </c>
      <c r="H612" s="50" t="s">
        <v>2815</v>
      </c>
      <c r="I612" s="173" t="s">
        <v>2816</v>
      </c>
      <c r="J612" s="50" t="s">
        <v>1635</v>
      </c>
      <c r="K612" s="50" t="s">
        <v>1629</v>
      </c>
      <c r="L612" s="50"/>
      <c r="M612" s="50"/>
      <c r="N612" s="50"/>
      <c r="O612" s="50"/>
      <c r="P612" s="50"/>
      <c r="Q612" s="50"/>
      <c r="R612" s="50"/>
      <c r="S612" s="50"/>
      <c r="T612" s="50"/>
      <c r="U612" s="50"/>
      <c r="V612" s="50"/>
      <c r="W612" s="50" t="s">
        <v>1629</v>
      </c>
      <c r="X612" s="50"/>
      <c r="Y612" s="50"/>
      <c r="Z612" s="50"/>
      <c r="AA612" s="50"/>
      <c r="AB612" s="50" t="s">
        <v>2817</v>
      </c>
      <c r="AC612" s="50" t="s">
        <v>2818</v>
      </c>
      <c r="AD612" s="95">
        <v>190</v>
      </c>
      <c r="AE612" s="174">
        <v>119</v>
      </c>
      <c r="AF612" s="174">
        <v>231</v>
      </c>
      <c r="AG612" s="50"/>
      <c r="AH612" s="50" t="s">
        <v>2819</v>
      </c>
      <c r="AI612" s="175">
        <v>1</v>
      </c>
      <c r="AJ612" s="173" t="s">
        <v>917</v>
      </c>
      <c r="AK612" s="14"/>
      <c r="AL612" s="14"/>
      <c r="AM612" s="14"/>
      <c r="AN612" s="14"/>
      <c r="AO612" s="14"/>
      <c r="AP612" s="14"/>
      <c r="AQ612" s="14"/>
      <c r="AR612" s="14"/>
      <c r="AS612" s="14"/>
      <c r="AT612" s="14"/>
      <c r="AU612" s="14"/>
      <c r="AV612" s="14"/>
      <c r="AW612" s="14"/>
    </row>
    <row r="613" spans="1:49" ht="13">
      <c r="A613" s="176">
        <v>2024</v>
      </c>
      <c r="B613" s="53" t="s">
        <v>58</v>
      </c>
      <c r="C613" s="50" t="s">
        <v>462</v>
      </c>
      <c r="D613" s="50" t="s">
        <v>465</v>
      </c>
      <c r="E613" s="50" t="s">
        <v>462</v>
      </c>
      <c r="F613" s="50" t="s">
        <v>2820</v>
      </c>
      <c r="G613" s="177">
        <v>0</v>
      </c>
      <c r="H613" s="50" t="s">
        <v>2821</v>
      </c>
      <c r="I613" s="178" t="s">
        <v>2822</v>
      </c>
      <c r="J613" s="50" t="s">
        <v>1629</v>
      </c>
      <c r="K613" s="50" t="s">
        <v>1629</v>
      </c>
      <c r="L613" s="50"/>
      <c r="M613" s="50"/>
      <c r="N613" s="50"/>
      <c r="O613" s="50"/>
      <c r="P613" s="50"/>
      <c r="Q613" s="50"/>
      <c r="R613" s="50"/>
      <c r="S613" s="50"/>
      <c r="T613" s="50"/>
      <c r="U613" s="50"/>
      <c r="V613" s="50"/>
      <c r="W613" s="50" t="s">
        <v>1629</v>
      </c>
      <c r="X613" s="50"/>
      <c r="Y613" s="50"/>
      <c r="Z613" s="50"/>
      <c r="AA613" s="50" t="s">
        <v>2823</v>
      </c>
      <c r="AB613" s="50" t="s">
        <v>2824</v>
      </c>
      <c r="AC613" s="50" t="s">
        <v>2825</v>
      </c>
      <c r="AD613" s="99">
        <v>191</v>
      </c>
      <c r="AE613" s="174">
        <v>119</v>
      </c>
      <c r="AF613" s="174" t="s">
        <v>2826</v>
      </c>
      <c r="AG613" s="50"/>
      <c r="AH613" s="50" t="s">
        <v>2819</v>
      </c>
      <c r="AI613" s="175">
        <v>2</v>
      </c>
      <c r="AJ613" s="178" t="s">
        <v>917</v>
      </c>
      <c r="AK613" s="29"/>
      <c r="AL613" s="29"/>
      <c r="AM613" s="29"/>
      <c r="AN613" s="29"/>
      <c r="AO613" s="29"/>
      <c r="AP613" s="29"/>
      <c r="AQ613" s="29"/>
      <c r="AR613" s="29"/>
      <c r="AS613" s="29"/>
      <c r="AT613" s="29"/>
      <c r="AU613" s="29"/>
      <c r="AV613" s="29"/>
      <c r="AW613" s="29"/>
    </row>
    <row r="614" spans="1:49" ht="13">
      <c r="A614" s="176">
        <v>2024</v>
      </c>
      <c r="B614" s="53" t="s">
        <v>80</v>
      </c>
      <c r="C614" s="50" t="s">
        <v>331</v>
      </c>
      <c r="D614" s="50" t="s">
        <v>465</v>
      </c>
      <c r="E614" s="50" t="s">
        <v>331</v>
      </c>
      <c r="F614" s="50" t="s">
        <v>918</v>
      </c>
      <c r="G614" s="99">
        <v>1</v>
      </c>
      <c r="H614" s="50" t="s">
        <v>2827</v>
      </c>
      <c r="I614" s="179" t="s">
        <v>2828</v>
      </c>
      <c r="J614" s="50" t="s">
        <v>1629</v>
      </c>
      <c r="K614" s="50" t="s">
        <v>1629</v>
      </c>
      <c r="L614" s="50"/>
      <c r="M614" s="50"/>
      <c r="N614" s="50"/>
      <c r="O614" s="50"/>
      <c r="P614" s="50"/>
      <c r="Q614" s="50"/>
      <c r="R614" s="50"/>
      <c r="S614" s="50"/>
      <c r="T614" s="50"/>
      <c r="U614" s="50"/>
      <c r="V614" s="50"/>
      <c r="W614" s="50" t="s">
        <v>2829</v>
      </c>
      <c r="X614" s="50"/>
      <c r="Y614" s="50"/>
      <c r="Z614" s="50"/>
      <c r="AA614" s="50" t="s">
        <v>2830</v>
      </c>
      <c r="AB614" s="50" t="s">
        <v>2824</v>
      </c>
      <c r="AC614" s="50" t="s">
        <v>2831</v>
      </c>
      <c r="AD614" s="95">
        <v>192</v>
      </c>
      <c r="AE614" s="174">
        <v>120</v>
      </c>
      <c r="AF614" s="174" t="s">
        <v>2826</v>
      </c>
      <c r="AG614" s="50"/>
      <c r="AH614" s="50" t="s">
        <v>2819</v>
      </c>
      <c r="AI614" s="175">
        <v>3</v>
      </c>
      <c r="AJ614" s="179" t="s">
        <v>919</v>
      </c>
      <c r="AK614" s="14"/>
      <c r="AL614" s="14"/>
      <c r="AM614" s="14"/>
      <c r="AN614" s="14"/>
      <c r="AO614" s="14"/>
      <c r="AP614" s="14"/>
      <c r="AQ614" s="14"/>
      <c r="AR614" s="14"/>
      <c r="AS614" s="14"/>
      <c r="AT614" s="14"/>
      <c r="AU614" s="14"/>
      <c r="AV614" s="14"/>
      <c r="AW614" s="14"/>
    </row>
    <row r="615" spans="1:49" ht="13">
      <c r="A615" s="176">
        <v>2021</v>
      </c>
      <c r="B615" s="53" t="s">
        <v>58</v>
      </c>
      <c r="C615" s="50" t="s">
        <v>462</v>
      </c>
      <c r="D615" s="50" t="s">
        <v>95</v>
      </c>
      <c r="E615" s="50" t="s">
        <v>462</v>
      </c>
      <c r="F615" s="50" t="s">
        <v>2832</v>
      </c>
      <c r="G615" s="177">
        <v>0</v>
      </c>
      <c r="H615" s="50" t="s">
        <v>2833</v>
      </c>
      <c r="I615" s="178" t="s">
        <v>2834</v>
      </c>
      <c r="J615" s="50" t="s">
        <v>1629</v>
      </c>
      <c r="K615" s="50" t="s">
        <v>1629</v>
      </c>
      <c r="L615" s="50"/>
      <c r="M615" s="50"/>
      <c r="N615" s="50"/>
      <c r="O615" s="50"/>
      <c r="P615" s="50"/>
      <c r="Q615" s="50"/>
      <c r="R615" s="50"/>
      <c r="S615" s="50"/>
      <c r="T615" s="50"/>
      <c r="U615" s="50"/>
      <c r="V615" s="50"/>
      <c r="W615" s="50" t="s">
        <v>2829</v>
      </c>
      <c r="X615" s="50"/>
      <c r="Y615" s="50"/>
      <c r="Z615" s="50"/>
      <c r="AA615" s="50" t="s">
        <v>2835</v>
      </c>
      <c r="AB615" s="50" t="s">
        <v>2824</v>
      </c>
      <c r="AC615" s="50" t="s">
        <v>2836</v>
      </c>
      <c r="AD615" s="99">
        <v>193</v>
      </c>
      <c r="AE615" s="174">
        <v>120</v>
      </c>
      <c r="AF615" s="174">
        <v>58</v>
      </c>
      <c r="AG615" s="50"/>
      <c r="AH615" s="50" t="s">
        <v>2837</v>
      </c>
      <c r="AI615" s="175">
        <v>4</v>
      </c>
      <c r="AJ615" s="178" t="s">
        <v>919</v>
      </c>
      <c r="AK615" s="29"/>
      <c r="AL615" s="29"/>
      <c r="AM615" s="29"/>
      <c r="AN615" s="29"/>
      <c r="AO615" s="29"/>
      <c r="AP615" s="29"/>
      <c r="AQ615" s="29"/>
      <c r="AR615" s="29"/>
      <c r="AS615" s="29"/>
      <c r="AT615" s="29"/>
      <c r="AU615" s="29"/>
      <c r="AV615" s="29"/>
      <c r="AW615" s="29"/>
    </row>
    <row r="616" spans="1:49" ht="13">
      <c r="A616" s="176">
        <v>2024</v>
      </c>
      <c r="B616" s="53" t="s">
        <v>56</v>
      </c>
      <c r="C616" s="50" t="s">
        <v>56</v>
      </c>
      <c r="D616" s="50" t="s">
        <v>380</v>
      </c>
      <c r="E616" s="50" t="s">
        <v>56</v>
      </c>
      <c r="F616" s="50" t="s">
        <v>920</v>
      </c>
      <c r="G616" s="99">
        <v>1</v>
      </c>
      <c r="H616" s="50" t="s">
        <v>2838</v>
      </c>
      <c r="I616" s="179" t="s">
        <v>2839</v>
      </c>
      <c r="J616" s="50" t="s">
        <v>1629</v>
      </c>
      <c r="K616" s="50" t="s">
        <v>1629</v>
      </c>
      <c r="L616" s="50"/>
      <c r="M616" s="50"/>
      <c r="N616" s="50"/>
      <c r="O616" s="50"/>
      <c r="P616" s="50"/>
      <c r="Q616" s="50"/>
      <c r="R616" s="50"/>
      <c r="S616" s="50"/>
      <c r="T616" s="50"/>
      <c r="U616" s="50"/>
      <c r="V616" s="50"/>
      <c r="W616" s="50" t="s">
        <v>1635</v>
      </c>
      <c r="X616" s="50"/>
      <c r="Y616" s="50"/>
      <c r="Z616" s="50"/>
      <c r="AA616" s="50" t="s">
        <v>2840</v>
      </c>
      <c r="AB616" s="50" t="s">
        <v>2841</v>
      </c>
      <c r="AC616" s="50" t="s">
        <v>2842</v>
      </c>
      <c r="AD616" s="95">
        <v>194</v>
      </c>
      <c r="AE616" s="174">
        <v>121</v>
      </c>
      <c r="AF616" s="174" t="s">
        <v>2826</v>
      </c>
      <c r="AG616" s="50"/>
      <c r="AH616" s="50" t="s">
        <v>2819</v>
      </c>
      <c r="AI616" s="175">
        <v>5</v>
      </c>
      <c r="AJ616" s="179" t="s">
        <v>921</v>
      </c>
      <c r="AK616" s="14"/>
      <c r="AL616" s="14"/>
      <c r="AM616" s="14"/>
      <c r="AN616" s="14"/>
      <c r="AO616" s="14"/>
      <c r="AP616" s="14"/>
      <c r="AQ616" s="14"/>
      <c r="AR616" s="14"/>
      <c r="AS616" s="14"/>
      <c r="AT616" s="14"/>
      <c r="AU616" s="14"/>
      <c r="AV616" s="14"/>
      <c r="AW616" s="14"/>
    </row>
    <row r="617" spans="1:49" ht="13">
      <c r="A617" s="176">
        <v>2024</v>
      </c>
      <c r="B617" s="53" t="s">
        <v>58</v>
      </c>
      <c r="C617" s="50" t="s">
        <v>380</v>
      </c>
      <c r="D617" s="50" t="s">
        <v>380</v>
      </c>
      <c r="E617" s="50" t="s">
        <v>380</v>
      </c>
      <c r="F617" s="50" t="s">
        <v>2843</v>
      </c>
      <c r="G617" s="177">
        <v>0</v>
      </c>
      <c r="H617" s="50" t="s">
        <v>2844</v>
      </c>
      <c r="I617" s="178" t="s">
        <v>2845</v>
      </c>
      <c r="J617" s="50" t="s">
        <v>1629</v>
      </c>
      <c r="K617" s="50" t="s">
        <v>1629</v>
      </c>
      <c r="L617" s="50"/>
      <c r="M617" s="50"/>
      <c r="N617" s="50"/>
      <c r="O617" s="50"/>
      <c r="P617" s="50"/>
      <c r="Q617" s="50"/>
      <c r="R617" s="50"/>
      <c r="S617" s="50"/>
      <c r="T617" s="50"/>
      <c r="U617" s="50"/>
      <c r="V617" s="50"/>
      <c r="W617" s="50" t="s">
        <v>1635</v>
      </c>
      <c r="X617" s="50"/>
      <c r="Y617" s="50"/>
      <c r="Z617" s="50"/>
      <c r="AA617" s="50" t="s">
        <v>2846</v>
      </c>
      <c r="AB617" s="50" t="s">
        <v>2841</v>
      </c>
      <c r="AC617" s="50" t="s">
        <v>2847</v>
      </c>
      <c r="AD617" s="99">
        <v>195</v>
      </c>
      <c r="AE617" s="174">
        <v>122</v>
      </c>
      <c r="AF617" s="174">
        <v>216</v>
      </c>
      <c r="AG617" s="50"/>
      <c r="AH617" s="50" t="s">
        <v>2819</v>
      </c>
      <c r="AI617" s="175">
        <v>6</v>
      </c>
      <c r="AJ617" s="178" t="s">
        <v>925</v>
      </c>
      <c r="AK617" s="29"/>
      <c r="AL617" s="29"/>
      <c r="AM617" s="29"/>
      <c r="AN617" s="29"/>
      <c r="AO617" s="29"/>
      <c r="AP617" s="29"/>
      <c r="AQ617" s="29"/>
      <c r="AR617" s="29"/>
      <c r="AS617" s="29"/>
      <c r="AT617" s="29"/>
      <c r="AU617" s="29"/>
      <c r="AV617" s="29"/>
      <c r="AW617" s="29"/>
    </row>
    <row r="618" spans="1:49" ht="13">
      <c r="A618" s="176">
        <v>2024</v>
      </c>
      <c r="B618" s="53" t="s">
        <v>56</v>
      </c>
      <c r="C618" s="50" t="s">
        <v>56</v>
      </c>
      <c r="D618" s="50" t="s">
        <v>380</v>
      </c>
      <c r="E618" s="50" t="s">
        <v>56</v>
      </c>
      <c r="F618" s="50" t="s">
        <v>920</v>
      </c>
      <c r="G618" s="99">
        <v>1</v>
      </c>
      <c r="H618" s="180" t="s">
        <v>2848</v>
      </c>
      <c r="I618" s="179" t="s">
        <v>2849</v>
      </c>
      <c r="J618" s="50" t="s">
        <v>1629</v>
      </c>
      <c r="K618" s="50" t="s">
        <v>1629</v>
      </c>
      <c r="L618" s="50"/>
      <c r="M618" s="50"/>
      <c r="N618" s="50"/>
      <c r="O618" s="50"/>
      <c r="P618" s="50"/>
      <c r="Q618" s="50"/>
      <c r="R618" s="50"/>
      <c r="S618" s="50"/>
      <c r="T618" s="50"/>
      <c r="U618" s="50"/>
      <c r="V618" s="50"/>
      <c r="W618" s="50" t="s">
        <v>1635</v>
      </c>
      <c r="X618" s="50"/>
      <c r="Y618" s="50"/>
      <c r="Z618" s="50"/>
      <c r="AA618" s="50" t="s">
        <v>2850</v>
      </c>
      <c r="AB618" s="50" t="s">
        <v>2841</v>
      </c>
      <c r="AC618" s="50" t="s">
        <v>2851</v>
      </c>
      <c r="AD618" s="95">
        <v>196</v>
      </c>
      <c r="AE618" s="174" t="s">
        <v>2826</v>
      </c>
      <c r="AF618" s="174" t="s">
        <v>2826</v>
      </c>
      <c r="AG618" s="50"/>
      <c r="AH618" s="50" t="s">
        <v>2852</v>
      </c>
      <c r="AI618" s="175">
        <v>7</v>
      </c>
      <c r="AJ618" s="179" t="s">
        <v>2848</v>
      </c>
      <c r="AK618" s="14"/>
      <c r="AL618" s="14"/>
      <c r="AM618" s="14"/>
      <c r="AN618" s="14"/>
      <c r="AO618" s="14"/>
      <c r="AP618" s="14"/>
      <c r="AQ618" s="14"/>
      <c r="AR618" s="14"/>
      <c r="AS618" s="14"/>
      <c r="AT618" s="14"/>
      <c r="AU618" s="14"/>
      <c r="AV618" s="14"/>
      <c r="AW618" s="14"/>
    </row>
    <row r="619" spans="1:49" ht="13">
      <c r="A619" s="176">
        <v>2023</v>
      </c>
      <c r="B619" s="53" t="s">
        <v>58</v>
      </c>
      <c r="C619" s="50" t="s">
        <v>365</v>
      </c>
      <c r="D619" s="50" t="s">
        <v>380</v>
      </c>
      <c r="E619" s="50" t="s">
        <v>365</v>
      </c>
      <c r="F619" s="50" t="s">
        <v>926</v>
      </c>
      <c r="G619" s="99">
        <v>1</v>
      </c>
      <c r="H619" s="50" t="s">
        <v>2853</v>
      </c>
      <c r="I619" s="178" t="s">
        <v>2854</v>
      </c>
      <c r="J619" s="50" t="s">
        <v>1629</v>
      </c>
      <c r="K619" s="50" t="s">
        <v>1629</v>
      </c>
      <c r="L619" s="50"/>
      <c r="M619" s="50"/>
      <c r="N619" s="50"/>
      <c r="O619" s="50"/>
      <c r="P619" s="50"/>
      <c r="Q619" s="50"/>
      <c r="R619" s="50"/>
      <c r="S619" s="50"/>
      <c r="T619" s="50"/>
      <c r="U619" s="50"/>
      <c r="V619" s="50"/>
      <c r="W619" s="50" t="s">
        <v>1635</v>
      </c>
      <c r="X619" s="50"/>
      <c r="Y619" s="50"/>
      <c r="Z619" s="50"/>
      <c r="AA619" s="50" t="s">
        <v>2855</v>
      </c>
      <c r="AB619" s="50" t="s">
        <v>2841</v>
      </c>
      <c r="AC619" s="50" t="s">
        <v>2856</v>
      </c>
      <c r="AD619" s="99">
        <v>197</v>
      </c>
      <c r="AE619" s="174">
        <v>123</v>
      </c>
      <c r="AF619" s="174">
        <v>216</v>
      </c>
      <c r="AG619" s="50"/>
      <c r="AH619" s="50" t="s">
        <v>2857</v>
      </c>
      <c r="AI619" s="175">
        <v>8</v>
      </c>
      <c r="AJ619" s="178" t="s">
        <v>927</v>
      </c>
      <c r="AK619" s="29"/>
      <c r="AL619" s="29"/>
      <c r="AM619" s="29"/>
      <c r="AN619" s="29"/>
      <c r="AO619" s="29"/>
      <c r="AP619" s="29"/>
      <c r="AQ619" s="29"/>
      <c r="AR619" s="29"/>
      <c r="AS619" s="29"/>
      <c r="AT619" s="29"/>
      <c r="AU619" s="29"/>
      <c r="AV619" s="29"/>
      <c r="AW619" s="29"/>
    </row>
    <row r="620" spans="1:49" ht="13">
      <c r="A620" s="176">
        <v>2021</v>
      </c>
      <c r="B620" s="53" t="s">
        <v>58</v>
      </c>
      <c r="C620" s="50" t="s">
        <v>380</v>
      </c>
      <c r="D620" s="50" t="s">
        <v>380</v>
      </c>
      <c r="E620" s="50" t="s">
        <v>380</v>
      </c>
      <c r="F620" s="50" t="s">
        <v>928</v>
      </c>
      <c r="G620" s="99">
        <v>1</v>
      </c>
      <c r="H620" s="50" t="s">
        <v>2858</v>
      </c>
      <c r="I620" s="179" t="s">
        <v>2859</v>
      </c>
      <c r="J620" s="50" t="s">
        <v>1629</v>
      </c>
      <c r="K620" s="50" t="s">
        <v>1629</v>
      </c>
      <c r="L620" s="50"/>
      <c r="M620" s="50"/>
      <c r="N620" s="50"/>
      <c r="O620" s="50"/>
      <c r="P620" s="50"/>
      <c r="Q620" s="50"/>
      <c r="R620" s="50"/>
      <c r="S620" s="50"/>
      <c r="T620" s="50"/>
      <c r="U620" s="50"/>
      <c r="V620" s="50"/>
      <c r="W620" s="50" t="s">
        <v>1635</v>
      </c>
      <c r="X620" s="50"/>
      <c r="Y620" s="50"/>
      <c r="Z620" s="50"/>
      <c r="AA620" s="50" t="s">
        <v>2860</v>
      </c>
      <c r="AB620" s="50" t="s">
        <v>2841</v>
      </c>
      <c r="AC620" s="50" t="s">
        <v>2861</v>
      </c>
      <c r="AD620" s="95">
        <v>198</v>
      </c>
      <c r="AE620" s="174">
        <v>124</v>
      </c>
      <c r="AF620" s="174">
        <v>216</v>
      </c>
      <c r="AG620" s="50"/>
      <c r="AH620" s="50" t="s">
        <v>2852</v>
      </c>
      <c r="AI620" s="175">
        <v>9</v>
      </c>
      <c r="AJ620" s="179" t="s">
        <v>929</v>
      </c>
      <c r="AK620" s="14"/>
      <c r="AL620" s="14"/>
      <c r="AM620" s="14"/>
      <c r="AN620" s="14"/>
      <c r="AO620" s="14"/>
      <c r="AP620" s="14"/>
      <c r="AQ620" s="14"/>
      <c r="AR620" s="14"/>
      <c r="AS620" s="14"/>
      <c r="AT620" s="14"/>
      <c r="AU620" s="14"/>
      <c r="AV620" s="14"/>
      <c r="AW620" s="14"/>
    </row>
    <row r="621" spans="1:49" ht="13">
      <c r="A621" s="176">
        <v>2014</v>
      </c>
      <c r="B621" s="53" t="s">
        <v>58</v>
      </c>
      <c r="C621" s="50" t="s">
        <v>380</v>
      </c>
      <c r="D621" s="50" t="s">
        <v>465</v>
      </c>
      <c r="E621" s="50" t="s">
        <v>380</v>
      </c>
      <c r="F621" s="50" t="s">
        <v>930</v>
      </c>
      <c r="G621" s="99">
        <v>1</v>
      </c>
      <c r="H621" s="50" t="s">
        <v>2862</v>
      </c>
      <c r="I621" s="178" t="s">
        <v>2863</v>
      </c>
      <c r="J621" s="50" t="s">
        <v>1629</v>
      </c>
      <c r="K621" s="50" t="s">
        <v>1629</v>
      </c>
      <c r="L621" s="50"/>
      <c r="M621" s="50"/>
      <c r="N621" s="50"/>
      <c r="O621" s="50"/>
      <c r="P621" s="50"/>
      <c r="Q621" s="50"/>
      <c r="R621" s="50"/>
      <c r="S621" s="50"/>
      <c r="T621" s="50"/>
      <c r="U621" s="50"/>
      <c r="V621" s="50"/>
      <c r="W621" s="50" t="s">
        <v>1635</v>
      </c>
      <c r="X621" s="50"/>
      <c r="Y621" s="50"/>
      <c r="Z621" s="50"/>
      <c r="AA621" s="50" t="s">
        <v>2864</v>
      </c>
      <c r="AB621" s="50" t="s">
        <v>2841</v>
      </c>
      <c r="AC621" s="50" t="s">
        <v>2865</v>
      </c>
      <c r="AD621" s="99">
        <v>199</v>
      </c>
      <c r="AE621" s="174">
        <v>125</v>
      </c>
      <c r="AF621" s="174" t="s">
        <v>2826</v>
      </c>
      <c r="AG621" s="50"/>
      <c r="AH621" s="50" t="s">
        <v>2852</v>
      </c>
      <c r="AI621" s="175">
        <v>10</v>
      </c>
      <c r="AJ621" s="178" t="s">
        <v>931</v>
      </c>
      <c r="AK621" s="29"/>
      <c r="AL621" s="29"/>
      <c r="AM621" s="29"/>
      <c r="AN621" s="29"/>
      <c r="AO621" s="29"/>
      <c r="AP621" s="29"/>
      <c r="AQ621" s="29"/>
      <c r="AR621" s="29"/>
      <c r="AS621" s="29"/>
      <c r="AT621" s="29"/>
      <c r="AU621" s="29"/>
      <c r="AV621" s="29"/>
      <c r="AW621" s="29"/>
    </row>
    <row r="622" spans="1:49" ht="13">
      <c r="A622" s="176">
        <v>2021</v>
      </c>
      <c r="B622" s="12" t="s">
        <v>64</v>
      </c>
      <c r="C622" s="50" t="s">
        <v>455</v>
      </c>
      <c r="D622" s="50" t="s">
        <v>380</v>
      </c>
      <c r="E622" s="50" t="s">
        <v>455</v>
      </c>
      <c r="F622" s="50" t="s">
        <v>934</v>
      </c>
      <c r="G622" s="99">
        <v>1</v>
      </c>
      <c r="H622" s="50" t="s">
        <v>2866</v>
      </c>
      <c r="I622" s="179" t="s">
        <v>2867</v>
      </c>
      <c r="J622" s="50" t="s">
        <v>1629</v>
      </c>
      <c r="K622" s="50" t="s">
        <v>1629</v>
      </c>
      <c r="L622" s="50"/>
      <c r="M622" s="50"/>
      <c r="N622" s="50"/>
      <c r="O622" s="50"/>
      <c r="P622" s="50"/>
      <c r="Q622" s="50"/>
      <c r="R622" s="50"/>
      <c r="S622" s="50"/>
      <c r="T622" s="50"/>
      <c r="U622" s="50"/>
      <c r="V622" s="50"/>
      <c r="W622" s="50" t="s">
        <v>1635</v>
      </c>
      <c r="X622" s="50"/>
      <c r="Y622" s="50"/>
      <c r="Z622" s="50"/>
      <c r="AA622" s="50" t="s">
        <v>2868</v>
      </c>
      <c r="AB622" s="50" t="s">
        <v>2841</v>
      </c>
      <c r="AC622" s="50" t="s">
        <v>2869</v>
      </c>
      <c r="AD622" s="95">
        <v>200</v>
      </c>
      <c r="AE622" s="174">
        <v>126</v>
      </c>
      <c r="AF622" s="174" t="s">
        <v>2826</v>
      </c>
      <c r="AG622" s="50"/>
      <c r="AH622" s="50" t="s">
        <v>2819</v>
      </c>
      <c r="AI622" s="175">
        <v>11</v>
      </c>
      <c r="AJ622" s="179" t="s">
        <v>935</v>
      </c>
      <c r="AK622" s="14"/>
      <c r="AL622" s="14"/>
      <c r="AM622" s="14"/>
      <c r="AN622" s="14"/>
      <c r="AO622" s="14"/>
      <c r="AP622" s="14"/>
      <c r="AQ622" s="14"/>
      <c r="AR622" s="14"/>
      <c r="AS622" s="14"/>
      <c r="AT622" s="14"/>
      <c r="AU622" s="14"/>
      <c r="AV622" s="14"/>
      <c r="AW622" s="14"/>
    </row>
    <row r="623" spans="1:49" ht="13">
      <c r="A623" s="176">
        <v>2015</v>
      </c>
      <c r="B623" s="53" t="s">
        <v>80</v>
      </c>
      <c r="C623" s="50" t="s">
        <v>316</v>
      </c>
      <c r="D623" s="50" t="s">
        <v>465</v>
      </c>
      <c r="E623" s="50" t="s">
        <v>316</v>
      </c>
      <c r="F623" s="50" t="s">
        <v>2870</v>
      </c>
      <c r="G623" s="177">
        <v>0</v>
      </c>
      <c r="H623" s="50" t="s">
        <v>2871</v>
      </c>
      <c r="I623" s="178" t="s">
        <v>2872</v>
      </c>
      <c r="J623" s="50" t="s">
        <v>1629</v>
      </c>
      <c r="K623" s="50" t="s">
        <v>1629</v>
      </c>
      <c r="L623" s="50"/>
      <c r="M623" s="50"/>
      <c r="N623" s="50"/>
      <c r="O623" s="50"/>
      <c r="P623" s="50"/>
      <c r="Q623" s="50"/>
      <c r="R623" s="50"/>
      <c r="S623" s="50"/>
      <c r="T623" s="50"/>
      <c r="U623" s="50"/>
      <c r="V623" s="50"/>
      <c r="W623" s="50" t="s">
        <v>1635</v>
      </c>
      <c r="X623" s="50"/>
      <c r="Y623" s="50"/>
      <c r="Z623" s="50"/>
      <c r="AA623" s="50" t="s">
        <v>2873</v>
      </c>
      <c r="AB623" s="50" t="s">
        <v>2824</v>
      </c>
      <c r="AC623" s="50" t="s">
        <v>2874</v>
      </c>
      <c r="AD623" s="99">
        <v>201</v>
      </c>
      <c r="AE623" s="174">
        <v>83</v>
      </c>
      <c r="AF623" s="174" t="s">
        <v>2826</v>
      </c>
      <c r="AG623" s="50"/>
      <c r="AH623" s="50" t="s">
        <v>2852</v>
      </c>
      <c r="AI623" s="175">
        <v>12</v>
      </c>
      <c r="AJ623" s="178" t="s">
        <v>735</v>
      </c>
      <c r="AK623" s="29"/>
      <c r="AL623" s="29"/>
      <c r="AM623" s="29"/>
      <c r="AN623" s="29"/>
      <c r="AO623" s="29"/>
      <c r="AP623" s="29"/>
      <c r="AQ623" s="29"/>
      <c r="AR623" s="29"/>
      <c r="AS623" s="29"/>
      <c r="AT623" s="29"/>
      <c r="AU623" s="29"/>
      <c r="AV623" s="29"/>
      <c r="AW623" s="29"/>
    </row>
    <row r="624" spans="1:49" ht="13">
      <c r="A624" s="176">
        <v>2015</v>
      </c>
      <c r="B624" s="53" t="s">
        <v>58</v>
      </c>
      <c r="C624" s="50" t="s">
        <v>397</v>
      </c>
      <c r="D624" s="50" t="s">
        <v>465</v>
      </c>
      <c r="E624" s="50" t="s">
        <v>397</v>
      </c>
      <c r="F624" s="50" t="s">
        <v>936</v>
      </c>
      <c r="G624" s="99">
        <v>2</v>
      </c>
      <c r="H624" s="50" t="s">
        <v>2875</v>
      </c>
      <c r="I624" s="179" t="s">
        <v>2876</v>
      </c>
      <c r="J624" s="50" t="s">
        <v>1629</v>
      </c>
      <c r="K624" s="50" t="s">
        <v>1629</v>
      </c>
      <c r="L624" s="50"/>
      <c r="M624" s="50"/>
      <c r="N624" s="50"/>
      <c r="O624" s="50"/>
      <c r="P624" s="50"/>
      <c r="Q624" s="50"/>
      <c r="R624" s="50"/>
      <c r="S624" s="50"/>
      <c r="T624" s="50"/>
      <c r="U624" s="50"/>
      <c r="V624" s="50"/>
      <c r="W624" s="50" t="s">
        <v>1635</v>
      </c>
      <c r="X624" s="50"/>
      <c r="Y624" s="50"/>
      <c r="Z624" s="50"/>
      <c r="AA624" s="50" t="s">
        <v>2877</v>
      </c>
      <c r="AB624" s="50" t="s">
        <v>2824</v>
      </c>
      <c r="AC624" s="50" t="s">
        <v>2878</v>
      </c>
      <c r="AD624" s="95">
        <v>202</v>
      </c>
      <c r="AE624" s="174" t="s">
        <v>2826</v>
      </c>
      <c r="AF624" s="174" t="s">
        <v>2826</v>
      </c>
      <c r="AG624" s="50"/>
      <c r="AH624" s="50" t="s">
        <v>2852</v>
      </c>
      <c r="AI624" s="175">
        <v>13</v>
      </c>
      <c r="AJ624" s="53" t="s">
        <v>462</v>
      </c>
      <c r="AK624" s="14"/>
      <c r="AL624" s="14"/>
      <c r="AM624" s="14"/>
      <c r="AN624" s="14"/>
      <c r="AO624" s="14"/>
      <c r="AP624" s="14"/>
      <c r="AQ624" s="14"/>
      <c r="AR624" s="14"/>
      <c r="AS624" s="14"/>
      <c r="AT624" s="14"/>
      <c r="AU624" s="14"/>
      <c r="AV624" s="14"/>
      <c r="AW624" s="14"/>
    </row>
    <row r="625" spans="1:49" ht="13">
      <c r="A625" s="176">
        <v>2018</v>
      </c>
      <c r="B625" s="53" t="s">
        <v>58</v>
      </c>
      <c r="C625" s="50" t="s">
        <v>372</v>
      </c>
      <c r="D625" s="50" t="s">
        <v>372</v>
      </c>
      <c r="E625" s="50" t="s">
        <v>372</v>
      </c>
      <c r="F625" s="50" t="s">
        <v>2879</v>
      </c>
      <c r="G625" s="177">
        <v>0</v>
      </c>
      <c r="H625" s="50" t="s">
        <v>2880</v>
      </c>
      <c r="I625" s="178" t="s">
        <v>2881</v>
      </c>
      <c r="J625" s="50" t="s">
        <v>1629</v>
      </c>
      <c r="K625" s="50" t="s">
        <v>1629</v>
      </c>
      <c r="L625" s="50"/>
      <c r="M625" s="50"/>
      <c r="N625" s="50"/>
      <c r="O625" s="50"/>
      <c r="P625" s="50"/>
      <c r="Q625" s="50"/>
      <c r="R625" s="50"/>
      <c r="S625" s="50"/>
      <c r="T625" s="50"/>
      <c r="U625" s="50"/>
      <c r="V625" s="50"/>
      <c r="W625" s="50" t="s">
        <v>1635</v>
      </c>
      <c r="X625" s="50"/>
      <c r="Y625" s="50"/>
      <c r="Z625" s="50"/>
      <c r="AA625" s="50" t="s">
        <v>2882</v>
      </c>
      <c r="AB625" s="50" t="s">
        <v>2883</v>
      </c>
      <c r="AC625" s="50" t="s">
        <v>2884</v>
      </c>
      <c r="AD625" s="99">
        <v>203</v>
      </c>
      <c r="AE625" s="174" t="s">
        <v>2826</v>
      </c>
      <c r="AF625" s="174">
        <v>204</v>
      </c>
      <c r="AG625" s="50"/>
      <c r="AH625" s="50" t="s">
        <v>2819</v>
      </c>
      <c r="AI625" s="175">
        <v>14</v>
      </c>
      <c r="AJ625" s="181" t="s">
        <v>462</v>
      </c>
      <c r="AK625" s="29"/>
      <c r="AL625" s="29"/>
      <c r="AM625" s="29"/>
      <c r="AN625" s="29"/>
      <c r="AO625" s="29"/>
      <c r="AP625" s="29"/>
      <c r="AQ625" s="29"/>
      <c r="AR625" s="29"/>
      <c r="AS625" s="29"/>
      <c r="AT625" s="29"/>
      <c r="AU625" s="29"/>
      <c r="AV625" s="29"/>
      <c r="AW625" s="29"/>
    </row>
    <row r="626" spans="1:49" ht="13">
      <c r="A626" s="176">
        <v>2020</v>
      </c>
      <c r="B626" s="53" t="s">
        <v>58</v>
      </c>
      <c r="C626" s="50" t="s">
        <v>372</v>
      </c>
      <c r="D626" s="50" t="s">
        <v>372</v>
      </c>
      <c r="E626" s="50" t="s">
        <v>372</v>
      </c>
      <c r="F626" s="50" t="s">
        <v>651</v>
      </c>
      <c r="G626" s="177">
        <v>0</v>
      </c>
      <c r="H626" s="50" t="s">
        <v>2885</v>
      </c>
      <c r="I626" s="179" t="s">
        <v>2886</v>
      </c>
      <c r="J626" s="50" t="s">
        <v>1629</v>
      </c>
      <c r="K626" s="50" t="s">
        <v>1629</v>
      </c>
      <c r="L626" s="50"/>
      <c r="M626" s="50"/>
      <c r="N626" s="50"/>
      <c r="O626" s="50"/>
      <c r="P626" s="50"/>
      <c r="Q626" s="50"/>
      <c r="R626" s="50"/>
      <c r="S626" s="50"/>
      <c r="T626" s="50"/>
      <c r="U626" s="50"/>
      <c r="V626" s="50"/>
      <c r="W626" s="50" t="s">
        <v>1629</v>
      </c>
      <c r="X626" s="50"/>
      <c r="Y626" s="50"/>
      <c r="Z626" s="50"/>
      <c r="AA626" s="50" t="s">
        <v>2887</v>
      </c>
      <c r="AB626" s="50" t="s">
        <v>2883</v>
      </c>
      <c r="AC626" s="50" t="s">
        <v>2888</v>
      </c>
      <c r="AD626" s="95">
        <v>204</v>
      </c>
      <c r="AE626" s="174" t="s">
        <v>2826</v>
      </c>
      <c r="AF626" s="174">
        <v>204</v>
      </c>
      <c r="AG626" s="50"/>
      <c r="AH626" s="50" t="s">
        <v>2819</v>
      </c>
      <c r="AI626" s="175">
        <v>15</v>
      </c>
      <c r="AJ626" s="53" t="s">
        <v>462</v>
      </c>
      <c r="AK626" s="14"/>
      <c r="AL626" s="14"/>
      <c r="AM626" s="14"/>
      <c r="AN626" s="14"/>
      <c r="AO626" s="14"/>
      <c r="AP626" s="14"/>
      <c r="AQ626" s="14"/>
      <c r="AR626" s="14"/>
      <c r="AS626" s="14"/>
      <c r="AT626" s="14"/>
      <c r="AU626" s="14"/>
      <c r="AV626" s="14"/>
      <c r="AW626" s="14"/>
    </row>
    <row r="627" spans="1:49" ht="13">
      <c r="A627" s="176">
        <v>2019</v>
      </c>
      <c r="B627" s="53" t="s">
        <v>58</v>
      </c>
      <c r="C627" s="50" t="s">
        <v>393</v>
      </c>
      <c r="D627" s="50" t="s">
        <v>465</v>
      </c>
      <c r="E627" s="50" t="s">
        <v>393</v>
      </c>
      <c r="F627" s="50" t="s">
        <v>937</v>
      </c>
      <c r="G627" s="99">
        <v>1</v>
      </c>
      <c r="H627" s="50" t="s">
        <v>2889</v>
      </c>
      <c r="I627" s="178" t="s">
        <v>2890</v>
      </c>
      <c r="J627" s="50" t="s">
        <v>1629</v>
      </c>
      <c r="K627" s="50" t="s">
        <v>1629</v>
      </c>
      <c r="L627" s="50"/>
      <c r="M627" s="50"/>
      <c r="N627" s="50"/>
      <c r="O627" s="50"/>
      <c r="P627" s="50"/>
      <c r="Q627" s="50"/>
      <c r="R627" s="50"/>
      <c r="S627" s="50"/>
      <c r="T627" s="50"/>
      <c r="U627" s="50"/>
      <c r="V627" s="50"/>
      <c r="W627" s="50" t="s">
        <v>2829</v>
      </c>
      <c r="X627" s="50"/>
      <c r="Y627" s="50"/>
      <c r="Z627" s="50"/>
      <c r="AA627" s="50" t="s">
        <v>2891</v>
      </c>
      <c r="AB627" s="50" t="s">
        <v>2883</v>
      </c>
      <c r="AC627" s="50" t="s">
        <v>2892</v>
      </c>
      <c r="AD627" s="99">
        <v>205</v>
      </c>
      <c r="AE627" s="174">
        <v>128</v>
      </c>
      <c r="AF627" s="174" t="s">
        <v>2826</v>
      </c>
      <c r="AG627" s="50"/>
      <c r="AH627" s="50" t="s">
        <v>2819</v>
      </c>
      <c r="AI627" s="175">
        <v>16</v>
      </c>
      <c r="AJ627" s="178" t="s">
        <v>938</v>
      </c>
      <c r="AK627" s="29"/>
      <c r="AL627" s="29"/>
      <c r="AM627" s="29"/>
      <c r="AN627" s="29"/>
      <c r="AO627" s="29"/>
      <c r="AP627" s="29"/>
      <c r="AQ627" s="29"/>
      <c r="AR627" s="29"/>
      <c r="AS627" s="29"/>
      <c r="AT627" s="29"/>
      <c r="AU627" s="29"/>
      <c r="AV627" s="29"/>
      <c r="AW627" s="29"/>
    </row>
    <row r="628" spans="1:49" ht="13">
      <c r="A628" s="176">
        <v>2024</v>
      </c>
      <c r="B628" s="53" t="s">
        <v>58</v>
      </c>
      <c r="C628" s="50" t="s">
        <v>462</v>
      </c>
      <c r="D628" s="50" t="s">
        <v>95</v>
      </c>
      <c r="E628" s="50" t="s">
        <v>462</v>
      </c>
      <c r="F628" s="50" t="s">
        <v>2832</v>
      </c>
      <c r="G628" s="177">
        <v>0</v>
      </c>
      <c r="H628" s="50" t="s">
        <v>2893</v>
      </c>
      <c r="I628" s="179" t="s">
        <v>2894</v>
      </c>
      <c r="J628" s="50" t="s">
        <v>1629</v>
      </c>
      <c r="K628" s="50" t="s">
        <v>1635</v>
      </c>
      <c r="L628" s="50"/>
      <c r="M628" s="50"/>
      <c r="N628" s="50"/>
      <c r="O628" s="50"/>
      <c r="P628" s="50"/>
      <c r="Q628" s="50"/>
      <c r="R628" s="50"/>
      <c r="S628" s="50"/>
      <c r="T628" s="50"/>
      <c r="U628" s="50"/>
      <c r="V628" s="50"/>
      <c r="W628" s="50" t="s">
        <v>1635</v>
      </c>
      <c r="X628" s="50"/>
      <c r="Y628" s="50"/>
      <c r="Z628" s="50"/>
      <c r="AA628" s="50" t="s">
        <v>2895</v>
      </c>
      <c r="AB628" s="50" t="s">
        <v>2824</v>
      </c>
      <c r="AC628" s="50" t="s">
        <v>2896</v>
      </c>
      <c r="AD628" s="95">
        <v>206</v>
      </c>
      <c r="AE628" s="174">
        <v>120</v>
      </c>
      <c r="AF628" s="174">
        <v>58</v>
      </c>
      <c r="AG628" s="50"/>
      <c r="AH628" s="50" t="s">
        <v>2819</v>
      </c>
      <c r="AI628" s="175">
        <v>17</v>
      </c>
      <c r="AJ628" s="179" t="s">
        <v>919</v>
      </c>
      <c r="AK628" s="14"/>
      <c r="AL628" s="14"/>
      <c r="AM628" s="14"/>
      <c r="AN628" s="14"/>
      <c r="AO628" s="14"/>
      <c r="AP628" s="14"/>
      <c r="AQ628" s="14"/>
      <c r="AR628" s="14"/>
      <c r="AS628" s="14"/>
      <c r="AT628" s="14"/>
      <c r="AU628" s="14"/>
      <c r="AV628" s="14"/>
      <c r="AW628" s="14"/>
    </row>
    <row r="629" spans="1:49" ht="13">
      <c r="A629" s="176">
        <v>2020</v>
      </c>
      <c r="B629" s="53" t="s">
        <v>58</v>
      </c>
      <c r="C629" s="50" t="s">
        <v>462</v>
      </c>
      <c r="D629" s="50" t="s">
        <v>375</v>
      </c>
      <c r="E629" s="50" t="s">
        <v>462</v>
      </c>
      <c r="F629" s="50" t="s">
        <v>2832</v>
      </c>
      <c r="G629" s="177">
        <v>0</v>
      </c>
      <c r="H629" s="50" t="s">
        <v>2897</v>
      </c>
      <c r="I629" s="178" t="s">
        <v>2898</v>
      </c>
      <c r="J629" s="50" t="s">
        <v>1629</v>
      </c>
      <c r="K629" s="50" t="s">
        <v>1629</v>
      </c>
      <c r="L629" s="50"/>
      <c r="M629" s="50"/>
      <c r="N629" s="50"/>
      <c r="O629" s="50"/>
      <c r="P629" s="50"/>
      <c r="Q629" s="50"/>
      <c r="R629" s="50"/>
      <c r="S629" s="50"/>
      <c r="T629" s="50"/>
      <c r="U629" s="50"/>
      <c r="V629" s="50"/>
      <c r="W629" s="50" t="s">
        <v>1635</v>
      </c>
      <c r="X629" s="50"/>
      <c r="Y629" s="50"/>
      <c r="Z629" s="50"/>
      <c r="AA629" s="50" t="s">
        <v>2899</v>
      </c>
      <c r="AB629" s="50" t="s">
        <v>2824</v>
      </c>
      <c r="AC629" s="50" t="s">
        <v>2900</v>
      </c>
      <c r="AD629" s="99">
        <v>207</v>
      </c>
      <c r="AE629" s="174">
        <v>120</v>
      </c>
      <c r="AF629" s="174">
        <v>211</v>
      </c>
      <c r="AG629" s="50"/>
      <c r="AH629" s="50" t="s">
        <v>2852</v>
      </c>
      <c r="AI629" s="175">
        <v>18</v>
      </c>
      <c r="AJ629" s="178" t="s">
        <v>919</v>
      </c>
      <c r="AK629" s="29"/>
      <c r="AL629" s="29"/>
      <c r="AM629" s="29"/>
      <c r="AN629" s="29"/>
      <c r="AO629" s="29"/>
      <c r="AP629" s="29"/>
      <c r="AQ629" s="29"/>
      <c r="AR629" s="29"/>
      <c r="AS629" s="29"/>
      <c r="AT629" s="29"/>
      <c r="AU629" s="29"/>
      <c r="AV629" s="29"/>
      <c r="AW629" s="29"/>
    </row>
    <row r="630" spans="1:49" ht="13">
      <c r="A630" s="176">
        <v>2019</v>
      </c>
      <c r="B630" s="53" t="s">
        <v>80</v>
      </c>
      <c r="C630" s="50" t="s">
        <v>462</v>
      </c>
      <c r="D630" s="50" t="s">
        <v>465</v>
      </c>
      <c r="E630" s="50" t="s">
        <v>462</v>
      </c>
      <c r="F630" s="50" t="s">
        <v>2832</v>
      </c>
      <c r="G630" s="177">
        <v>0</v>
      </c>
      <c r="H630" s="50" t="s">
        <v>2901</v>
      </c>
      <c r="I630" s="179" t="s">
        <v>2902</v>
      </c>
      <c r="J630" s="50" t="s">
        <v>1629</v>
      </c>
      <c r="K630" s="50" t="s">
        <v>1629</v>
      </c>
      <c r="L630" s="50"/>
      <c r="M630" s="50"/>
      <c r="N630" s="50"/>
      <c r="O630" s="50"/>
      <c r="P630" s="50"/>
      <c r="Q630" s="50"/>
      <c r="R630" s="50"/>
      <c r="S630" s="50"/>
      <c r="T630" s="50"/>
      <c r="U630" s="50"/>
      <c r="V630" s="50"/>
      <c r="W630" s="50" t="s">
        <v>1635</v>
      </c>
      <c r="X630" s="50"/>
      <c r="Y630" s="50"/>
      <c r="Z630" s="50"/>
      <c r="AA630" s="50" t="s">
        <v>2903</v>
      </c>
      <c r="AB630" s="50" t="s">
        <v>2824</v>
      </c>
      <c r="AC630" s="50" t="s">
        <v>2904</v>
      </c>
      <c r="AD630" s="95">
        <v>208</v>
      </c>
      <c r="AE630" s="174">
        <v>120</v>
      </c>
      <c r="AF630" s="174" t="s">
        <v>2826</v>
      </c>
      <c r="AG630" s="50"/>
      <c r="AH630" s="50" t="s">
        <v>2852</v>
      </c>
      <c r="AI630" s="175">
        <v>19</v>
      </c>
      <c r="AJ630" s="179" t="s">
        <v>919</v>
      </c>
      <c r="AK630" s="14"/>
      <c r="AL630" s="14"/>
      <c r="AM630" s="14"/>
      <c r="AN630" s="14"/>
      <c r="AO630" s="14"/>
      <c r="AP630" s="14"/>
      <c r="AQ630" s="14"/>
      <c r="AR630" s="14"/>
      <c r="AS630" s="14"/>
      <c r="AT630" s="14"/>
      <c r="AU630" s="14"/>
      <c r="AV630" s="14"/>
      <c r="AW630" s="14"/>
    </row>
    <row r="631" spans="1:49" ht="13">
      <c r="A631" s="176">
        <v>2024</v>
      </c>
      <c r="B631" s="53" t="s">
        <v>58</v>
      </c>
      <c r="C631" s="50" t="s">
        <v>397</v>
      </c>
      <c r="D631" s="50" t="s">
        <v>465</v>
      </c>
      <c r="E631" s="50" t="s">
        <v>397</v>
      </c>
      <c r="F631" s="50" t="s">
        <v>2905</v>
      </c>
      <c r="G631" s="177">
        <v>0</v>
      </c>
      <c r="H631" s="50" t="s">
        <v>2906</v>
      </c>
      <c r="I631" s="178" t="s">
        <v>2907</v>
      </c>
      <c r="J631" s="50" t="s">
        <v>1629</v>
      </c>
      <c r="K631" s="50" t="s">
        <v>1629</v>
      </c>
      <c r="L631" s="50"/>
      <c r="M631" s="50"/>
      <c r="N631" s="50"/>
      <c r="O631" s="50"/>
      <c r="P631" s="50"/>
      <c r="Q631" s="50"/>
      <c r="R631" s="50"/>
      <c r="S631" s="50"/>
      <c r="T631" s="50"/>
      <c r="U631" s="50"/>
      <c r="V631" s="50"/>
      <c r="W631" s="50" t="s">
        <v>1635</v>
      </c>
      <c r="X631" s="50"/>
      <c r="Y631" s="50"/>
      <c r="Z631" s="50"/>
      <c r="AA631" s="50" t="s">
        <v>2908</v>
      </c>
      <c r="AB631" s="50" t="s">
        <v>2824</v>
      </c>
      <c r="AC631" s="50" t="s">
        <v>2909</v>
      </c>
      <c r="AD631" s="99">
        <v>209</v>
      </c>
      <c r="AE631" s="174">
        <v>83</v>
      </c>
      <c r="AF631" s="174" t="s">
        <v>2826</v>
      </c>
      <c r="AG631" s="50"/>
      <c r="AH631" s="50" t="s">
        <v>2857</v>
      </c>
      <c r="AI631" s="175">
        <v>20</v>
      </c>
      <c r="AJ631" s="178" t="s">
        <v>735</v>
      </c>
      <c r="AK631" s="29"/>
      <c r="AL631" s="29"/>
      <c r="AM631" s="29"/>
      <c r="AN631" s="29"/>
      <c r="AO631" s="29"/>
      <c r="AP631" s="29"/>
      <c r="AQ631" s="29"/>
      <c r="AR631" s="29"/>
      <c r="AS631" s="29"/>
      <c r="AT631" s="29"/>
      <c r="AU631" s="29"/>
      <c r="AV631" s="29"/>
      <c r="AW631" s="29"/>
    </row>
    <row r="632" spans="1:49" ht="13">
      <c r="A632" s="176">
        <v>2024</v>
      </c>
      <c r="B632" s="53" t="s">
        <v>58</v>
      </c>
      <c r="C632" s="50" t="s">
        <v>397</v>
      </c>
      <c r="D632" s="50" t="s">
        <v>465</v>
      </c>
      <c r="E632" s="50" t="s">
        <v>397</v>
      </c>
      <c r="F632" s="50" t="s">
        <v>2910</v>
      </c>
      <c r="G632" s="177">
        <v>0</v>
      </c>
      <c r="H632" s="50" t="s">
        <v>2911</v>
      </c>
      <c r="I632" s="179" t="s">
        <v>2912</v>
      </c>
      <c r="J632" s="50" t="s">
        <v>1629</v>
      </c>
      <c r="K632" s="50" t="s">
        <v>1629</v>
      </c>
      <c r="L632" s="50"/>
      <c r="M632" s="50"/>
      <c r="N632" s="50"/>
      <c r="O632" s="50"/>
      <c r="P632" s="50"/>
      <c r="Q632" s="50"/>
      <c r="R632" s="50"/>
      <c r="S632" s="50"/>
      <c r="T632" s="50"/>
      <c r="U632" s="50"/>
      <c r="V632" s="50"/>
      <c r="W632" s="50" t="s">
        <v>1635</v>
      </c>
      <c r="X632" s="50"/>
      <c r="Y632" s="50"/>
      <c r="Z632" s="50"/>
      <c r="AA632" s="50" t="s">
        <v>2913</v>
      </c>
      <c r="AB632" s="50" t="s">
        <v>2824</v>
      </c>
      <c r="AC632" s="50" t="s">
        <v>2914</v>
      </c>
      <c r="AD632" s="95">
        <v>210</v>
      </c>
      <c r="AE632" s="174">
        <v>83</v>
      </c>
      <c r="AF632" s="174" t="s">
        <v>2826</v>
      </c>
      <c r="AG632" s="50"/>
      <c r="AH632" s="50" t="s">
        <v>2819</v>
      </c>
      <c r="AI632" s="175">
        <v>21</v>
      </c>
      <c r="AJ632" s="179" t="s">
        <v>735</v>
      </c>
      <c r="AK632" s="14"/>
      <c r="AL632" s="14"/>
      <c r="AM632" s="14"/>
      <c r="AN632" s="14"/>
      <c r="AO632" s="14"/>
      <c r="AP632" s="14"/>
      <c r="AQ632" s="14"/>
      <c r="AR632" s="14"/>
      <c r="AS632" s="14"/>
      <c r="AT632" s="14"/>
      <c r="AU632" s="14"/>
      <c r="AV632" s="14"/>
      <c r="AW632" s="14"/>
    </row>
    <row r="633" spans="1:49" ht="13">
      <c r="A633" s="176">
        <v>2021</v>
      </c>
      <c r="B633" s="53" t="s">
        <v>56</v>
      </c>
      <c r="C633" s="50" t="s">
        <v>270</v>
      </c>
      <c r="D633" s="50" t="s">
        <v>356</v>
      </c>
      <c r="E633" s="50" t="s">
        <v>270</v>
      </c>
      <c r="F633" s="50" t="s">
        <v>2915</v>
      </c>
      <c r="G633" s="177">
        <v>0</v>
      </c>
      <c r="H633" s="50" t="s">
        <v>2916</v>
      </c>
      <c r="I633" s="178" t="s">
        <v>2917</v>
      </c>
      <c r="J633" s="50" t="s">
        <v>1629</v>
      </c>
      <c r="K633" s="50" t="s">
        <v>1629</v>
      </c>
      <c r="L633" s="50"/>
      <c r="M633" s="50"/>
      <c r="N633" s="50"/>
      <c r="O633" s="50"/>
      <c r="P633" s="50"/>
      <c r="Q633" s="50"/>
      <c r="R633" s="50"/>
      <c r="S633" s="50"/>
      <c r="T633" s="50"/>
      <c r="U633" s="50"/>
      <c r="V633" s="50"/>
      <c r="W633" s="50" t="s">
        <v>1629</v>
      </c>
      <c r="X633" s="50"/>
      <c r="Y633" s="50"/>
      <c r="Z633" s="50"/>
      <c r="AA633" s="50" t="s">
        <v>2918</v>
      </c>
      <c r="AB633" s="50" t="s">
        <v>352</v>
      </c>
      <c r="AC633" s="50" t="s">
        <v>2919</v>
      </c>
      <c r="AD633" s="99">
        <v>211</v>
      </c>
      <c r="AE633" s="174" t="s">
        <v>2826</v>
      </c>
      <c r="AF633" s="174" t="s">
        <v>2826</v>
      </c>
      <c r="AG633" s="50"/>
      <c r="AH633" s="50" t="s">
        <v>2837</v>
      </c>
      <c r="AI633" s="175">
        <v>22</v>
      </c>
      <c r="AJ633" s="181" t="s">
        <v>462</v>
      </c>
      <c r="AK633" s="29"/>
      <c r="AL633" s="29"/>
      <c r="AM633" s="29"/>
      <c r="AN633" s="29"/>
      <c r="AO633" s="29"/>
      <c r="AP633" s="29"/>
      <c r="AQ633" s="29"/>
      <c r="AR633" s="29"/>
      <c r="AS633" s="29"/>
      <c r="AT633" s="29"/>
      <c r="AU633" s="29"/>
      <c r="AV633" s="29"/>
      <c r="AW633" s="29"/>
    </row>
    <row r="634" spans="1:49" ht="13">
      <c r="A634" s="176">
        <v>2016</v>
      </c>
      <c r="B634" s="53" t="s">
        <v>58</v>
      </c>
      <c r="C634" s="50" t="s">
        <v>349</v>
      </c>
      <c r="D634" s="50" t="s">
        <v>370</v>
      </c>
      <c r="E634" s="50" t="s">
        <v>349</v>
      </c>
      <c r="F634" s="50" t="s">
        <v>940</v>
      </c>
      <c r="G634" s="99">
        <v>1</v>
      </c>
      <c r="H634" s="50" t="s">
        <v>2920</v>
      </c>
      <c r="I634" s="179" t="s">
        <v>2921</v>
      </c>
      <c r="J634" s="50" t="s">
        <v>1629</v>
      </c>
      <c r="K634" s="50" t="s">
        <v>1629</v>
      </c>
      <c r="L634" s="50"/>
      <c r="M634" s="50"/>
      <c r="N634" s="50"/>
      <c r="O634" s="50"/>
      <c r="P634" s="50"/>
      <c r="Q634" s="50"/>
      <c r="R634" s="50"/>
      <c r="S634" s="50"/>
      <c r="T634" s="50"/>
      <c r="U634" s="50"/>
      <c r="V634" s="50"/>
      <c r="W634" s="50" t="s">
        <v>2829</v>
      </c>
      <c r="X634" s="50"/>
      <c r="Y634" s="50"/>
      <c r="Z634" s="50"/>
      <c r="AA634" s="50" t="s">
        <v>2922</v>
      </c>
      <c r="AB634" s="50" t="s">
        <v>2883</v>
      </c>
      <c r="AC634" s="50" t="s">
        <v>2923</v>
      </c>
      <c r="AD634" s="95">
        <v>212</v>
      </c>
      <c r="AE634" s="174">
        <v>129</v>
      </c>
      <c r="AF634" s="174">
        <v>203</v>
      </c>
      <c r="AG634" s="50"/>
      <c r="AH634" s="50" t="s">
        <v>2819</v>
      </c>
      <c r="AI634" s="175">
        <v>23</v>
      </c>
      <c r="AJ634" s="179" t="s">
        <v>942</v>
      </c>
      <c r="AK634" s="14"/>
      <c r="AL634" s="14"/>
      <c r="AM634" s="14"/>
      <c r="AN634" s="14"/>
      <c r="AO634" s="14"/>
      <c r="AP634" s="14"/>
      <c r="AQ634" s="14"/>
      <c r="AR634" s="14"/>
      <c r="AS634" s="14"/>
      <c r="AT634" s="14"/>
      <c r="AU634" s="14"/>
      <c r="AV634" s="14"/>
      <c r="AW634" s="14"/>
    </row>
    <row r="635" spans="1:49" ht="13">
      <c r="A635" s="176">
        <v>2024</v>
      </c>
      <c r="B635" s="53" t="s">
        <v>56</v>
      </c>
      <c r="C635" s="50" t="s">
        <v>349</v>
      </c>
      <c r="D635" s="50" t="s">
        <v>465</v>
      </c>
      <c r="E635" s="50" t="s">
        <v>349</v>
      </c>
      <c r="F635" s="50" t="s">
        <v>2924</v>
      </c>
      <c r="G635" s="177">
        <v>0</v>
      </c>
      <c r="H635" s="50" t="s">
        <v>2925</v>
      </c>
      <c r="I635" s="178" t="s">
        <v>2926</v>
      </c>
      <c r="J635" s="50" t="s">
        <v>1629</v>
      </c>
      <c r="K635" s="50" t="s">
        <v>1629</v>
      </c>
      <c r="L635" s="50"/>
      <c r="M635" s="50"/>
      <c r="N635" s="50"/>
      <c r="O635" s="50"/>
      <c r="P635" s="50"/>
      <c r="Q635" s="50"/>
      <c r="R635" s="50"/>
      <c r="S635" s="50"/>
      <c r="T635" s="50"/>
      <c r="U635" s="50"/>
      <c r="V635" s="50"/>
      <c r="W635" s="50" t="s">
        <v>2829</v>
      </c>
      <c r="X635" s="50"/>
      <c r="Y635" s="50"/>
      <c r="Z635" s="50"/>
      <c r="AA635" s="50" t="s">
        <v>2927</v>
      </c>
      <c r="AB635" s="50" t="s">
        <v>2883</v>
      </c>
      <c r="AC635" s="50" t="s">
        <v>2928</v>
      </c>
      <c r="AD635" s="99">
        <v>213</v>
      </c>
      <c r="AE635" s="174" t="s">
        <v>2826</v>
      </c>
      <c r="AF635" s="174" t="s">
        <v>2826</v>
      </c>
      <c r="AG635" s="50"/>
      <c r="AH635" s="50" t="s">
        <v>2819</v>
      </c>
      <c r="AI635" s="175">
        <v>24</v>
      </c>
      <c r="AJ635" s="181" t="s">
        <v>462</v>
      </c>
      <c r="AK635" s="29"/>
      <c r="AL635" s="29"/>
      <c r="AM635" s="29"/>
      <c r="AN635" s="29"/>
      <c r="AO635" s="29"/>
      <c r="AP635" s="29"/>
      <c r="AQ635" s="29"/>
      <c r="AR635" s="29"/>
      <c r="AS635" s="29"/>
      <c r="AT635" s="29"/>
      <c r="AU635" s="29"/>
      <c r="AV635" s="29"/>
      <c r="AW635" s="29"/>
    </row>
    <row r="636" spans="1:49" ht="13">
      <c r="A636" s="176">
        <v>2022</v>
      </c>
      <c r="B636" s="53" t="s">
        <v>58</v>
      </c>
      <c r="C636" s="50" t="s">
        <v>393</v>
      </c>
      <c r="D636" s="50" t="s">
        <v>465</v>
      </c>
      <c r="E636" s="50" t="s">
        <v>393</v>
      </c>
      <c r="F636" s="50" t="s">
        <v>937</v>
      </c>
      <c r="G636" s="99">
        <v>1</v>
      </c>
      <c r="H636" s="50" t="s">
        <v>2929</v>
      </c>
      <c r="I636" s="179" t="s">
        <v>2930</v>
      </c>
      <c r="J636" s="50" t="s">
        <v>1629</v>
      </c>
      <c r="K636" s="50" t="s">
        <v>1629</v>
      </c>
      <c r="L636" s="50"/>
      <c r="M636" s="50"/>
      <c r="N636" s="50"/>
      <c r="O636" s="50"/>
      <c r="P636" s="50"/>
      <c r="Q636" s="50"/>
      <c r="R636" s="50"/>
      <c r="S636" s="50"/>
      <c r="T636" s="50"/>
      <c r="U636" s="50"/>
      <c r="V636" s="50"/>
      <c r="W636" s="50" t="s">
        <v>2829</v>
      </c>
      <c r="X636" s="50"/>
      <c r="Y636" s="50"/>
      <c r="Z636" s="50"/>
      <c r="AA636" s="50" t="s">
        <v>2931</v>
      </c>
      <c r="AB636" s="50" t="s">
        <v>2883</v>
      </c>
      <c r="AC636" s="50" t="s">
        <v>2932</v>
      </c>
      <c r="AD636" s="95">
        <v>214</v>
      </c>
      <c r="AE636" s="174">
        <v>128</v>
      </c>
      <c r="AF636" s="174" t="s">
        <v>2826</v>
      </c>
      <c r="AG636" s="50"/>
      <c r="AH636" s="50" t="s">
        <v>2819</v>
      </c>
      <c r="AI636" s="175">
        <v>25</v>
      </c>
      <c r="AJ636" s="179" t="s">
        <v>938</v>
      </c>
      <c r="AK636" s="14"/>
      <c r="AL636" s="14"/>
      <c r="AM636" s="14"/>
      <c r="AN636" s="14"/>
      <c r="AO636" s="14"/>
      <c r="AP636" s="14"/>
      <c r="AQ636" s="14"/>
      <c r="AR636" s="14"/>
      <c r="AS636" s="14"/>
      <c r="AT636" s="14"/>
      <c r="AU636" s="14"/>
      <c r="AV636" s="14"/>
      <c r="AW636" s="14"/>
    </row>
    <row r="637" spans="1:49" ht="13">
      <c r="A637" s="176">
        <v>2023</v>
      </c>
      <c r="B637" s="53" t="s">
        <v>58</v>
      </c>
      <c r="C637" s="50" t="s">
        <v>397</v>
      </c>
      <c r="D637" s="50" t="s">
        <v>465</v>
      </c>
      <c r="E637" s="50" t="s">
        <v>397</v>
      </c>
      <c r="F637" s="50" t="s">
        <v>2933</v>
      </c>
      <c r="G637" s="177">
        <v>0</v>
      </c>
      <c r="H637" s="50" t="s">
        <v>2934</v>
      </c>
      <c r="I637" s="178" t="s">
        <v>2935</v>
      </c>
      <c r="J637" s="50" t="s">
        <v>1629</v>
      </c>
      <c r="K637" s="50" t="s">
        <v>1635</v>
      </c>
      <c r="L637" s="50"/>
      <c r="M637" s="50"/>
      <c r="N637" s="50"/>
      <c r="O637" s="50"/>
      <c r="P637" s="50"/>
      <c r="Q637" s="50"/>
      <c r="R637" s="50"/>
      <c r="S637" s="50"/>
      <c r="T637" s="50"/>
      <c r="U637" s="50"/>
      <c r="V637" s="50"/>
      <c r="W637" s="50" t="s">
        <v>1635</v>
      </c>
      <c r="X637" s="50"/>
      <c r="Y637" s="50"/>
      <c r="Z637" s="50"/>
      <c r="AA637" s="50" t="s">
        <v>2936</v>
      </c>
      <c r="AB637" s="50" t="s">
        <v>2824</v>
      </c>
      <c r="AC637" s="50" t="s">
        <v>2937</v>
      </c>
      <c r="AD637" s="99">
        <v>215</v>
      </c>
      <c r="AE637" s="174">
        <v>83</v>
      </c>
      <c r="AF637" s="174" t="s">
        <v>2826</v>
      </c>
      <c r="AG637" s="50"/>
      <c r="AH637" s="50" t="s">
        <v>2852</v>
      </c>
      <c r="AI637" s="175">
        <v>26</v>
      </c>
      <c r="AJ637" s="178" t="s">
        <v>735</v>
      </c>
      <c r="AK637" s="29"/>
      <c r="AL637" s="29"/>
      <c r="AM637" s="29"/>
      <c r="AN637" s="29"/>
      <c r="AO637" s="29"/>
      <c r="AP637" s="29"/>
      <c r="AQ637" s="29"/>
      <c r="AR637" s="29"/>
      <c r="AS637" s="29"/>
      <c r="AT637" s="29"/>
      <c r="AU637" s="29"/>
      <c r="AV637" s="29"/>
      <c r="AW637" s="29"/>
    </row>
    <row r="638" spans="1:49" ht="13">
      <c r="A638" s="176">
        <v>2023</v>
      </c>
      <c r="B638" s="53" t="s">
        <v>58</v>
      </c>
      <c r="C638" s="50" t="s">
        <v>397</v>
      </c>
      <c r="D638" s="50" t="s">
        <v>465</v>
      </c>
      <c r="E638" s="50" t="s">
        <v>397</v>
      </c>
      <c r="F638" s="50" t="s">
        <v>2938</v>
      </c>
      <c r="G638" s="177">
        <v>0</v>
      </c>
      <c r="H638" s="50" t="s">
        <v>2939</v>
      </c>
      <c r="I638" s="179" t="s">
        <v>2940</v>
      </c>
      <c r="J638" s="50" t="s">
        <v>1629</v>
      </c>
      <c r="K638" s="50" t="s">
        <v>1629</v>
      </c>
      <c r="L638" s="50"/>
      <c r="M638" s="50"/>
      <c r="N638" s="50"/>
      <c r="O638" s="50"/>
      <c r="P638" s="50"/>
      <c r="Q638" s="50"/>
      <c r="R638" s="50"/>
      <c r="S638" s="50"/>
      <c r="T638" s="50"/>
      <c r="U638" s="50"/>
      <c r="V638" s="50"/>
      <c r="W638" s="50" t="s">
        <v>1635</v>
      </c>
      <c r="X638" s="50"/>
      <c r="Y638" s="50"/>
      <c r="Z638" s="50"/>
      <c r="AA638" s="50" t="s">
        <v>2941</v>
      </c>
      <c r="AB638" s="50" t="s">
        <v>2824</v>
      </c>
      <c r="AC638" s="50" t="s">
        <v>2942</v>
      </c>
      <c r="AD638" s="95">
        <v>216</v>
      </c>
      <c r="AE638" s="174">
        <v>83</v>
      </c>
      <c r="AF638" s="174" t="s">
        <v>2826</v>
      </c>
      <c r="AG638" s="50"/>
      <c r="AH638" s="50" t="s">
        <v>2819</v>
      </c>
      <c r="AI638" s="175">
        <v>27</v>
      </c>
      <c r="AJ638" s="179" t="s">
        <v>735</v>
      </c>
      <c r="AK638" s="14"/>
      <c r="AL638" s="14"/>
      <c r="AM638" s="14"/>
      <c r="AN638" s="14"/>
      <c r="AO638" s="14"/>
      <c r="AP638" s="14"/>
      <c r="AQ638" s="14"/>
      <c r="AR638" s="14"/>
      <c r="AS638" s="14"/>
      <c r="AT638" s="14"/>
      <c r="AU638" s="14"/>
      <c r="AV638" s="14"/>
      <c r="AW638" s="14"/>
    </row>
    <row r="639" spans="1:49" ht="13">
      <c r="A639" s="176">
        <v>2023</v>
      </c>
      <c r="B639" s="53" t="s">
        <v>58</v>
      </c>
      <c r="C639" s="50" t="s">
        <v>397</v>
      </c>
      <c r="D639" s="50" t="s">
        <v>465</v>
      </c>
      <c r="E639" s="50" t="s">
        <v>397</v>
      </c>
      <c r="F639" s="50" t="s">
        <v>2943</v>
      </c>
      <c r="G639" s="177">
        <v>0</v>
      </c>
      <c r="H639" s="50" t="s">
        <v>2944</v>
      </c>
      <c r="I639" s="178" t="s">
        <v>2945</v>
      </c>
      <c r="J639" s="50" t="s">
        <v>1629</v>
      </c>
      <c r="K639" s="50" t="s">
        <v>1629</v>
      </c>
      <c r="L639" s="50"/>
      <c r="M639" s="50"/>
      <c r="N639" s="50"/>
      <c r="O639" s="50"/>
      <c r="P639" s="50"/>
      <c r="Q639" s="50"/>
      <c r="R639" s="50"/>
      <c r="S639" s="50"/>
      <c r="T639" s="50"/>
      <c r="U639" s="50"/>
      <c r="V639" s="50"/>
      <c r="W639" s="50" t="s">
        <v>1635</v>
      </c>
      <c r="X639" s="50"/>
      <c r="Y639" s="50"/>
      <c r="Z639" s="50"/>
      <c r="AA639" s="50" t="s">
        <v>2946</v>
      </c>
      <c r="AB639" s="50" t="s">
        <v>2824</v>
      </c>
      <c r="AC639" s="50" t="s">
        <v>2947</v>
      </c>
      <c r="AD639" s="99">
        <v>217</v>
      </c>
      <c r="AE639" s="174">
        <v>83</v>
      </c>
      <c r="AF639" s="174" t="s">
        <v>2826</v>
      </c>
      <c r="AG639" s="50"/>
      <c r="AH639" s="50" t="s">
        <v>2819</v>
      </c>
      <c r="AI639" s="175">
        <v>28</v>
      </c>
      <c r="AJ639" s="178" t="s">
        <v>735</v>
      </c>
      <c r="AK639" s="29"/>
      <c r="AL639" s="29"/>
      <c r="AM639" s="29"/>
      <c r="AN639" s="29"/>
      <c r="AO639" s="29"/>
      <c r="AP639" s="29"/>
      <c r="AQ639" s="29"/>
      <c r="AR639" s="29"/>
      <c r="AS639" s="29"/>
      <c r="AT639" s="29"/>
      <c r="AU639" s="29"/>
      <c r="AV639" s="29"/>
      <c r="AW639" s="29"/>
    </row>
    <row r="640" spans="1:49" ht="13">
      <c r="A640" s="176">
        <v>2024</v>
      </c>
      <c r="B640" s="53" t="s">
        <v>58</v>
      </c>
      <c r="C640" s="50" t="s">
        <v>397</v>
      </c>
      <c r="D640" s="50" t="s">
        <v>465</v>
      </c>
      <c r="E640" s="50" t="s">
        <v>397</v>
      </c>
      <c r="F640" s="50" t="s">
        <v>2948</v>
      </c>
      <c r="G640" s="177">
        <v>0</v>
      </c>
      <c r="H640" s="50" t="s">
        <v>2949</v>
      </c>
      <c r="I640" s="179" t="s">
        <v>2950</v>
      </c>
      <c r="J640" s="50" t="s">
        <v>1629</v>
      </c>
      <c r="K640" s="50" t="s">
        <v>1629</v>
      </c>
      <c r="L640" s="50"/>
      <c r="M640" s="50"/>
      <c r="N640" s="50"/>
      <c r="O640" s="50"/>
      <c r="P640" s="50"/>
      <c r="Q640" s="50"/>
      <c r="R640" s="50"/>
      <c r="S640" s="50"/>
      <c r="T640" s="50"/>
      <c r="U640" s="50"/>
      <c r="V640" s="50"/>
      <c r="W640" s="50" t="s">
        <v>1635</v>
      </c>
      <c r="X640" s="50"/>
      <c r="Y640" s="50"/>
      <c r="Z640" s="50"/>
      <c r="AA640" s="50" t="s">
        <v>2951</v>
      </c>
      <c r="AB640" s="50" t="s">
        <v>2824</v>
      </c>
      <c r="AC640" s="50" t="s">
        <v>2952</v>
      </c>
      <c r="AD640" s="95">
        <v>218</v>
      </c>
      <c r="AE640" s="174">
        <v>83</v>
      </c>
      <c r="AF640" s="174" t="s">
        <v>2826</v>
      </c>
      <c r="AG640" s="50"/>
      <c r="AH640" s="50" t="s">
        <v>2819</v>
      </c>
      <c r="AI640" s="175">
        <v>29</v>
      </c>
      <c r="AJ640" s="179" t="s">
        <v>735</v>
      </c>
      <c r="AK640" s="14"/>
      <c r="AL640" s="14"/>
      <c r="AM640" s="14"/>
      <c r="AN640" s="14"/>
      <c r="AO640" s="14"/>
      <c r="AP640" s="14"/>
      <c r="AQ640" s="14"/>
      <c r="AR640" s="14"/>
      <c r="AS640" s="14"/>
      <c r="AT640" s="14"/>
      <c r="AU640" s="14"/>
      <c r="AV640" s="14"/>
      <c r="AW640" s="14"/>
    </row>
    <row r="641" spans="1:49" ht="13">
      <c r="A641" s="176">
        <v>2024</v>
      </c>
      <c r="B641" s="53" t="s">
        <v>58</v>
      </c>
      <c r="C641" s="50" t="s">
        <v>397</v>
      </c>
      <c r="D641" s="50" t="s">
        <v>465</v>
      </c>
      <c r="E641" s="50" t="s">
        <v>397</v>
      </c>
      <c r="F641" s="50" t="s">
        <v>2953</v>
      </c>
      <c r="G641" s="177">
        <v>0</v>
      </c>
      <c r="H641" s="50" t="s">
        <v>2954</v>
      </c>
      <c r="I641" s="178" t="s">
        <v>2955</v>
      </c>
      <c r="J641" s="50" t="s">
        <v>1629</v>
      </c>
      <c r="K641" s="50" t="s">
        <v>1629</v>
      </c>
      <c r="L641" s="50"/>
      <c r="M641" s="50"/>
      <c r="N641" s="50"/>
      <c r="O641" s="50"/>
      <c r="P641" s="50"/>
      <c r="Q641" s="50"/>
      <c r="R641" s="50"/>
      <c r="S641" s="50"/>
      <c r="T641" s="50"/>
      <c r="U641" s="50"/>
      <c r="V641" s="50"/>
      <c r="W641" s="50" t="s">
        <v>1635</v>
      </c>
      <c r="X641" s="50"/>
      <c r="Y641" s="50"/>
      <c r="Z641" s="50"/>
      <c r="AA641" s="50" t="s">
        <v>2956</v>
      </c>
      <c r="AB641" s="50" t="s">
        <v>2824</v>
      </c>
      <c r="AC641" s="50" t="s">
        <v>2957</v>
      </c>
      <c r="AD641" s="99">
        <v>219</v>
      </c>
      <c r="AE641" s="174">
        <v>83</v>
      </c>
      <c r="AF641" s="174" t="s">
        <v>2826</v>
      </c>
      <c r="AG641" s="50"/>
      <c r="AH641" s="50" t="s">
        <v>2819</v>
      </c>
      <c r="AI641" s="175">
        <v>30</v>
      </c>
      <c r="AJ641" s="178" t="s">
        <v>735</v>
      </c>
      <c r="AK641" s="29"/>
      <c r="AL641" s="29"/>
      <c r="AM641" s="29"/>
      <c r="AN641" s="29"/>
      <c r="AO641" s="29"/>
      <c r="AP641" s="29"/>
      <c r="AQ641" s="29"/>
      <c r="AR641" s="29"/>
      <c r="AS641" s="29"/>
      <c r="AT641" s="29"/>
      <c r="AU641" s="29"/>
      <c r="AV641" s="29"/>
      <c r="AW641" s="29"/>
    </row>
    <row r="642" spans="1:49" ht="13">
      <c r="A642" s="176">
        <v>2021</v>
      </c>
      <c r="B642" s="53" t="s">
        <v>58</v>
      </c>
      <c r="C642" s="50" t="s">
        <v>462</v>
      </c>
      <c r="D642" s="50" t="s">
        <v>465</v>
      </c>
      <c r="E642" s="50" t="s">
        <v>462</v>
      </c>
      <c r="F642" s="50" t="s">
        <v>2958</v>
      </c>
      <c r="G642" s="177">
        <v>0</v>
      </c>
      <c r="H642" s="50" t="s">
        <v>2959</v>
      </c>
      <c r="I642" s="179" t="s">
        <v>2960</v>
      </c>
      <c r="J642" s="50" t="s">
        <v>1629</v>
      </c>
      <c r="K642" s="50" t="s">
        <v>1629</v>
      </c>
      <c r="L642" s="50"/>
      <c r="M642" s="50"/>
      <c r="N642" s="50"/>
      <c r="O642" s="50"/>
      <c r="P642" s="50"/>
      <c r="Q642" s="50"/>
      <c r="R642" s="50"/>
      <c r="S642" s="50"/>
      <c r="T642" s="50"/>
      <c r="U642" s="50"/>
      <c r="V642" s="50"/>
      <c r="W642" s="50" t="s">
        <v>1635</v>
      </c>
      <c r="X642" s="50"/>
      <c r="Y642" s="50"/>
      <c r="Z642" s="50"/>
      <c r="AA642" s="50" t="s">
        <v>2961</v>
      </c>
      <c r="AB642" s="50" t="s">
        <v>2824</v>
      </c>
      <c r="AC642" s="50" t="s">
        <v>2962</v>
      </c>
      <c r="AD642" s="95">
        <v>220</v>
      </c>
      <c r="AE642" s="174">
        <v>83</v>
      </c>
      <c r="AF642" s="174" t="s">
        <v>2826</v>
      </c>
      <c r="AG642" s="50"/>
      <c r="AH642" s="50" t="s">
        <v>2852</v>
      </c>
      <c r="AI642" s="175">
        <v>31</v>
      </c>
      <c r="AJ642" s="179" t="s">
        <v>735</v>
      </c>
      <c r="AK642" s="14"/>
      <c r="AL642" s="14"/>
      <c r="AM642" s="14"/>
      <c r="AN642" s="14"/>
      <c r="AO642" s="14"/>
      <c r="AP642" s="14"/>
      <c r="AQ642" s="14"/>
      <c r="AR642" s="14"/>
      <c r="AS642" s="14"/>
      <c r="AT642" s="14"/>
      <c r="AU642" s="14"/>
      <c r="AV642" s="14"/>
      <c r="AW642" s="14"/>
    </row>
    <row r="643" spans="1:49" ht="13">
      <c r="A643" s="176">
        <v>2023</v>
      </c>
      <c r="B643" s="53" t="s">
        <v>58</v>
      </c>
      <c r="C643" s="50" t="s">
        <v>372</v>
      </c>
      <c r="D643" s="50" t="s">
        <v>465</v>
      </c>
      <c r="E643" s="50" t="s">
        <v>372</v>
      </c>
      <c r="F643" s="50" t="s">
        <v>2963</v>
      </c>
      <c r="G643" s="177">
        <v>0</v>
      </c>
      <c r="H643" s="50" t="s">
        <v>2964</v>
      </c>
      <c r="I643" s="178" t="s">
        <v>2965</v>
      </c>
      <c r="J643" s="50" t="s">
        <v>1629</v>
      </c>
      <c r="K643" s="50" t="s">
        <v>1629</v>
      </c>
      <c r="L643" s="50"/>
      <c r="M643" s="50"/>
      <c r="N643" s="50"/>
      <c r="O643" s="50"/>
      <c r="P643" s="50"/>
      <c r="Q643" s="50"/>
      <c r="R643" s="50"/>
      <c r="S643" s="50"/>
      <c r="T643" s="50"/>
      <c r="U643" s="50"/>
      <c r="V643" s="50"/>
      <c r="W643" s="50" t="s">
        <v>1635</v>
      </c>
      <c r="X643" s="50"/>
      <c r="Y643" s="50"/>
      <c r="Z643" s="50"/>
      <c r="AA643" s="50" t="s">
        <v>2966</v>
      </c>
      <c r="AB643" s="50" t="s">
        <v>2824</v>
      </c>
      <c r="AC643" s="50" t="s">
        <v>2967</v>
      </c>
      <c r="AD643" s="99">
        <v>221</v>
      </c>
      <c r="AE643" s="174">
        <v>83</v>
      </c>
      <c r="AF643" s="174" t="s">
        <v>2826</v>
      </c>
      <c r="AG643" s="50"/>
      <c r="AH643" s="50" t="s">
        <v>2837</v>
      </c>
      <c r="AI643" s="175">
        <v>32</v>
      </c>
      <c r="AJ643" s="178" t="s">
        <v>735</v>
      </c>
      <c r="AK643" s="29"/>
      <c r="AL643" s="29"/>
      <c r="AM643" s="29"/>
      <c r="AN643" s="29"/>
      <c r="AO643" s="29"/>
      <c r="AP643" s="29"/>
      <c r="AQ643" s="29"/>
      <c r="AR643" s="29"/>
      <c r="AS643" s="29"/>
      <c r="AT643" s="29"/>
      <c r="AU643" s="29"/>
      <c r="AV643" s="29"/>
      <c r="AW643" s="29"/>
    </row>
    <row r="644" spans="1:49" ht="13">
      <c r="A644" s="176">
        <v>2019</v>
      </c>
      <c r="B644" s="53" t="s">
        <v>58</v>
      </c>
      <c r="C644" s="50" t="s">
        <v>397</v>
      </c>
      <c r="D644" s="50" t="s">
        <v>465</v>
      </c>
      <c r="E644" s="50" t="s">
        <v>397</v>
      </c>
      <c r="F644" s="50" t="s">
        <v>2968</v>
      </c>
      <c r="G644" s="177">
        <v>0</v>
      </c>
      <c r="H644" s="50" t="s">
        <v>2969</v>
      </c>
      <c r="I644" s="179" t="s">
        <v>2970</v>
      </c>
      <c r="J644" s="50" t="s">
        <v>1629</v>
      </c>
      <c r="K644" s="50" t="s">
        <v>1629</v>
      </c>
      <c r="L644" s="50"/>
      <c r="M644" s="50"/>
      <c r="N644" s="50"/>
      <c r="O644" s="50"/>
      <c r="P644" s="50"/>
      <c r="Q644" s="50"/>
      <c r="R644" s="50"/>
      <c r="S644" s="50"/>
      <c r="T644" s="50"/>
      <c r="U644" s="50"/>
      <c r="V644" s="50"/>
      <c r="W644" s="50" t="s">
        <v>1635</v>
      </c>
      <c r="X644" s="50"/>
      <c r="Y644" s="50"/>
      <c r="Z644" s="50"/>
      <c r="AA644" s="50" t="s">
        <v>2971</v>
      </c>
      <c r="AB644" s="50" t="s">
        <v>2824</v>
      </c>
      <c r="AC644" s="50" t="s">
        <v>2972</v>
      </c>
      <c r="AD644" s="95">
        <v>222</v>
      </c>
      <c r="AE644" s="174">
        <v>83</v>
      </c>
      <c r="AF644" s="174" t="s">
        <v>2826</v>
      </c>
      <c r="AG644" s="50"/>
      <c r="AH644" s="50" t="s">
        <v>2819</v>
      </c>
      <c r="AI644" s="175">
        <v>33</v>
      </c>
      <c r="AJ644" s="179" t="s">
        <v>735</v>
      </c>
      <c r="AK644" s="14"/>
      <c r="AL644" s="14"/>
      <c r="AM644" s="14"/>
      <c r="AN644" s="14"/>
      <c r="AO644" s="14"/>
      <c r="AP644" s="14"/>
      <c r="AQ644" s="14"/>
      <c r="AR644" s="14"/>
      <c r="AS644" s="14"/>
      <c r="AT644" s="14"/>
      <c r="AU644" s="14"/>
      <c r="AV644" s="14"/>
      <c r="AW644" s="14"/>
    </row>
    <row r="645" spans="1:49" ht="13">
      <c r="A645" s="176">
        <v>2012</v>
      </c>
      <c r="B645" s="53" t="s">
        <v>58</v>
      </c>
      <c r="C645" s="50" t="s">
        <v>462</v>
      </c>
      <c r="D645" s="50" t="s">
        <v>465</v>
      </c>
      <c r="E645" s="50" t="s">
        <v>462</v>
      </c>
      <c r="F645" s="50" t="s">
        <v>936</v>
      </c>
      <c r="G645" s="99">
        <v>2</v>
      </c>
      <c r="H645" s="50" t="s">
        <v>2973</v>
      </c>
      <c r="I645" s="178" t="s">
        <v>2974</v>
      </c>
      <c r="J645" s="50" t="s">
        <v>1629</v>
      </c>
      <c r="K645" s="50" t="s">
        <v>1629</v>
      </c>
      <c r="L645" s="50"/>
      <c r="M645" s="50"/>
      <c r="N645" s="50"/>
      <c r="O645" s="50"/>
      <c r="P645" s="50"/>
      <c r="Q645" s="50"/>
      <c r="R645" s="50"/>
      <c r="S645" s="50"/>
      <c r="T645" s="50"/>
      <c r="U645" s="50"/>
      <c r="V645" s="50"/>
      <c r="W645" s="50" t="s">
        <v>1635</v>
      </c>
      <c r="X645" s="50"/>
      <c r="Y645" s="50"/>
      <c r="Z645" s="50"/>
      <c r="AA645" s="50" t="s">
        <v>2975</v>
      </c>
      <c r="AB645" s="50" t="s">
        <v>2824</v>
      </c>
      <c r="AC645" s="50" t="s">
        <v>2976</v>
      </c>
      <c r="AD645" s="99">
        <v>223</v>
      </c>
      <c r="AE645" s="174">
        <v>83</v>
      </c>
      <c r="AF645" s="174" t="s">
        <v>2826</v>
      </c>
      <c r="AG645" s="50"/>
      <c r="AH645" s="50" t="s">
        <v>2837</v>
      </c>
      <c r="AI645" s="175">
        <v>34</v>
      </c>
      <c r="AJ645" s="178" t="s">
        <v>735</v>
      </c>
      <c r="AK645" s="29"/>
      <c r="AL645" s="29"/>
      <c r="AM645" s="29"/>
      <c r="AN645" s="29"/>
      <c r="AO645" s="29"/>
      <c r="AP645" s="29"/>
      <c r="AQ645" s="29"/>
      <c r="AR645" s="29"/>
      <c r="AS645" s="29"/>
      <c r="AT645" s="29"/>
      <c r="AU645" s="29"/>
      <c r="AV645" s="29"/>
      <c r="AW645" s="29"/>
    </row>
    <row r="646" spans="1:49" ht="13">
      <c r="A646" s="176">
        <v>2011</v>
      </c>
      <c r="B646" s="53" t="s">
        <v>58</v>
      </c>
      <c r="C646" s="50" t="s">
        <v>397</v>
      </c>
      <c r="D646" s="50" t="s">
        <v>465</v>
      </c>
      <c r="E646" s="50" t="s">
        <v>397</v>
      </c>
      <c r="F646" s="50" t="s">
        <v>2977</v>
      </c>
      <c r="G646" s="177">
        <v>0</v>
      </c>
      <c r="H646" s="50" t="s">
        <v>2978</v>
      </c>
      <c r="I646" s="179" t="s">
        <v>2979</v>
      </c>
      <c r="J646" s="50" t="s">
        <v>1629</v>
      </c>
      <c r="K646" s="50" t="s">
        <v>1629</v>
      </c>
      <c r="L646" s="50"/>
      <c r="M646" s="50"/>
      <c r="N646" s="50"/>
      <c r="O646" s="50"/>
      <c r="P646" s="50"/>
      <c r="Q646" s="50"/>
      <c r="R646" s="50"/>
      <c r="S646" s="50"/>
      <c r="T646" s="50"/>
      <c r="U646" s="50"/>
      <c r="V646" s="50"/>
      <c r="W646" s="50" t="s">
        <v>1635</v>
      </c>
      <c r="X646" s="50"/>
      <c r="Y646" s="50"/>
      <c r="Z646" s="50"/>
      <c r="AA646" s="50" t="s">
        <v>2980</v>
      </c>
      <c r="AB646" s="50" t="s">
        <v>2824</v>
      </c>
      <c r="AC646" s="50" t="s">
        <v>2981</v>
      </c>
      <c r="AD646" s="95">
        <v>224</v>
      </c>
      <c r="AE646" s="174">
        <v>83</v>
      </c>
      <c r="AF646" s="174" t="s">
        <v>2826</v>
      </c>
      <c r="AG646" s="50"/>
      <c r="AH646" s="50" t="s">
        <v>2819</v>
      </c>
      <c r="AI646" s="175">
        <v>35</v>
      </c>
      <c r="AJ646" s="179" t="s">
        <v>735</v>
      </c>
      <c r="AK646" s="14"/>
      <c r="AL646" s="14"/>
      <c r="AM646" s="14"/>
      <c r="AN646" s="14"/>
      <c r="AO646" s="14"/>
      <c r="AP646" s="14"/>
      <c r="AQ646" s="14"/>
      <c r="AR646" s="14"/>
      <c r="AS646" s="14"/>
      <c r="AT646" s="14"/>
      <c r="AU646" s="14"/>
      <c r="AV646" s="14"/>
      <c r="AW646" s="14"/>
    </row>
    <row r="647" spans="1:49" ht="13">
      <c r="A647" s="176">
        <v>2011</v>
      </c>
      <c r="B647" s="53" t="s">
        <v>58</v>
      </c>
      <c r="C647" s="50" t="s">
        <v>397</v>
      </c>
      <c r="D647" s="50" t="s">
        <v>465</v>
      </c>
      <c r="E647" s="50" t="s">
        <v>397</v>
      </c>
      <c r="F647" s="50" t="s">
        <v>936</v>
      </c>
      <c r="G647" s="177">
        <v>0</v>
      </c>
      <c r="H647" s="50" t="s">
        <v>2982</v>
      </c>
      <c r="I647" s="178" t="s">
        <v>2983</v>
      </c>
      <c r="J647" s="50" t="s">
        <v>1629</v>
      </c>
      <c r="K647" s="50" t="s">
        <v>1629</v>
      </c>
      <c r="L647" s="50"/>
      <c r="M647" s="50"/>
      <c r="N647" s="50"/>
      <c r="O647" s="50"/>
      <c r="P647" s="50"/>
      <c r="Q647" s="50"/>
      <c r="R647" s="50"/>
      <c r="S647" s="50"/>
      <c r="T647" s="50"/>
      <c r="U647" s="50"/>
      <c r="V647" s="50"/>
      <c r="W647" s="50" t="s">
        <v>1635</v>
      </c>
      <c r="X647" s="50"/>
      <c r="Y647" s="50"/>
      <c r="Z647" s="50"/>
      <c r="AA647" s="50" t="s">
        <v>2984</v>
      </c>
      <c r="AB647" s="50" t="s">
        <v>2824</v>
      </c>
      <c r="AC647" s="50" t="s">
        <v>2985</v>
      </c>
      <c r="AD647" s="99">
        <v>225</v>
      </c>
      <c r="AE647" s="174">
        <v>83</v>
      </c>
      <c r="AF647" s="174" t="s">
        <v>2826</v>
      </c>
      <c r="AG647" s="50"/>
      <c r="AH647" s="50" t="s">
        <v>2852</v>
      </c>
      <c r="AI647" s="175">
        <v>36</v>
      </c>
      <c r="AJ647" s="178" t="s">
        <v>735</v>
      </c>
      <c r="AK647" s="29"/>
      <c r="AL647" s="29"/>
      <c r="AM647" s="29"/>
      <c r="AN647" s="29"/>
      <c r="AO647" s="29"/>
      <c r="AP647" s="29"/>
      <c r="AQ647" s="29"/>
      <c r="AR647" s="29"/>
      <c r="AS647" s="29"/>
      <c r="AT647" s="29"/>
      <c r="AU647" s="29"/>
      <c r="AV647" s="29"/>
      <c r="AW647" s="29"/>
    </row>
    <row r="648" spans="1:49" ht="13">
      <c r="A648" s="176">
        <v>2017</v>
      </c>
      <c r="B648" s="53" t="s">
        <v>58</v>
      </c>
      <c r="C648" s="50" t="s">
        <v>397</v>
      </c>
      <c r="D648" s="50" t="s">
        <v>465</v>
      </c>
      <c r="E648" s="50" t="s">
        <v>397</v>
      </c>
      <c r="F648" s="50" t="s">
        <v>2986</v>
      </c>
      <c r="G648" s="177">
        <v>0</v>
      </c>
      <c r="H648" s="50" t="s">
        <v>2987</v>
      </c>
      <c r="I648" s="179" t="s">
        <v>2988</v>
      </c>
      <c r="J648" s="50" t="s">
        <v>1629</v>
      </c>
      <c r="K648" s="50" t="s">
        <v>1629</v>
      </c>
      <c r="L648" s="50"/>
      <c r="M648" s="50"/>
      <c r="N648" s="50"/>
      <c r="O648" s="50"/>
      <c r="P648" s="50"/>
      <c r="Q648" s="50"/>
      <c r="R648" s="50"/>
      <c r="S648" s="50"/>
      <c r="T648" s="50"/>
      <c r="U648" s="50"/>
      <c r="V648" s="50"/>
      <c r="W648" s="50" t="s">
        <v>1635</v>
      </c>
      <c r="X648" s="50"/>
      <c r="Y648" s="50"/>
      <c r="Z648" s="50"/>
      <c r="AA648" s="50" t="s">
        <v>2989</v>
      </c>
      <c r="AB648" s="50" t="s">
        <v>2824</v>
      </c>
      <c r="AC648" s="50" t="s">
        <v>2990</v>
      </c>
      <c r="AD648" s="95">
        <v>226</v>
      </c>
      <c r="AE648" s="174">
        <v>83</v>
      </c>
      <c r="AF648" s="174" t="s">
        <v>2826</v>
      </c>
      <c r="AG648" s="50"/>
      <c r="AH648" s="50" t="s">
        <v>2852</v>
      </c>
      <c r="AI648" s="175">
        <v>37</v>
      </c>
      <c r="AJ648" s="179" t="s">
        <v>735</v>
      </c>
      <c r="AK648" s="14"/>
      <c r="AL648" s="14"/>
      <c r="AM648" s="14"/>
      <c r="AN648" s="14"/>
      <c r="AO648" s="14"/>
      <c r="AP648" s="14"/>
      <c r="AQ648" s="14"/>
      <c r="AR648" s="14"/>
      <c r="AS648" s="14"/>
      <c r="AT648" s="14"/>
      <c r="AU648" s="14"/>
      <c r="AV648" s="14"/>
      <c r="AW648" s="14"/>
    </row>
    <row r="649" spans="1:49" ht="13">
      <c r="A649" s="176">
        <v>2023</v>
      </c>
      <c r="B649" s="53" t="s">
        <v>58</v>
      </c>
      <c r="C649" s="50" t="s">
        <v>397</v>
      </c>
      <c r="D649" s="50" t="s">
        <v>465</v>
      </c>
      <c r="E649" s="50" t="s">
        <v>397</v>
      </c>
      <c r="F649" s="50" t="s">
        <v>936</v>
      </c>
      <c r="G649" s="99">
        <v>2</v>
      </c>
      <c r="H649" s="50" t="s">
        <v>2991</v>
      </c>
      <c r="I649" s="178" t="s">
        <v>2992</v>
      </c>
      <c r="J649" s="50" t="s">
        <v>1629</v>
      </c>
      <c r="K649" s="50" t="s">
        <v>1629</v>
      </c>
      <c r="L649" s="50"/>
      <c r="M649" s="50"/>
      <c r="N649" s="50"/>
      <c r="O649" s="50"/>
      <c r="P649" s="50"/>
      <c r="Q649" s="50"/>
      <c r="R649" s="50"/>
      <c r="S649" s="50"/>
      <c r="T649" s="50"/>
      <c r="U649" s="50"/>
      <c r="V649" s="50"/>
      <c r="W649" s="50" t="s">
        <v>1635</v>
      </c>
      <c r="X649" s="50"/>
      <c r="Y649" s="50"/>
      <c r="Z649" s="50"/>
      <c r="AA649" s="50" t="s">
        <v>2993</v>
      </c>
      <c r="AB649" s="50" t="s">
        <v>2824</v>
      </c>
      <c r="AC649" s="50" t="s">
        <v>2994</v>
      </c>
      <c r="AD649" s="99">
        <v>227</v>
      </c>
      <c r="AE649" s="174">
        <v>83</v>
      </c>
      <c r="AF649" s="174" t="s">
        <v>2826</v>
      </c>
      <c r="AG649" s="50"/>
      <c r="AH649" s="50" t="s">
        <v>2819</v>
      </c>
      <c r="AI649" s="175">
        <v>38</v>
      </c>
      <c r="AJ649" s="178" t="s">
        <v>735</v>
      </c>
      <c r="AK649" s="29"/>
      <c r="AL649" s="29"/>
      <c r="AM649" s="29"/>
      <c r="AN649" s="29"/>
      <c r="AO649" s="29"/>
      <c r="AP649" s="29"/>
      <c r="AQ649" s="29"/>
      <c r="AR649" s="29"/>
      <c r="AS649" s="29"/>
      <c r="AT649" s="29"/>
      <c r="AU649" s="29"/>
      <c r="AV649" s="29"/>
      <c r="AW649" s="29"/>
    </row>
    <row r="650" spans="1:49" ht="13">
      <c r="A650" s="176">
        <v>2023</v>
      </c>
      <c r="B650" s="53" t="s">
        <v>58</v>
      </c>
      <c r="C650" s="50" t="s">
        <v>397</v>
      </c>
      <c r="D650" s="50" t="s">
        <v>465</v>
      </c>
      <c r="E650" s="50" t="s">
        <v>397</v>
      </c>
      <c r="F650" s="50" t="s">
        <v>2995</v>
      </c>
      <c r="G650" s="177">
        <v>0</v>
      </c>
      <c r="H650" s="50" t="s">
        <v>2996</v>
      </c>
      <c r="I650" s="179" t="s">
        <v>2997</v>
      </c>
      <c r="J650" s="50" t="s">
        <v>1629</v>
      </c>
      <c r="K650" s="50" t="s">
        <v>1629</v>
      </c>
      <c r="L650" s="50"/>
      <c r="M650" s="50"/>
      <c r="N650" s="50"/>
      <c r="O650" s="50"/>
      <c r="P650" s="50"/>
      <c r="Q650" s="50"/>
      <c r="R650" s="50"/>
      <c r="S650" s="50"/>
      <c r="T650" s="50"/>
      <c r="U650" s="50"/>
      <c r="V650" s="50"/>
      <c r="W650" s="50" t="s">
        <v>1635</v>
      </c>
      <c r="X650" s="50"/>
      <c r="Y650" s="50"/>
      <c r="Z650" s="50"/>
      <c r="AA650" s="50" t="s">
        <v>2998</v>
      </c>
      <c r="AB650" s="50" t="s">
        <v>2824</v>
      </c>
      <c r="AC650" s="50" t="s">
        <v>2999</v>
      </c>
      <c r="AD650" s="95">
        <v>228</v>
      </c>
      <c r="AE650" s="174">
        <v>83</v>
      </c>
      <c r="AF650" s="174" t="s">
        <v>2826</v>
      </c>
      <c r="AG650" s="50"/>
      <c r="AH650" s="50" t="s">
        <v>2819</v>
      </c>
      <c r="AI650" s="175">
        <v>39</v>
      </c>
      <c r="AJ650" s="179" t="s">
        <v>735</v>
      </c>
      <c r="AK650" s="14"/>
      <c r="AL650" s="14"/>
      <c r="AM650" s="14"/>
      <c r="AN650" s="14"/>
      <c r="AO650" s="14"/>
      <c r="AP650" s="14"/>
      <c r="AQ650" s="14"/>
      <c r="AR650" s="14"/>
      <c r="AS650" s="14"/>
      <c r="AT650" s="14"/>
      <c r="AU650" s="14"/>
      <c r="AV650" s="14"/>
      <c r="AW650" s="14"/>
    </row>
    <row r="651" spans="1:49" ht="13">
      <c r="A651" s="176">
        <v>2022</v>
      </c>
      <c r="B651" s="53" t="s">
        <v>58</v>
      </c>
      <c r="C651" s="50" t="s">
        <v>397</v>
      </c>
      <c r="D651" s="50" t="s">
        <v>465</v>
      </c>
      <c r="E651" s="50" t="s">
        <v>397</v>
      </c>
      <c r="F651" s="50" t="s">
        <v>3000</v>
      </c>
      <c r="G651" s="177">
        <v>0</v>
      </c>
      <c r="H651" s="50" t="s">
        <v>3001</v>
      </c>
      <c r="I651" s="178" t="s">
        <v>3002</v>
      </c>
      <c r="J651" s="50" t="s">
        <v>1629</v>
      </c>
      <c r="K651" s="50" t="s">
        <v>1629</v>
      </c>
      <c r="L651" s="50"/>
      <c r="M651" s="50"/>
      <c r="N651" s="50"/>
      <c r="O651" s="50"/>
      <c r="P651" s="50"/>
      <c r="Q651" s="50"/>
      <c r="R651" s="50"/>
      <c r="S651" s="50"/>
      <c r="T651" s="50"/>
      <c r="U651" s="50"/>
      <c r="V651" s="50"/>
      <c r="W651" s="50" t="s">
        <v>1635</v>
      </c>
      <c r="X651" s="50"/>
      <c r="Y651" s="50"/>
      <c r="Z651" s="50"/>
      <c r="AA651" s="50" t="s">
        <v>3003</v>
      </c>
      <c r="AB651" s="50" t="s">
        <v>2824</v>
      </c>
      <c r="AC651" s="50" t="s">
        <v>3004</v>
      </c>
      <c r="AD651" s="99">
        <v>229</v>
      </c>
      <c r="AE651" s="174">
        <v>83</v>
      </c>
      <c r="AF651" s="174" t="s">
        <v>2826</v>
      </c>
      <c r="AG651" s="50"/>
      <c r="AH651" s="50" t="s">
        <v>2819</v>
      </c>
      <c r="AI651" s="175">
        <v>40</v>
      </c>
      <c r="AJ651" s="178" t="s">
        <v>735</v>
      </c>
      <c r="AK651" s="29"/>
      <c r="AL651" s="29"/>
      <c r="AM651" s="29"/>
      <c r="AN651" s="29"/>
      <c r="AO651" s="29"/>
      <c r="AP651" s="29"/>
      <c r="AQ651" s="29"/>
      <c r="AR651" s="29"/>
      <c r="AS651" s="29"/>
      <c r="AT651" s="29"/>
      <c r="AU651" s="29"/>
      <c r="AV651" s="29"/>
      <c r="AW651" s="29"/>
    </row>
    <row r="652" spans="1:49" ht="13">
      <c r="A652" s="176">
        <v>2022</v>
      </c>
      <c r="B652" s="53" t="s">
        <v>58</v>
      </c>
      <c r="C652" s="50" t="s">
        <v>397</v>
      </c>
      <c r="D652" s="50" t="s">
        <v>465</v>
      </c>
      <c r="E652" s="50" t="s">
        <v>397</v>
      </c>
      <c r="F652" s="50" t="s">
        <v>3000</v>
      </c>
      <c r="G652" s="177">
        <v>0</v>
      </c>
      <c r="H652" s="50" t="s">
        <v>3005</v>
      </c>
      <c r="I652" s="179" t="s">
        <v>3006</v>
      </c>
      <c r="J652" s="50" t="s">
        <v>1629</v>
      </c>
      <c r="K652" s="50" t="s">
        <v>1629</v>
      </c>
      <c r="L652" s="50"/>
      <c r="M652" s="50"/>
      <c r="N652" s="50"/>
      <c r="O652" s="50"/>
      <c r="P652" s="50"/>
      <c r="Q652" s="50"/>
      <c r="R652" s="50"/>
      <c r="S652" s="50"/>
      <c r="T652" s="50"/>
      <c r="U652" s="50"/>
      <c r="V652" s="50"/>
      <c r="W652" s="50" t="s">
        <v>1635</v>
      </c>
      <c r="X652" s="50"/>
      <c r="Y652" s="50"/>
      <c r="Z652" s="50"/>
      <c r="AA652" s="50" t="s">
        <v>3007</v>
      </c>
      <c r="AB652" s="50" t="s">
        <v>2824</v>
      </c>
      <c r="AC652" s="50" t="s">
        <v>3008</v>
      </c>
      <c r="AD652" s="95">
        <v>230</v>
      </c>
      <c r="AE652" s="174">
        <v>83</v>
      </c>
      <c r="AF652" s="174" t="s">
        <v>2826</v>
      </c>
      <c r="AG652" s="50"/>
      <c r="AH652" s="50" t="s">
        <v>2819</v>
      </c>
      <c r="AI652" s="175">
        <v>41</v>
      </c>
      <c r="AJ652" s="179" t="s">
        <v>735</v>
      </c>
      <c r="AK652" s="14"/>
      <c r="AL652" s="14"/>
      <c r="AM652" s="14"/>
      <c r="AN652" s="14"/>
      <c r="AO652" s="14"/>
      <c r="AP652" s="14"/>
      <c r="AQ652" s="14"/>
      <c r="AR652" s="14"/>
      <c r="AS652" s="14"/>
      <c r="AT652" s="14"/>
      <c r="AU652" s="14"/>
      <c r="AV652" s="14"/>
      <c r="AW652" s="14"/>
    </row>
    <row r="653" spans="1:49" ht="13">
      <c r="A653" s="176">
        <v>2021</v>
      </c>
      <c r="B653" s="53" t="s">
        <v>58</v>
      </c>
      <c r="C653" s="50" t="s">
        <v>397</v>
      </c>
      <c r="D653" s="50" t="s">
        <v>465</v>
      </c>
      <c r="E653" s="50" t="s">
        <v>397</v>
      </c>
      <c r="F653" s="50" t="s">
        <v>936</v>
      </c>
      <c r="G653" s="99">
        <v>2</v>
      </c>
      <c r="H653" s="50" t="s">
        <v>3009</v>
      </c>
      <c r="I653" s="178" t="s">
        <v>3010</v>
      </c>
      <c r="J653" s="50" t="s">
        <v>1629</v>
      </c>
      <c r="K653" s="50" t="s">
        <v>1629</v>
      </c>
      <c r="L653" s="50"/>
      <c r="M653" s="50"/>
      <c r="N653" s="50"/>
      <c r="O653" s="50"/>
      <c r="P653" s="50"/>
      <c r="Q653" s="50"/>
      <c r="R653" s="50"/>
      <c r="S653" s="50"/>
      <c r="T653" s="50"/>
      <c r="U653" s="50"/>
      <c r="V653" s="50"/>
      <c r="W653" s="50" t="s">
        <v>1635</v>
      </c>
      <c r="X653" s="50"/>
      <c r="Y653" s="50"/>
      <c r="Z653" s="50"/>
      <c r="AA653" s="50" t="s">
        <v>3011</v>
      </c>
      <c r="AB653" s="50" t="s">
        <v>2824</v>
      </c>
      <c r="AC653" s="50" t="s">
        <v>3012</v>
      </c>
      <c r="AD653" s="99">
        <v>231</v>
      </c>
      <c r="AE653" s="174">
        <v>83</v>
      </c>
      <c r="AF653" s="174" t="s">
        <v>2826</v>
      </c>
      <c r="AG653" s="50"/>
      <c r="AH653" s="50" t="s">
        <v>2837</v>
      </c>
      <c r="AI653" s="175">
        <v>42</v>
      </c>
      <c r="AJ653" s="178" t="s">
        <v>735</v>
      </c>
      <c r="AK653" s="29"/>
      <c r="AL653" s="29"/>
      <c r="AM653" s="29"/>
      <c r="AN653" s="29"/>
      <c r="AO653" s="29"/>
      <c r="AP653" s="29"/>
      <c r="AQ653" s="29"/>
      <c r="AR653" s="29"/>
      <c r="AS653" s="29"/>
      <c r="AT653" s="29"/>
      <c r="AU653" s="29"/>
      <c r="AV653" s="29"/>
      <c r="AW653" s="29"/>
    </row>
    <row r="654" spans="1:49" ht="13">
      <c r="A654" s="176">
        <v>2021</v>
      </c>
      <c r="B654" s="53" t="s">
        <v>58</v>
      </c>
      <c r="C654" s="50" t="s">
        <v>397</v>
      </c>
      <c r="D654" s="50" t="s">
        <v>465</v>
      </c>
      <c r="E654" s="50" t="s">
        <v>397</v>
      </c>
      <c r="F654" s="50" t="s">
        <v>3013</v>
      </c>
      <c r="G654" s="177">
        <v>0</v>
      </c>
      <c r="H654" s="50" t="s">
        <v>3014</v>
      </c>
      <c r="I654" s="179" t="s">
        <v>3015</v>
      </c>
      <c r="J654" s="50" t="s">
        <v>1629</v>
      </c>
      <c r="K654" s="50" t="s">
        <v>1629</v>
      </c>
      <c r="L654" s="50"/>
      <c r="M654" s="50"/>
      <c r="N654" s="50"/>
      <c r="O654" s="50"/>
      <c r="P654" s="50"/>
      <c r="Q654" s="50"/>
      <c r="R654" s="50"/>
      <c r="S654" s="50"/>
      <c r="T654" s="50"/>
      <c r="U654" s="50"/>
      <c r="V654" s="50"/>
      <c r="W654" s="50" t="s">
        <v>1629</v>
      </c>
      <c r="X654" s="50"/>
      <c r="Y654" s="50"/>
      <c r="Z654" s="50"/>
      <c r="AA654" s="50" t="s">
        <v>3016</v>
      </c>
      <c r="AB654" s="50" t="s">
        <v>2824</v>
      </c>
      <c r="AC654" s="50" t="s">
        <v>3017</v>
      </c>
      <c r="AD654" s="95">
        <v>232</v>
      </c>
      <c r="AE654" s="174">
        <v>83</v>
      </c>
      <c r="AF654" s="174" t="s">
        <v>2826</v>
      </c>
      <c r="AG654" s="50"/>
      <c r="AH654" s="50" t="s">
        <v>2819</v>
      </c>
      <c r="AI654" s="175">
        <v>43</v>
      </c>
      <c r="AJ654" s="179" t="s">
        <v>735</v>
      </c>
      <c r="AK654" s="14"/>
      <c r="AL654" s="14"/>
      <c r="AM654" s="14"/>
      <c r="AN654" s="14"/>
      <c r="AO654" s="14"/>
      <c r="AP654" s="14"/>
      <c r="AQ654" s="14"/>
      <c r="AR654" s="14"/>
      <c r="AS654" s="14"/>
      <c r="AT654" s="14"/>
      <c r="AU654" s="14"/>
      <c r="AV654" s="14"/>
      <c r="AW654" s="14"/>
    </row>
    <row r="655" spans="1:49" ht="13">
      <c r="A655" s="176">
        <v>2021</v>
      </c>
      <c r="B655" s="53" t="s">
        <v>58</v>
      </c>
      <c r="C655" s="50" t="s">
        <v>397</v>
      </c>
      <c r="D655" s="50" t="s">
        <v>465</v>
      </c>
      <c r="E655" s="50" t="s">
        <v>397</v>
      </c>
      <c r="F655" s="50" t="s">
        <v>3000</v>
      </c>
      <c r="G655" s="177">
        <v>0</v>
      </c>
      <c r="H655" s="50" t="s">
        <v>3018</v>
      </c>
      <c r="I655" s="178" t="s">
        <v>3019</v>
      </c>
      <c r="J655" s="50" t="s">
        <v>1629</v>
      </c>
      <c r="K655" s="50" t="s">
        <v>1629</v>
      </c>
      <c r="L655" s="50"/>
      <c r="M655" s="50"/>
      <c r="N655" s="50"/>
      <c r="O655" s="50"/>
      <c r="P655" s="50"/>
      <c r="Q655" s="50"/>
      <c r="R655" s="50"/>
      <c r="S655" s="50"/>
      <c r="T655" s="50"/>
      <c r="U655" s="50"/>
      <c r="V655" s="50"/>
      <c r="W655" s="50" t="s">
        <v>1635</v>
      </c>
      <c r="X655" s="50"/>
      <c r="Y655" s="50"/>
      <c r="Z655" s="50"/>
      <c r="AA655" s="50" t="s">
        <v>3020</v>
      </c>
      <c r="AB655" s="50" t="s">
        <v>2824</v>
      </c>
      <c r="AC655" s="50" t="s">
        <v>3021</v>
      </c>
      <c r="AD655" s="99">
        <v>233</v>
      </c>
      <c r="AE655" s="174">
        <v>83</v>
      </c>
      <c r="AF655" s="174" t="s">
        <v>2826</v>
      </c>
      <c r="AG655" s="50"/>
      <c r="AH655" s="50" t="s">
        <v>2819</v>
      </c>
      <c r="AI655" s="175">
        <v>44</v>
      </c>
      <c r="AJ655" s="178" t="s">
        <v>735</v>
      </c>
      <c r="AK655" s="29"/>
      <c r="AL655" s="29"/>
      <c r="AM655" s="29"/>
      <c r="AN655" s="29"/>
      <c r="AO655" s="29"/>
      <c r="AP655" s="29"/>
      <c r="AQ655" s="29"/>
      <c r="AR655" s="29"/>
      <c r="AS655" s="29"/>
      <c r="AT655" s="29"/>
      <c r="AU655" s="29"/>
      <c r="AV655" s="29"/>
      <c r="AW655" s="29"/>
    </row>
    <row r="656" spans="1:49" ht="13">
      <c r="A656" s="176">
        <v>2021</v>
      </c>
      <c r="B656" s="53" t="s">
        <v>58</v>
      </c>
      <c r="C656" s="50" t="s">
        <v>397</v>
      </c>
      <c r="D656" s="50" t="s">
        <v>465</v>
      </c>
      <c r="E656" s="50" t="s">
        <v>397</v>
      </c>
      <c r="F656" s="50" t="s">
        <v>3000</v>
      </c>
      <c r="G656" s="177">
        <v>0</v>
      </c>
      <c r="H656" s="50" t="s">
        <v>3022</v>
      </c>
      <c r="I656" s="179" t="s">
        <v>3023</v>
      </c>
      <c r="J656" s="50" t="s">
        <v>1629</v>
      </c>
      <c r="K656" s="50" t="s">
        <v>1629</v>
      </c>
      <c r="L656" s="50"/>
      <c r="M656" s="50"/>
      <c r="N656" s="50"/>
      <c r="O656" s="50"/>
      <c r="P656" s="50"/>
      <c r="Q656" s="50"/>
      <c r="R656" s="50"/>
      <c r="S656" s="50"/>
      <c r="T656" s="50"/>
      <c r="U656" s="50"/>
      <c r="V656" s="50"/>
      <c r="W656" s="50" t="s">
        <v>1635</v>
      </c>
      <c r="X656" s="50"/>
      <c r="Y656" s="50"/>
      <c r="Z656" s="50"/>
      <c r="AA656" s="50" t="s">
        <v>3024</v>
      </c>
      <c r="AB656" s="50" t="s">
        <v>2824</v>
      </c>
      <c r="AC656" s="50" t="s">
        <v>3025</v>
      </c>
      <c r="AD656" s="95">
        <v>234</v>
      </c>
      <c r="AE656" s="174">
        <v>83</v>
      </c>
      <c r="AF656" s="174" t="s">
        <v>2826</v>
      </c>
      <c r="AG656" s="50"/>
      <c r="AH656" s="50" t="s">
        <v>2819</v>
      </c>
      <c r="AI656" s="175">
        <v>45</v>
      </c>
      <c r="AJ656" s="179" t="s">
        <v>735</v>
      </c>
      <c r="AK656" s="14"/>
      <c r="AL656" s="14"/>
      <c r="AM656" s="14"/>
      <c r="AN656" s="14"/>
      <c r="AO656" s="14"/>
      <c r="AP656" s="14"/>
      <c r="AQ656" s="14"/>
      <c r="AR656" s="14"/>
      <c r="AS656" s="14"/>
      <c r="AT656" s="14"/>
      <c r="AU656" s="14"/>
      <c r="AV656" s="14"/>
      <c r="AW656" s="14"/>
    </row>
    <row r="657" spans="1:49" ht="13">
      <c r="A657" s="176">
        <v>2022</v>
      </c>
      <c r="B657" s="53" t="s">
        <v>58</v>
      </c>
      <c r="C657" s="50" t="s">
        <v>397</v>
      </c>
      <c r="D657" s="50" t="s">
        <v>465</v>
      </c>
      <c r="E657" s="50" t="s">
        <v>397</v>
      </c>
      <c r="F657" s="50" t="s">
        <v>3000</v>
      </c>
      <c r="G657" s="177">
        <v>0</v>
      </c>
      <c r="H657" s="50" t="s">
        <v>3026</v>
      </c>
      <c r="I657" s="178" t="s">
        <v>3027</v>
      </c>
      <c r="J657" s="50" t="s">
        <v>1629</v>
      </c>
      <c r="K657" s="50" t="s">
        <v>1629</v>
      </c>
      <c r="L657" s="50"/>
      <c r="M657" s="50"/>
      <c r="N657" s="50"/>
      <c r="O657" s="50"/>
      <c r="P657" s="50"/>
      <c r="Q657" s="50"/>
      <c r="R657" s="50"/>
      <c r="S657" s="50"/>
      <c r="T657" s="50"/>
      <c r="U657" s="50"/>
      <c r="V657" s="50"/>
      <c r="W657" s="50" t="s">
        <v>1635</v>
      </c>
      <c r="X657" s="50"/>
      <c r="Y657" s="50"/>
      <c r="Z657" s="50"/>
      <c r="AA657" s="50" t="s">
        <v>3028</v>
      </c>
      <c r="AB657" s="50" t="s">
        <v>2824</v>
      </c>
      <c r="AC657" s="50" t="s">
        <v>3029</v>
      </c>
      <c r="AD657" s="99">
        <v>235</v>
      </c>
      <c r="AE657" s="174">
        <v>83</v>
      </c>
      <c r="AF657" s="174" t="s">
        <v>2826</v>
      </c>
      <c r="AG657" s="50"/>
      <c r="AH657" s="50" t="s">
        <v>2819</v>
      </c>
      <c r="AI657" s="175">
        <v>46</v>
      </c>
      <c r="AJ657" s="178" t="s">
        <v>735</v>
      </c>
      <c r="AK657" s="29"/>
      <c r="AL657" s="29"/>
      <c r="AM657" s="29"/>
      <c r="AN657" s="29"/>
      <c r="AO657" s="29"/>
      <c r="AP657" s="29"/>
      <c r="AQ657" s="29"/>
      <c r="AR657" s="29"/>
      <c r="AS657" s="29"/>
      <c r="AT657" s="29"/>
      <c r="AU657" s="29"/>
      <c r="AV657" s="29"/>
      <c r="AW657" s="29"/>
    </row>
    <row r="658" spans="1:49" ht="13">
      <c r="A658" s="176">
        <v>2022</v>
      </c>
      <c r="B658" s="53" t="s">
        <v>58</v>
      </c>
      <c r="C658" s="50" t="s">
        <v>397</v>
      </c>
      <c r="D658" s="50" t="s">
        <v>465</v>
      </c>
      <c r="E658" s="50" t="s">
        <v>397</v>
      </c>
      <c r="F658" s="50" t="s">
        <v>3000</v>
      </c>
      <c r="G658" s="177">
        <v>0</v>
      </c>
      <c r="H658" s="50" t="s">
        <v>3030</v>
      </c>
      <c r="I658" s="179" t="s">
        <v>3031</v>
      </c>
      <c r="J658" s="50" t="s">
        <v>1629</v>
      </c>
      <c r="K658" s="50" t="s">
        <v>1629</v>
      </c>
      <c r="L658" s="50"/>
      <c r="M658" s="50"/>
      <c r="N658" s="50"/>
      <c r="O658" s="50"/>
      <c r="P658" s="50"/>
      <c r="Q658" s="50"/>
      <c r="R658" s="50"/>
      <c r="S658" s="50"/>
      <c r="T658" s="50"/>
      <c r="U658" s="50"/>
      <c r="V658" s="50"/>
      <c r="W658" s="50" t="s">
        <v>1635</v>
      </c>
      <c r="X658" s="50"/>
      <c r="Y658" s="50"/>
      <c r="Z658" s="50"/>
      <c r="AA658" s="50" t="s">
        <v>3032</v>
      </c>
      <c r="AB658" s="50" t="s">
        <v>2824</v>
      </c>
      <c r="AC658" s="50" t="s">
        <v>3033</v>
      </c>
      <c r="AD658" s="95">
        <v>236</v>
      </c>
      <c r="AE658" s="174">
        <v>83</v>
      </c>
      <c r="AF658" s="174" t="s">
        <v>2826</v>
      </c>
      <c r="AG658" s="50"/>
      <c r="AH658" s="50" t="s">
        <v>2819</v>
      </c>
      <c r="AI658" s="175">
        <v>47</v>
      </c>
      <c r="AJ658" s="179" t="s">
        <v>735</v>
      </c>
      <c r="AK658" s="14"/>
      <c r="AL658" s="14"/>
      <c r="AM658" s="14"/>
      <c r="AN658" s="14"/>
      <c r="AO658" s="14"/>
      <c r="AP658" s="14"/>
      <c r="AQ658" s="14"/>
      <c r="AR658" s="14"/>
      <c r="AS658" s="14"/>
      <c r="AT658" s="14"/>
      <c r="AU658" s="14"/>
      <c r="AV658" s="14"/>
      <c r="AW658" s="14"/>
    </row>
    <row r="659" spans="1:49" ht="13">
      <c r="A659" s="176">
        <v>2022</v>
      </c>
      <c r="B659" s="53" t="s">
        <v>58</v>
      </c>
      <c r="C659" s="50" t="s">
        <v>397</v>
      </c>
      <c r="D659" s="50" t="s">
        <v>465</v>
      </c>
      <c r="E659" s="50" t="s">
        <v>397</v>
      </c>
      <c r="F659" s="50" t="s">
        <v>936</v>
      </c>
      <c r="G659" s="99">
        <v>2</v>
      </c>
      <c r="H659" s="50" t="s">
        <v>3034</v>
      </c>
      <c r="I659" s="178" t="s">
        <v>3035</v>
      </c>
      <c r="J659" s="50" t="s">
        <v>1629</v>
      </c>
      <c r="K659" s="50" t="s">
        <v>1629</v>
      </c>
      <c r="L659" s="50"/>
      <c r="M659" s="50"/>
      <c r="N659" s="50"/>
      <c r="O659" s="50"/>
      <c r="P659" s="50"/>
      <c r="Q659" s="50"/>
      <c r="R659" s="50"/>
      <c r="S659" s="50"/>
      <c r="T659" s="50"/>
      <c r="U659" s="50"/>
      <c r="V659" s="50"/>
      <c r="W659" s="50" t="s">
        <v>1635</v>
      </c>
      <c r="X659" s="50"/>
      <c r="Y659" s="50"/>
      <c r="Z659" s="50"/>
      <c r="AA659" s="50" t="s">
        <v>3036</v>
      </c>
      <c r="AB659" s="50" t="s">
        <v>2824</v>
      </c>
      <c r="AC659" s="50" t="s">
        <v>3037</v>
      </c>
      <c r="AD659" s="99">
        <v>237</v>
      </c>
      <c r="AE659" s="174">
        <v>83</v>
      </c>
      <c r="AF659" s="174" t="s">
        <v>2826</v>
      </c>
      <c r="AG659" s="50"/>
      <c r="AH659" s="50" t="s">
        <v>2852</v>
      </c>
      <c r="AI659" s="175">
        <v>48</v>
      </c>
      <c r="AJ659" s="178" t="s">
        <v>735</v>
      </c>
      <c r="AK659" s="29"/>
      <c r="AL659" s="29"/>
      <c r="AM659" s="29"/>
      <c r="AN659" s="29"/>
      <c r="AO659" s="29"/>
      <c r="AP659" s="29"/>
      <c r="AQ659" s="29"/>
      <c r="AR659" s="29"/>
      <c r="AS659" s="29"/>
      <c r="AT659" s="29"/>
      <c r="AU659" s="29"/>
      <c r="AV659" s="29"/>
      <c r="AW659" s="29"/>
    </row>
    <row r="660" spans="1:49" ht="13">
      <c r="A660" s="176">
        <v>2022</v>
      </c>
      <c r="B660" s="53" t="s">
        <v>58</v>
      </c>
      <c r="C660" s="50" t="s">
        <v>397</v>
      </c>
      <c r="D660" s="50" t="s">
        <v>465</v>
      </c>
      <c r="E660" s="50" t="s">
        <v>397</v>
      </c>
      <c r="F660" s="50" t="s">
        <v>3038</v>
      </c>
      <c r="G660" s="177">
        <v>0</v>
      </c>
      <c r="H660" s="50" t="s">
        <v>3039</v>
      </c>
      <c r="I660" s="179" t="s">
        <v>3040</v>
      </c>
      <c r="J660" s="50" t="s">
        <v>1629</v>
      </c>
      <c r="K660" s="50" t="s">
        <v>1629</v>
      </c>
      <c r="L660" s="50"/>
      <c r="M660" s="50"/>
      <c r="N660" s="50"/>
      <c r="O660" s="50"/>
      <c r="P660" s="50"/>
      <c r="Q660" s="50"/>
      <c r="R660" s="50"/>
      <c r="S660" s="50"/>
      <c r="T660" s="50"/>
      <c r="U660" s="50"/>
      <c r="V660" s="50"/>
      <c r="W660" s="50" t="s">
        <v>1635</v>
      </c>
      <c r="X660" s="50"/>
      <c r="Y660" s="50"/>
      <c r="Z660" s="50"/>
      <c r="AA660" s="50" t="s">
        <v>3041</v>
      </c>
      <c r="AB660" s="50" t="s">
        <v>2824</v>
      </c>
      <c r="AC660" s="50" t="s">
        <v>3042</v>
      </c>
      <c r="AD660" s="95">
        <v>238</v>
      </c>
      <c r="AE660" s="174">
        <v>83</v>
      </c>
      <c r="AF660" s="174" t="s">
        <v>2826</v>
      </c>
      <c r="AG660" s="50"/>
      <c r="AH660" s="50" t="s">
        <v>2852</v>
      </c>
      <c r="AI660" s="175">
        <v>49</v>
      </c>
      <c r="AJ660" s="179" t="s">
        <v>735</v>
      </c>
      <c r="AK660" s="14"/>
      <c r="AL660" s="14"/>
      <c r="AM660" s="14"/>
      <c r="AN660" s="14"/>
      <c r="AO660" s="14"/>
      <c r="AP660" s="14"/>
      <c r="AQ660" s="14"/>
      <c r="AR660" s="14"/>
      <c r="AS660" s="14"/>
      <c r="AT660" s="14"/>
      <c r="AU660" s="14"/>
      <c r="AV660" s="14"/>
      <c r="AW660" s="14"/>
    </row>
    <row r="661" spans="1:49" ht="13">
      <c r="A661" s="176">
        <v>2020</v>
      </c>
      <c r="B661" s="53" t="s">
        <v>58</v>
      </c>
      <c r="C661" s="50" t="s">
        <v>462</v>
      </c>
      <c r="D661" s="50" t="s">
        <v>465</v>
      </c>
      <c r="E661" s="50" t="s">
        <v>462</v>
      </c>
      <c r="F661" s="50" t="s">
        <v>3043</v>
      </c>
      <c r="G661" s="177">
        <v>0</v>
      </c>
      <c r="H661" s="50" t="s">
        <v>3044</v>
      </c>
      <c r="I661" s="178" t="s">
        <v>3045</v>
      </c>
      <c r="J661" s="50" t="s">
        <v>1629</v>
      </c>
      <c r="K661" s="50" t="s">
        <v>1629</v>
      </c>
      <c r="L661" s="50"/>
      <c r="M661" s="50"/>
      <c r="N661" s="50"/>
      <c r="O661" s="50"/>
      <c r="P661" s="50"/>
      <c r="Q661" s="50"/>
      <c r="R661" s="50"/>
      <c r="S661" s="50"/>
      <c r="T661" s="50"/>
      <c r="U661" s="50"/>
      <c r="V661" s="50"/>
      <c r="W661" s="50" t="s">
        <v>1635</v>
      </c>
      <c r="X661" s="50"/>
      <c r="Y661" s="50"/>
      <c r="Z661" s="50"/>
      <c r="AA661" s="50" t="s">
        <v>3046</v>
      </c>
      <c r="AB661" s="50" t="s">
        <v>2824</v>
      </c>
      <c r="AC661" s="50" t="s">
        <v>3047</v>
      </c>
      <c r="AD661" s="99">
        <v>239</v>
      </c>
      <c r="AE661" s="174">
        <v>120</v>
      </c>
      <c r="AF661" s="174" t="s">
        <v>2826</v>
      </c>
      <c r="AG661" s="50"/>
      <c r="AH661" s="50" t="s">
        <v>2852</v>
      </c>
      <c r="AI661" s="175">
        <v>50</v>
      </c>
      <c r="AJ661" s="178" t="s">
        <v>919</v>
      </c>
      <c r="AK661" s="29"/>
      <c r="AL661" s="29"/>
      <c r="AM661" s="29"/>
      <c r="AN661" s="29"/>
      <c r="AO661" s="29"/>
      <c r="AP661" s="29"/>
      <c r="AQ661" s="29"/>
      <c r="AR661" s="29"/>
      <c r="AS661" s="29"/>
      <c r="AT661" s="29"/>
      <c r="AU661" s="29"/>
      <c r="AV661" s="29"/>
      <c r="AW661" s="29"/>
    </row>
    <row r="662" spans="1:49" ht="13">
      <c r="A662" s="176">
        <v>2021</v>
      </c>
      <c r="B662" s="53" t="s">
        <v>58</v>
      </c>
      <c r="C662" s="50" t="s">
        <v>95</v>
      </c>
      <c r="D662" s="50" t="s">
        <v>95</v>
      </c>
      <c r="E662" s="50" t="s">
        <v>95</v>
      </c>
      <c r="F662" s="50" t="s">
        <v>3048</v>
      </c>
      <c r="G662" s="177">
        <v>0</v>
      </c>
      <c r="H662" s="50" t="s">
        <v>2833</v>
      </c>
      <c r="I662" s="179" t="s">
        <v>3049</v>
      </c>
      <c r="J662" s="50" t="s">
        <v>1629</v>
      </c>
      <c r="K662" s="50" t="s">
        <v>1629</v>
      </c>
      <c r="L662" s="50"/>
      <c r="M662" s="50"/>
      <c r="N662" s="50"/>
      <c r="O662" s="50"/>
      <c r="P662" s="50"/>
      <c r="Q662" s="50"/>
      <c r="R662" s="50"/>
      <c r="S662" s="50"/>
      <c r="T662" s="50"/>
      <c r="U662" s="50"/>
      <c r="V662" s="50"/>
      <c r="W662" s="50" t="s">
        <v>1635</v>
      </c>
      <c r="X662" s="50"/>
      <c r="Y662" s="50"/>
      <c r="Z662" s="50"/>
      <c r="AA662" s="50" t="s">
        <v>3050</v>
      </c>
      <c r="AB662" s="50" t="s">
        <v>2824</v>
      </c>
      <c r="AC662" s="50" t="s">
        <v>3051</v>
      </c>
      <c r="AD662" s="95">
        <v>240</v>
      </c>
      <c r="AE662" s="174">
        <v>120</v>
      </c>
      <c r="AF662" s="174">
        <v>58</v>
      </c>
      <c r="AG662" s="50"/>
      <c r="AH662" s="50" t="s">
        <v>2837</v>
      </c>
      <c r="AI662" s="175">
        <v>51</v>
      </c>
      <c r="AJ662" s="179" t="s">
        <v>919</v>
      </c>
      <c r="AK662" s="14"/>
      <c r="AL662" s="14"/>
      <c r="AM662" s="14"/>
      <c r="AN662" s="14"/>
      <c r="AO662" s="14"/>
      <c r="AP662" s="14"/>
      <c r="AQ662" s="14"/>
      <c r="AR662" s="14"/>
      <c r="AS662" s="14"/>
      <c r="AT662" s="14"/>
      <c r="AU662" s="14"/>
      <c r="AV662" s="14"/>
      <c r="AW662" s="14"/>
    </row>
    <row r="663" spans="1:49" ht="13">
      <c r="A663" s="176">
        <v>2020</v>
      </c>
      <c r="B663" s="53" t="s">
        <v>58</v>
      </c>
      <c r="C663" s="50" t="s">
        <v>375</v>
      </c>
      <c r="D663" s="50" t="s">
        <v>375</v>
      </c>
      <c r="E663" s="50" t="s">
        <v>375</v>
      </c>
      <c r="F663" s="50" t="s">
        <v>3052</v>
      </c>
      <c r="G663" s="177">
        <v>0</v>
      </c>
      <c r="H663" s="50" t="s">
        <v>2897</v>
      </c>
      <c r="I663" s="178" t="s">
        <v>3053</v>
      </c>
      <c r="J663" s="50" t="s">
        <v>1629</v>
      </c>
      <c r="K663" s="50" t="s">
        <v>1629</v>
      </c>
      <c r="L663" s="50"/>
      <c r="M663" s="50"/>
      <c r="N663" s="50"/>
      <c r="O663" s="50"/>
      <c r="P663" s="50"/>
      <c r="Q663" s="50"/>
      <c r="R663" s="50"/>
      <c r="S663" s="50"/>
      <c r="T663" s="50"/>
      <c r="U663" s="50"/>
      <c r="V663" s="50"/>
      <c r="W663" s="50" t="s">
        <v>1635</v>
      </c>
      <c r="X663" s="50"/>
      <c r="Y663" s="50"/>
      <c r="Z663" s="50"/>
      <c r="AA663" s="50" t="s">
        <v>3054</v>
      </c>
      <c r="AB663" s="50" t="s">
        <v>2824</v>
      </c>
      <c r="AC663" s="50" t="s">
        <v>3055</v>
      </c>
      <c r="AD663" s="99">
        <v>241</v>
      </c>
      <c r="AE663" s="174">
        <v>120</v>
      </c>
      <c r="AF663" s="174">
        <v>211</v>
      </c>
      <c r="AG663" s="50"/>
      <c r="AH663" s="50" t="s">
        <v>2852</v>
      </c>
      <c r="AI663" s="175">
        <v>52</v>
      </c>
      <c r="AJ663" s="178" t="s">
        <v>919</v>
      </c>
      <c r="AK663" s="29"/>
      <c r="AL663" s="29"/>
      <c r="AM663" s="29"/>
      <c r="AN663" s="29"/>
      <c r="AO663" s="29"/>
      <c r="AP663" s="29"/>
      <c r="AQ663" s="29"/>
      <c r="AR663" s="29"/>
      <c r="AS663" s="29"/>
      <c r="AT663" s="29"/>
      <c r="AU663" s="29"/>
      <c r="AV663" s="29"/>
      <c r="AW663" s="29"/>
    </row>
    <row r="664" spans="1:49" ht="13">
      <c r="A664" s="176">
        <v>2024</v>
      </c>
      <c r="B664" s="53" t="s">
        <v>58</v>
      </c>
      <c r="C664" s="50" t="s">
        <v>379</v>
      </c>
      <c r="D664" s="50" t="s">
        <v>465</v>
      </c>
      <c r="E664" s="50" t="s">
        <v>379</v>
      </c>
      <c r="F664" s="50" t="s">
        <v>918</v>
      </c>
      <c r="G664" s="99">
        <v>1</v>
      </c>
      <c r="H664" s="50" t="s">
        <v>2827</v>
      </c>
      <c r="I664" s="179" t="s">
        <v>3056</v>
      </c>
      <c r="J664" s="50" t="s">
        <v>1629</v>
      </c>
      <c r="K664" s="50" t="s">
        <v>1629</v>
      </c>
      <c r="L664" s="50"/>
      <c r="M664" s="50"/>
      <c r="N664" s="50"/>
      <c r="O664" s="50"/>
      <c r="P664" s="50"/>
      <c r="Q664" s="50"/>
      <c r="R664" s="50"/>
      <c r="S664" s="50"/>
      <c r="T664" s="50"/>
      <c r="U664" s="50"/>
      <c r="V664" s="50"/>
      <c r="W664" s="50" t="s">
        <v>1635</v>
      </c>
      <c r="X664" s="50"/>
      <c r="Y664" s="50"/>
      <c r="Z664" s="50"/>
      <c r="AA664" s="50" t="s">
        <v>3057</v>
      </c>
      <c r="AB664" s="50" t="s">
        <v>2824</v>
      </c>
      <c r="AC664" s="50" t="s">
        <v>3058</v>
      </c>
      <c r="AD664" s="95">
        <v>242</v>
      </c>
      <c r="AE664" s="174">
        <v>120</v>
      </c>
      <c r="AF664" s="174" t="s">
        <v>2826</v>
      </c>
      <c r="AG664" s="50"/>
      <c r="AH664" s="50" t="s">
        <v>2819</v>
      </c>
      <c r="AI664" s="175">
        <v>53</v>
      </c>
      <c r="AJ664" s="179" t="s">
        <v>919</v>
      </c>
      <c r="AK664" s="14"/>
      <c r="AL664" s="14"/>
      <c r="AM664" s="14"/>
      <c r="AN664" s="14"/>
      <c r="AO664" s="14"/>
      <c r="AP664" s="14"/>
      <c r="AQ664" s="14"/>
      <c r="AR664" s="14"/>
      <c r="AS664" s="14"/>
      <c r="AT664" s="14"/>
      <c r="AU664" s="14"/>
      <c r="AV664" s="14"/>
      <c r="AW664" s="14"/>
    </row>
    <row r="665" spans="1:49" ht="13">
      <c r="A665" s="176">
        <v>2023</v>
      </c>
      <c r="B665" s="53" t="s">
        <v>58</v>
      </c>
      <c r="C665" s="50" t="s">
        <v>462</v>
      </c>
      <c r="D665" s="50" t="s">
        <v>465</v>
      </c>
      <c r="E665" s="50" t="s">
        <v>462</v>
      </c>
      <c r="F665" s="50" t="s">
        <v>3059</v>
      </c>
      <c r="G665" s="177">
        <v>0</v>
      </c>
      <c r="H665" s="50" t="s">
        <v>3060</v>
      </c>
      <c r="I665" s="178" t="s">
        <v>3061</v>
      </c>
      <c r="J665" s="50" t="s">
        <v>1629</v>
      </c>
      <c r="K665" s="50" t="s">
        <v>1629</v>
      </c>
      <c r="L665" s="50"/>
      <c r="M665" s="50"/>
      <c r="N665" s="50"/>
      <c r="O665" s="50"/>
      <c r="P665" s="50"/>
      <c r="Q665" s="50"/>
      <c r="R665" s="50"/>
      <c r="S665" s="50"/>
      <c r="T665" s="50"/>
      <c r="U665" s="50"/>
      <c r="V665" s="50"/>
      <c r="W665" s="50" t="s">
        <v>2829</v>
      </c>
      <c r="X665" s="50"/>
      <c r="Y665" s="50"/>
      <c r="Z665" s="50"/>
      <c r="AA665" s="50" t="s">
        <v>3062</v>
      </c>
      <c r="AB665" s="50" t="s">
        <v>2824</v>
      </c>
      <c r="AC665" s="50" t="s">
        <v>3063</v>
      </c>
      <c r="AD665" s="99">
        <v>243</v>
      </c>
      <c r="AE665" s="174">
        <v>120</v>
      </c>
      <c r="AF665" s="174" t="s">
        <v>2826</v>
      </c>
      <c r="AG665" s="50"/>
      <c r="AH665" s="50" t="s">
        <v>2852</v>
      </c>
      <c r="AI665" s="175">
        <v>54</v>
      </c>
      <c r="AJ665" s="178" t="s">
        <v>919</v>
      </c>
      <c r="AK665" s="29"/>
      <c r="AL665" s="29"/>
      <c r="AM665" s="29"/>
      <c r="AN665" s="29"/>
      <c r="AO665" s="29"/>
      <c r="AP665" s="29"/>
      <c r="AQ665" s="29"/>
      <c r="AR665" s="29"/>
      <c r="AS665" s="29"/>
      <c r="AT665" s="29"/>
      <c r="AU665" s="29"/>
      <c r="AV665" s="29"/>
      <c r="AW665" s="29"/>
    </row>
    <row r="666" spans="1:49" ht="13">
      <c r="A666" s="176">
        <v>2024</v>
      </c>
      <c r="B666" s="53" t="s">
        <v>58</v>
      </c>
      <c r="C666" s="50" t="s">
        <v>462</v>
      </c>
      <c r="D666" s="50" t="s">
        <v>465</v>
      </c>
      <c r="E666" s="50" t="s">
        <v>462</v>
      </c>
      <c r="F666" s="50" t="s">
        <v>3064</v>
      </c>
      <c r="G666" s="177">
        <v>0</v>
      </c>
      <c r="H666" s="50" t="s">
        <v>3065</v>
      </c>
      <c r="I666" s="179" t="s">
        <v>3066</v>
      </c>
      <c r="J666" s="50" t="s">
        <v>1629</v>
      </c>
      <c r="K666" s="50" t="s">
        <v>1629</v>
      </c>
      <c r="L666" s="50"/>
      <c r="M666" s="50"/>
      <c r="N666" s="50"/>
      <c r="O666" s="50"/>
      <c r="P666" s="50"/>
      <c r="Q666" s="50"/>
      <c r="R666" s="50"/>
      <c r="S666" s="50"/>
      <c r="T666" s="50"/>
      <c r="U666" s="50"/>
      <c r="V666" s="50"/>
      <c r="W666" s="50" t="s">
        <v>1635</v>
      </c>
      <c r="X666" s="50"/>
      <c r="Y666" s="50"/>
      <c r="Z666" s="50"/>
      <c r="AA666" s="50" t="s">
        <v>3067</v>
      </c>
      <c r="AB666" s="50" t="s">
        <v>2824</v>
      </c>
      <c r="AC666" s="50" t="s">
        <v>3068</v>
      </c>
      <c r="AD666" s="95">
        <v>244</v>
      </c>
      <c r="AE666" s="174">
        <v>120</v>
      </c>
      <c r="AF666" s="174" t="s">
        <v>2826</v>
      </c>
      <c r="AG666" s="50"/>
      <c r="AH666" s="50" t="s">
        <v>2819</v>
      </c>
      <c r="AI666" s="175">
        <v>55</v>
      </c>
      <c r="AJ666" s="179" t="s">
        <v>919</v>
      </c>
      <c r="AK666" s="14"/>
      <c r="AL666" s="14"/>
      <c r="AM666" s="14"/>
      <c r="AN666" s="14"/>
      <c r="AO666" s="14"/>
      <c r="AP666" s="14"/>
      <c r="AQ666" s="14"/>
      <c r="AR666" s="14"/>
      <c r="AS666" s="14"/>
      <c r="AT666" s="14"/>
      <c r="AU666" s="14"/>
      <c r="AV666" s="14"/>
      <c r="AW666" s="14"/>
    </row>
    <row r="667" spans="1:49" ht="13">
      <c r="A667" s="176">
        <v>2020</v>
      </c>
      <c r="B667" s="53" t="s">
        <v>58</v>
      </c>
      <c r="C667" s="50" t="s">
        <v>331</v>
      </c>
      <c r="D667" s="50" t="s">
        <v>465</v>
      </c>
      <c r="E667" s="50" t="s">
        <v>331</v>
      </c>
      <c r="F667" s="50" t="s">
        <v>3069</v>
      </c>
      <c r="G667" s="177">
        <v>0</v>
      </c>
      <c r="H667" s="50" t="s">
        <v>3070</v>
      </c>
      <c r="I667" s="178" t="s">
        <v>3071</v>
      </c>
      <c r="J667" s="50" t="s">
        <v>1629</v>
      </c>
      <c r="K667" s="50" t="s">
        <v>1629</v>
      </c>
      <c r="L667" s="50"/>
      <c r="M667" s="50"/>
      <c r="N667" s="50"/>
      <c r="O667" s="50"/>
      <c r="P667" s="50"/>
      <c r="Q667" s="50"/>
      <c r="R667" s="50"/>
      <c r="S667" s="50"/>
      <c r="T667" s="50"/>
      <c r="U667" s="50"/>
      <c r="V667" s="50"/>
      <c r="W667" s="50" t="s">
        <v>1635</v>
      </c>
      <c r="X667" s="50"/>
      <c r="Y667" s="50"/>
      <c r="Z667" s="50"/>
      <c r="AA667" s="50" t="s">
        <v>3072</v>
      </c>
      <c r="AB667" s="50" t="s">
        <v>2824</v>
      </c>
      <c r="AC667" s="50" t="s">
        <v>3073</v>
      </c>
      <c r="AD667" s="99">
        <v>245</v>
      </c>
      <c r="AE667" s="174">
        <v>120</v>
      </c>
      <c r="AF667" s="174" t="s">
        <v>2826</v>
      </c>
      <c r="AG667" s="50"/>
      <c r="AH667" s="50" t="s">
        <v>2819</v>
      </c>
      <c r="AI667" s="175">
        <v>56</v>
      </c>
      <c r="AJ667" s="178" t="s">
        <v>919</v>
      </c>
      <c r="AK667" s="29"/>
      <c r="AL667" s="29"/>
      <c r="AM667" s="29"/>
      <c r="AN667" s="29"/>
      <c r="AO667" s="29"/>
      <c r="AP667" s="29"/>
      <c r="AQ667" s="29"/>
      <c r="AR667" s="29"/>
      <c r="AS667" s="29"/>
      <c r="AT667" s="29"/>
      <c r="AU667" s="29"/>
      <c r="AV667" s="29"/>
      <c r="AW667" s="29"/>
    </row>
    <row r="668" spans="1:49" ht="13">
      <c r="A668" s="176">
        <v>2015</v>
      </c>
      <c r="B668" s="53" t="s">
        <v>80</v>
      </c>
      <c r="C668" s="50" t="s">
        <v>327</v>
      </c>
      <c r="D668" s="50" t="s">
        <v>465</v>
      </c>
      <c r="E668" s="50" t="s">
        <v>327</v>
      </c>
      <c r="F668" s="50" t="s">
        <v>3074</v>
      </c>
      <c r="G668" s="177">
        <v>0</v>
      </c>
      <c r="H668" s="50" t="s">
        <v>3075</v>
      </c>
      <c r="I668" s="179" t="s">
        <v>3076</v>
      </c>
      <c r="J668" s="50" t="s">
        <v>1629</v>
      </c>
      <c r="K668" s="50" t="s">
        <v>1629</v>
      </c>
      <c r="L668" s="50"/>
      <c r="M668" s="50"/>
      <c r="N668" s="50"/>
      <c r="O668" s="50"/>
      <c r="P668" s="50"/>
      <c r="Q668" s="50"/>
      <c r="R668" s="50"/>
      <c r="S668" s="50"/>
      <c r="T668" s="50"/>
      <c r="U668" s="50"/>
      <c r="V668" s="50"/>
      <c r="W668" s="50" t="s">
        <v>1635</v>
      </c>
      <c r="X668" s="50"/>
      <c r="Y668" s="50"/>
      <c r="Z668" s="50"/>
      <c r="AA668" s="50" t="s">
        <v>3077</v>
      </c>
      <c r="AB668" s="50" t="s">
        <v>2824</v>
      </c>
      <c r="AC668" s="50" t="s">
        <v>3078</v>
      </c>
      <c r="AD668" s="95">
        <v>246</v>
      </c>
      <c r="AE668" s="174">
        <v>120</v>
      </c>
      <c r="AF668" s="174" t="s">
        <v>2826</v>
      </c>
      <c r="AG668" s="50"/>
      <c r="AH668" s="50" t="s">
        <v>2819</v>
      </c>
      <c r="AI668" s="175">
        <v>57</v>
      </c>
      <c r="AJ668" s="179" t="s">
        <v>919</v>
      </c>
      <c r="AK668" s="14"/>
      <c r="AL668" s="14"/>
      <c r="AM668" s="14"/>
      <c r="AN668" s="14"/>
      <c r="AO668" s="14"/>
      <c r="AP668" s="14"/>
      <c r="AQ668" s="14"/>
      <c r="AR668" s="14"/>
      <c r="AS668" s="14"/>
      <c r="AT668" s="14"/>
      <c r="AU668" s="14"/>
      <c r="AV668" s="14"/>
      <c r="AW668" s="14"/>
    </row>
    <row r="669" spans="1:49" ht="13">
      <c r="A669" s="176">
        <v>2024</v>
      </c>
      <c r="B669" s="53" t="s">
        <v>58</v>
      </c>
      <c r="C669" s="50" t="s">
        <v>397</v>
      </c>
      <c r="D669" s="50" t="s">
        <v>465</v>
      </c>
      <c r="E669" s="50" t="s">
        <v>397</v>
      </c>
      <c r="F669" s="50" t="s">
        <v>3079</v>
      </c>
      <c r="G669" s="177">
        <v>0</v>
      </c>
      <c r="H669" s="50" t="s">
        <v>3080</v>
      </c>
      <c r="I669" s="178" t="s">
        <v>3081</v>
      </c>
      <c r="J669" s="50" t="s">
        <v>1629</v>
      </c>
      <c r="K669" s="50" t="s">
        <v>1629</v>
      </c>
      <c r="L669" s="50"/>
      <c r="M669" s="50"/>
      <c r="N669" s="50"/>
      <c r="O669" s="50"/>
      <c r="P669" s="50"/>
      <c r="Q669" s="50"/>
      <c r="R669" s="50"/>
      <c r="S669" s="50"/>
      <c r="T669" s="50"/>
      <c r="U669" s="50"/>
      <c r="V669" s="50"/>
      <c r="W669" s="50" t="s">
        <v>1635</v>
      </c>
      <c r="X669" s="50"/>
      <c r="Y669" s="50"/>
      <c r="Z669" s="50"/>
      <c r="AA669" s="50" t="s">
        <v>3082</v>
      </c>
      <c r="AB669" s="50" t="s">
        <v>2824</v>
      </c>
      <c r="AC669" s="50" t="s">
        <v>3083</v>
      </c>
      <c r="AD669" s="99">
        <v>247</v>
      </c>
      <c r="AE669" s="174">
        <v>83</v>
      </c>
      <c r="AF669" s="174" t="s">
        <v>2826</v>
      </c>
      <c r="AG669" s="50"/>
      <c r="AH669" s="50" t="s">
        <v>2819</v>
      </c>
      <c r="AI669" s="175">
        <v>58</v>
      </c>
      <c r="AJ669" s="178" t="s">
        <v>735</v>
      </c>
      <c r="AK669" s="29"/>
      <c r="AL669" s="29"/>
      <c r="AM669" s="29"/>
      <c r="AN669" s="29"/>
      <c r="AO669" s="29"/>
      <c r="AP669" s="29"/>
      <c r="AQ669" s="29"/>
      <c r="AR669" s="29"/>
      <c r="AS669" s="29"/>
      <c r="AT669" s="29"/>
      <c r="AU669" s="29"/>
      <c r="AV669" s="29"/>
      <c r="AW669" s="29"/>
    </row>
    <row r="670" spans="1:49" ht="13">
      <c r="A670" s="176">
        <v>2024</v>
      </c>
      <c r="B670" s="53" t="s">
        <v>58</v>
      </c>
      <c r="C670" s="50" t="s">
        <v>397</v>
      </c>
      <c r="D670" s="50" t="s">
        <v>465</v>
      </c>
      <c r="E670" s="50" t="s">
        <v>397</v>
      </c>
      <c r="F670" s="50" t="s">
        <v>3084</v>
      </c>
      <c r="G670" s="177">
        <v>0</v>
      </c>
      <c r="H670" s="50" t="s">
        <v>3085</v>
      </c>
      <c r="I670" s="179" t="s">
        <v>3086</v>
      </c>
      <c r="J670" s="50" t="s">
        <v>1629</v>
      </c>
      <c r="K670" s="50" t="s">
        <v>1629</v>
      </c>
      <c r="L670" s="50"/>
      <c r="M670" s="50"/>
      <c r="N670" s="50"/>
      <c r="O670" s="50"/>
      <c r="P670" s="50"/>
      <c r="Q670" s="50"/>
      <c r="R670" s="50"/>
      <c r="S670" s="50"/>
      <c r="T670" s="50"/>
      <c r="U670" s="50"/>
      <c r="V670" s="50"/>
      <c r="W670" s="50" t="s">
        <v>1635</v>
      </c>
      <c r="X670" s="50"/>
      <c r="Y670" s="50"/>
      <c r="Z670" s="50"/>
      <c r="AA670" s="50" t="s">
        <v>3087</v>
      </c>
      <c r="AB670" s="50" t="s">
        <v>2824</v>
      </c>
      <c r="AC670" s="50" t="s">
        <v>3088</v>
      </c>
      <c r="AD670" s="95">
        <v>248</v>
      </c>
      <c r="AE670" s="174">
        <v>83</v>
      </c>
      <c r="AF670" s="174" t="s">
        <v>2826</v>
      </c>
      <c r="AG670" s="50"/>
      <c r="AH670" s="50" t="s">
        <v>2819</v>
      </c>
      <c r="AI670" s="175">
        <v>59</v>
      </c>
      <c r="AJ670" s="179" t="s">
        <v>735</v>
      </c>
      <c r="AK670" s="14"/>
      <c r="AL670" s="14"/>
      <c r="AM670" s="14"/>
      <c r="AN670" s="14"/>
      <c r="AO670" s="14"/>
      <c r="AP670" s="14"/>
      <c r="AQ670" s="14"/>
      <c r="AR670" s="14"/>
      <c r="AS670" s="14"/>
      <c r="AT670" s="14"/>
      <c r="AU670" s="14"/>
      <c r="AV670" s="14"/>
      <c r="AW670" s="14"/>
    </row>
    <row r="671" spans="1:49" ht="13">
      <c r="A671" s="176">
        <v>2017</v>
      </c>
      <c r="B671" s="53" t="s">
        <v>58</v>
      </c>
      <c r="C671" s="50" t="s">
        <v>397</v>
      </c>
      <c r="D671" s="50" t="s">
        <v>397</v>
      </c>
      <c r="E671" s="50" t="s">
        <v>397</v>
      </c>
      <c r="F671" s="50" t="s">
        <v>943</v>
      </c>
      <c r="G671" s="99">
        <v>1</v>
      </c>
      <c r="H671" s="50" t="s">
        <v>3089</v>
      </c>
      <c r="I671" s="178" t="s">
        <v>3090</v>
      </c>
      <c r="J671" s="50" t="s">
        <v>1635</v>
      </c>
      <c r="K671" s="50" t="s">
        <v>1629</v>
      </c>
      <c r="L671" s="50"/>
      <c r="M671" s="50"/>
      <c r="N671" s="50"/>
      <c r="O671" s="50"/>
      <c r="P671" s="50"/>
      <c r="Q671" s="50"/>
      <c r="R671" s="50"/>
      <c r="S671" s="50"/>
      <c r="T671" s="50"/>
      <c r="U671" s="50"/>
      <c r="V671" s="50"/>
      <c r="W671" s="50" t="s">
        <v>1635</v>
      </c>
      <c r="X671" s="50"/>
      <c r="Y671" s="50"/>
      <c r="Z671" s="50"/>
      <c r="AA671" s="50"/>
      <c r="AB671" s="50" t="s">
        <v>3091</v>
      </c>
      <c r="AC671" s="50" t="s">
        <v>3092</v>
      </c>
      <c r="AD671" s="99">
        <v>249</v>
      </c>
      <c r="AE671" s="174">
        <v>130</v>
      </c>
      <c r="AF671" s="174">
        <v>231</v>
      </c>
      <c r="AG671" s="50"/>
      <c r="AH671" s="50" t="s">
        <v>2837</v>
      </c>
      <c r="AI671" s="175">
        <v>60</v>
      </c>
      <c r="AJ671" s="178" t="s">
        <v>944</v>
      </c>
      <c r="AK671" s="29"/>
      <c r="AL671" s="29"/>
      <c r="AM671" s="29"/>
      <c r="AN671" s="29"/>
      <c r="AO671" s="29"/>
      <c r="AP671" s="29"/>
      <c r="AQ671" s="29"/>
      <c r="AR671" s="29"/>
      <c r="AS671" s="29"/>
      <c r="AT671" s="29"/>
      <c r="AU671" s="29"/>
      <c r="AV671" s="29"/>
      <c r="AW671" s="29"/>
    </row>
    <row r="672" spans="1:49" ht="13">
      <c r="A672" s="176">
        <v>2023</v>
      </c>
      <c r="B672" s="53" t="s">
        <v>58</v>
      </c>
      <c r="C672" s="50" t="s">
        <v>397</v>
      </c>
      <c r="D672" s="50" t="s">
        <v>465</v>
      </c>
      <c r="E672" s="50" t="s">
        <v>397</v>
      </c>
      <c r="F672" s="50" t="s">
        <v>3093</v>
      </c>
      <c r="G672" s="177">
        <v>0</v>
      </c>
      <c r="H672" s="50" t="s">
        <v>3094</v>
      </c>
      <c r="I672" s="179" t="s">
        <v>3095</v>
      </c>
      <c r="J672" s="50" t="s">
        <v>1629</v>
      </c>
      <c r="K672" s="50" t="s">
        <v>1629</v>
      </c>
      <c r="L672" s="50"/>
      <c r="M672" s="50"/>
      <c r="N672" s="50"/>
      <c r="O672" s="50"/>
      <c r="P672" s="50"/>
      <c r="Q672" s="50"/>
      <c r="R672" s="50"/>
      <c r="S672" s="50"/>
      <c r="T672" s="50"/>
      <c r="U672" s="50"/>
      <c r="V672" s="50"/>
      <c r="W672" s="50" t="s">
        <v>1635</v>
      </c>
      <c r="X672" s="50"/>
      <c r="Y672" s="50"/>
      <c r="Z672" s="50"/>
      <c r="AA672" s="50" t="s">
        <v>3096</v>
      </c>
      <c r="AB672" s="50" t="s">
        <v>2824</v>
      </c>
      <c r="AC672" s="50" t="s">
        <v>3097</v>
      </c>
      <c r="AD672" s="95">
        <v>250</v>
      </c>
      <c r="AE672" s="174">
        <v>83</v>
      </c>
      <c r="AF672" s="174" t="s">
        <v>2826</v>
      </c>
      <c r="AG672" s="50"/>
      <c r="AH672" s="50" t="s">
        <v>2819</v>
      </c>
      <c r="AI672" s="175">
        <v>61</v>
      </c>
      <c r="AJ672" s="179" t="s">
        <v>735</v>
      </c>
      <c r="AK672" s="14"/>
      <c r="AL672" s="14"/>
      <c r="AM672" s="14"/>
      <c r="AN672" s="14"/>
      <c r="AO672" s="14"/>
      <c r="AP672" s="14"/>
      <c r="AQ672" s="14"/>
      <c r="AR672" s="14"/>
      <c r="AS672" s="14"/>
      <c r="AT672" s="14"/>
      <c r="AU672" s="14"/>
      <c r="AV672" s="14"/>
      <c r="AW672" s="14"/>
    </row>
    <row r="673" spans="1:49" ht="13">
      <c r="A673" s="176">
        <v>2023</v>
      </c>
      <c r="B673" s="53" t="s">
        <v>58</v>
      </c>
      <c r="C673" s="50" t="s">
        <v>397</v>
      </c>
      <c r="D673" s="50" t="s">
        <v>462</v>
      </c>
      <c r="E673" s="50" t="s">
        <v>397</v>
      </c>
      <c r="F673" s="50" t="s">
        <v>3098</v>
      </c>
      <c r="G673" s="177">
        <v>0</v>
      </c>
      <c r="H673" s="50" t="s">
        <v>3099</v>
      </c>
      <c r="I673" s="178" t="s">
        <v>3100</v>
      </c>
      <c r="J673" s="50" t="s">
        <v>1629</v>
      </c>
      <c r="K673" s="50" t="s">
        <v>1629</v>
      </c>
      <c r="L673" s="50"/>
      <c r="M673" s="50"/>
      <c r="N673" s="50"/>
      <c r="O673" s="50"/>
      <c r="P673" s="50"/>
      <c r="Q673" s="50"/>
      <c r="R673" s="50"/>
      <c r="S673" s="50"/>
      <c r="T673" s="50"/>
      <c r="U673" s="50"/>
      <c r="V673" s="50"/>
      <c r="W673" s="50" t="s">
        <v>1629</v>
      </c>
      <c r="X673" s="50"/>
      <c r="Y673" s="50"/>
      <c r="Z673" s="50"/>
      <c r="AA673" s="50" t="s">
        <v>3101</v>
      </c>
      <c r="AB673" s="50" t="s">
        <v>2824</v>
      </c>
      <c r="AC673" s="50" t="s">
        <v>3102</v>
      </c>
      <c r="AD673" s="99">
        <v>251</v>
      </c>
      <c r="AE673" s="174">
        <v>83</v>
      </c>
      <c r="AF673" s="174" t="s">
        <v>2826</v>
      </c>
      <c r="AG673" s="50"/>
      <c r="AH673" s="50" t="s">
        <v>2819</v>
      </c>
      <c r="AI673" s="175">
        <v>62</v>
      </c>
      <c r="AJ673" s="178" t="s">
        <v>735</v>
      </c>
      <c r="AK673" s="29"/>
      <c r="AL673" s="29"/>
      <c r="AM673" s="29"/>
      <c r="AN673" s="29"/>
      <c r="AO673" s="29"/>
      <c r="AP673" s="29"/>
      <c r="AQ673" s="29"/>
      <c r="AR673" s="29"/>
      <c r="AS673" s="29"/>
      <c r="AT673" s="29"/>
      <c r="AU673" s="29"/>
      <c r="AV673" s="29"/>
      <c r="AW673" s="29"/>
    </row>
    <row r="674" spans="1:49" ht="13">
      <c r="A674" s="176">
        <v>2013</v>
      </c>
      <c r="B674" s="53" t="s">
        <v>58</v>
      </c>
      <c r="C674" s="50" t="s">
        <v>455</v>
      </c>
      <c r="D674" s="50" t="s">
        <v>356</v>
      </c>
      <c r="E674" s="50" t="s">
        <v>455</v>
      </c>
      <c r="F674" s="50" t="s">
        <v>3103</v>
      </c>
      <c r="G674" s="177">
        <v>0</v>
      </c>
      <c r="H674" s="50" t="s">
        <v>3104</v>
      </c>
      <c r="I674" s="179" t="s">
        <v>3105</v>
      </c>
      <c r="J674" s="50" t="s">
        <v>1629</v>
      </c>
      <c r="K674" s="50" t="s">
        <v>1635</v>
      </c>
      <c r="L674" s="50"/>
      <c r="M674" s="50"/>
      <c r="N674" s="50"/>
      <c r="O674" s="50"/>
      <c r="P674" s="50"/>
      <c r="Q674" s="50"/>
      <c r="R674" s="50"/>
      <c r="S674" s="50"/>
      <c r="T674" s="50"/>
      <c r="U674" s="50"/>
      <c r="V674" s="50"/>
      <c r="W674" s="50" t="s">
        <v>1629</v>
      </c>
      <c r="X674" s="50"/>
      <c r="Y674" s="50"/>
      <c r="Z674" s="50"/>
      <c r="AA674" s="50" t="s">
        <v>3106</v>
      </c>
      <c r="AB674" s="50" t="s">
        <v>352</v>
      </c>
      <c r="AC674" s="50" t="s">
        <v>3107</v>
      </c>
      <c r="AD674" s="95">
        <v>252</v>
      </c>
      <c r="AE674" s="174" t="s">
        <v>2826</v>
      </c>
      <c r="AF674" s="174">
        <v>192</v>
      </c>
      <c r="AG674" s="50"/>
      <c r="AH674" s="50" t="s">
        <v>2819</v>
      </c>
      <c r="AI674" s="175">
        <v>63</v>
      </c>
      <c r="AJ674" s="53" t="s">
        <v>462</v>
      </c>
      <c r="AK674" s="14"/>
      <c r="AL674" s="14"/>
      <c r="AM674" s="14"/>
      <c r="AN674" s="14"/>
      <c r="AO674" s="14"/>
      <c r="AP674" s="14"/>
      <c r="AQ674" s="14"/>
      <c r="AR674" s="14"/>
      <c r="AS674" s="14"/>
      <c r="AT674" s="14"/>
      <c r="AU674" s="14"/>
      <c r="AV674" s="14"/>
      <c r="AW674" s="14"/>
    </row>
    <row r="675" spans="1:49" ht="13">
      <c r="A675" s="176">
        <v>2015</v>
      </c>
      <c r="B675" s="12" t="s">
        <v>64</v>
      </c>
      <c r="C675" s="50" t="s">
        <v>455</v>
      </c>
      <c r="D675" s="50" t="s">
        <v>360</v>
      </c>
      <c r="E675" s="50" t="s">
        <v>455</v>
      </c>
      <c r="F675" s="50" t="s">
        <v>3108</v>
      </c>
      <c r="G675" s="177">
        <v>0</v>
      </c>
      <c r="H675" s="50" t="s">
        <v>3109</v>
      </c>
      <c r="I675" s="178" t="s">
        <v>3110</v>
      </c>
      <c r="J675" s="50" t="s">
        <v>1629</v>
      </c>
      <c r="K675" s="50" t="s">
        <v>1629</v>
      </c>
      <c r="L675" s="50"/>
      <c r="M675" s="50"/>
      <c r="N675" s="50"/>
      <c r="O675" s="50"/>
      <c r="P675" s="50"/>
      <c r="Q675" s="50"/>
      <c r="R675" s="50"/>
      <c r="S675" s="50"/>
      <c r="T675" s="50"/>
      <c r="U675" s="50"/>
      <c r="V675" s="50"/>
      <c r="W675" s="50" t="s">
        <v>1629</v>
      </c>
      <c r="X675" s="50"/>
      <c r="Y675" s="50"/>
      <c r="Z675" s="50"/>
      <c r="AA675" s="50" t="s">
        <v>3111</v>
      </c>
      <c r="AB675" s="50" t="s">
        <v>352</v>
      </c>
      <c r="AC675" s="50" t="s">
        <v>3112</v>
      </c>
      <c r="AD675" s="99">
        <v>253</v>
      </c>
      <c r="AE675" s="174" t="s">
        <v>2826</v>
      </c>
      <c r="AF675" s="174" t="s">
        <v>2826</v>
      </c>
      <c r="AG675" s="50"/>
      <c r="AH675" s="50" t="s">
        <v>2837</v>
      </c>
      <c r="AI675" s="175">
        <v>64</v>
      </c>
      <c r="AJ675" s="181" t="s">
        <v>462</v>
      </c>
      <c r="AK675" s="29"/>
      <c r="AL675" s="29"/>
      <c r="AM675" s="29"/>
      <c r="AN675" s="29"/>
      <c r="AO675" s="29"/>
      <c r="AP675" s="29"/>
      <c r="AQ675" s="29"/>
      <c r="AR675" s="29"/>
      <c r="AS675" s="29"/>
      <c r="AT675" s="29"/>
      <c r="AU675" s="29"/>
      <c r="AV675" s="29"/>
      <c r="AW675" s="29"/>
    </row>
    <row r="676" spans="1:49" ht="13">
      <c r="A676" s="176">
        <v>2024</v>
      </c>
      <c r="B676" s="53" t="s">
        <v>58</v>
      </c>
      <c r="C676" s="50" t="s">
        <v>356</v>
      </c>
      <c r="D676" s="50" t="s">
        <v>465</v>
      </c>
      <c r="E676" s="50" t="s">
        <v>356</v>
      </c>
      <c r="F676" s="50" t="s">
        <v>3113</v>
      </c>
      <c r="G676" s="177">
        <v>0</v>
      </c>
      <c r="H676" s="50" t="s">
        <v>3114</v>
      </c>
      <c r="I676" s="179" t="s">
        <v>3115</v>
      </c>
      <c r="J676" s="50" t="s">
        <v>1629</v>
      </c>
      <c r="K676" s="50" t="s">
        <v>1629</v>
      </c>
      <c r="L676" s="50"/>
      <c r="M676" s="50"/>
      <c r="N676" s="50"/>
      <c r="O676" s="50"/>
      <c r="P676" s="50"/>
      <c r="Q676" s="50"/>
      <c r="R676" s="50"/>
      <c r="S676" s="50"/>
      <c r="T676" s="50"/>
      <c r="U676" s="50"/>
      <c r="V676" s="50"/>
      <c r="W676" s="50" t="s">
        <v>1629</v>
      </c>
      <c r="X676" s="50"/>
      <c r="Y676" s="50"/>
      <c r="Z676" s="50"/>
      <c r="AA676" s="50" t="s">
        <v>3116</v>
      </c>
      <c r="AB676" s="50" t="s">
        <v>352</v>
      </c>
      <c r="AC676" s="50" t="s">
        <v>3117</v>
      </c>
      <c r="AD676" s="95">
        <v>254</v>
      </c>
      <c r="AE676" s="174" t="s">
        <v>2826</v>
      </c>
      <c r="AF676" s="174" t="s">
        <v>2826</v>
      </c>
      <c r="AG676" s="50"/>
      <c r="AH676" s="50" t="s">
        <v>2819</v>
      </c>
      <c r="AI676" s="175">
        <v>65</v>
      </c>
      <c r="AJ676" s="53" t="s">
        <v>462</v>
      </c>
      <c r="AK676" s="14"/>
      <c r="AL676" s="14"/>
      <c r="AM676" s="14"/>
      <c r="AN676" s="14"/>
      <c r="AO676" s="14"/>
      <c r="AP676" s="14"/>
      <c r="AQ676" s="14"/>
      <c r="AR676" s="14"/>
      <c r="AS676" s="14"/>
      <c r="AT676" s="14"/>
      <c r="AU676" s="14"/>
      <c r="AV676" s="14"/>
      <c r="AW676" s="14"/>
    </row>
    <row r="677" spans="1:49" ht="13">
      <c r="A677" s="176">
        <v>2024</v>
      </c>
      <c r="B677" s="53" t="s">
        <v>58</v>
      </c>
      <c r="C677" s="50" t="s">
        <v>462</v>
      </c>
      <c r="D677" s="50" t="s">
        <v>465</v>
      </c>
      <c r="E677" s="50" t="s">
        <v>462</v>
      </c>
      <c r="F677" s="50" t="s">
        <v>936</v>
      </c>
      <c r="G677" s="99">
        <v>2</v>
      </c>
      <c r="H677" s="180" t="s">
        <v>3118</v>
      </c>
      <c r="I677" s="178" t="s">
        <v>3119</v>
      </c>
      <c r="J677" s="50" t="s">
        <v>1629</v>
      </c>
      <c r="K677" s="50" t="s">
        <v>1629</v>
      </c>
      <c r="L677" s="50"/>
      <c r="M677" s="50"/>
      <c r="N677" s="50"/>
      <c r="O677" s="50"/>
      <c r="P677" s="50"/>
      <c r="Q677" s="50"/>
      <c r="R677" s="50"/>
      <c r="S677" s="50"/>
      <c r="T677" s="50"/>
      <c r="U677" s="50"/>
      <c r="V677" s="50"/>
      <c r="W677" s="50" t="s">
        <v>1629</v>
      </c>
      <c r="X677" s="50"/>
      <c r="Y677" s="50"/>
      <c r="Z677" s="50"/>
      <c r="AA677" s="50" t="s">
        <v>3120</v>
      </c>
      <c r="AB677" s="50" t="s">
        <v>2824</v>
      </c>
      <c r="AC677" s="50" t="s">
        <v>3121</v>
      </c>
      <c r="AD677" s="99">
        <v>255</v>
      </c>
      <c r="AE677" s="174">
        <v>83</v>
      </c>
      <c r="AF677" s="174" t="s">
        <v>2826</v>
      </c>
      <c r="AG677" s="50"/>
      <c r="AH677" s="50" t="s">
        <v>2819</v>
      </c>
      <c r="AI677" s="175">
        <v>66</v>
      </c>
      <c r="AJ677" s="178" t="s">
        <v>735</v>
      </c>
      <c r="AK677" s="29"/>
      <c r="AL677" s="29"/>
      <c r="AM677" s="29"/>
      <c r="AN677" s="29"/>
      <c r="AO677" s="29"/>
      <c r="AP677" s="29"/>
      <c r="AQ677" s="29"/>
      <c r="AR677" s="29"/>
      <c r="AS677" s="29"/>
      <c r="AT677" s="29"/>
      <c r="AU677" s="29"/>
      <c r="AV677" s="29"/>
      <c r="AW677" s="29"/>
    </row>
    <row r="678" spans="1:49" ht="13">
      <c r="A678" s="176">
        <v>2017</v>
      </c>
      <c r="B678" s="12" t="s">
        <v>64</v>
      </c>
      <c r="C678" s="50" t="s">
        <v>103</v>
      </c>
      <c r="D678" s="50" t="s">
        <v>103</v>
      </c>
      <c r="E678" s="50" t="s">
        <v>103</v>
      </c>
      <c r="F678" s="50" t="s">
        <v>3122</v>
      </c>
      <c r="G678" s="177">
        <v>0</v>
      </c>
      <c r="H678" s="50" t="s">
        <v>3123</v>
      </c>
      <c r="I678" s="179" t="s">
        <v>3124</v>
      </c>
      <c r="J678" s="50" t="s">
        <v>1629</v>
      </c>
      <c r="K678" s="50" t="s">
        <v>1629</v>
      </c>
      <c r="L678" s="50"/>
      <c r="M678" s="50"/>
      <c r="N678" s="50"/>
      <c r="O678" s="50"/>
      <c r="P678" s="50"/>
      <c r="Q678" s="50"/>
      <c r="R678" s="50"/>
      <c r="S678" s="50"/>
      <c r="T678" s="50"/>
      <c r="U678" s="50"/>
      <c r="V678" s="50"/>
      <c r="W678" s="50" t="s">
        <v>1629</v>
      </c>
      <c r="X678" s="50"/>
      <c r="Y678" s="50"/>
      <c r="Z678" s="50"/>
      <c r="AA678" s="50" t="s">
        <v>3125</v>
      </c>
      <c r="AB678" s="50" t="s">
        <v>352</v>
      </c>
      <c r="AC678" s="50" t="s">
        <v>3126</v>
      </c>
      <c r="AD678" s="95">
        <v>256</v>
      </c>
      <c r="AE678" s="174" t="s">
        <v>2826</v>
      </c>
      <c r="AF678" s="174">
        <v>80</v>
      </c>
      <c r="AG678" s="50"/>
      <c r="AH678" s="50" t="s">
        <v>2837</v>
      </c>
      <c r="AI678" s="175">
        <v>67</v>
      </c>
      <c r="AJ678" s="53" t="s">
        <v>462</v>
      </c>
      <c r="AK678" s="14"/>
      <c r="AL678" s="14"/>
      <c r="AM678" s="14"/>
      <c r="AN678" s="14"/>
      <c r="AO678" s="14"/>
      <c r="AP678" s="14"/>
      <c r="AQ678" s="14"/>
      <c r="AR678" s="14"/>
      <c r="AS678" s="14"/>
      <c r="AT678" s="14"/>
      <c r="AU678" s="14"/>
      <c r="AV678" s="14"/>
      <c r="AW678" s="14"/>
    </row>
    <row r="679" spans="1:49" ht="13">
      <c r="A679" s="176">
        <v>2019</v>
      </c>
      <c r="B679" s="12" t="s">
        <v>64</v>
      </c>
      <c r="C679" s="50" t="s">
        <v>455</v>
      </c>
      <c r="D679" s="50" t="s">
        <v>372</v>
      </c>
      <c r="E679" s="50" t="s">
        <v>455</v>
      </c>
      <c r="F679" s="50" t="s">
        <v>3127</v>
      </c>
      <c r="G679" s="177">
        <v>0</v>
      </c>
      <c r="H679" s="50" t="s">
        <v>3128</v>
      </c>
      <c r="I679" s="178" t="s">
        <v>3129</v>
      </c>
      <c r="J679" s="50" t="s">
        <v>1629</v>
      </c>
      <c r="K679" s="50" t="s">
        <v>1629</v>
      </c>
      <c r="L679" s="50"/>
      <c r="M679" s="50"/>
      <c r="N679" s="50"/>
      <c r="O679" s="50"/>
      <c r="P679" s="50"/>
      <c r="Q679" s="50"/>
      <c r="R679" s="50"/>
      <c r="S679" s="50"/>
      <c r="T679" s="50"/>
      <c r="U679" s="50"/>
      <c r="V679" s="50"/>
      <c r="W679" s="50" t="s">
        <v>1629</v>
      </c>
      <c r="X679" s="50"/>
      <c r="Y679" s="50"/>
      <c r="Z679" s="50"/>
      <c r="AA679" s="50" t="s">
        <v>3130</v>
      </c>
      <c r="AB679" s="50" t="s">
        <v>2883</v>
      </c>
      <c r="AC679" s="50" t="s">
        <v>3131</v>
      </c>
      <c r="AD679" s="99">
        <v>257</v>
      </c>
      <c r="AE679" s="174" t="s">
        <v>2826</v>
      </c>
      <c r="AF679" s="174" t="s">
        <v>2826</v>
      </c>
      <c r="AG679" s="50"/>
      <c r="AH679" s="50" t="s">
        <v>2819</v>
      </c>
      <c r="AI679" s="175">
        <v>68</v>
      </c>
      <c r="AJ679" s="178" t="s">
        <v>3132</v>
      </c>
      <c r="AK679" s="29"/>
      <c r="AL679" s="29"/>
      <c r="AM679" s="29"/>
      <c r="AN679" s="29"/>
      <c r="AO679" s="29"/>
      <c r="AP679" s="29"/>
      <c r="AQ679" s="29"/>
      <c r="AR679" s="29"/>
      <c r="AS679" s="29"/>
      <c r="AT679" s="29"/>
      <c r="AU679" s="29"/>
      <c r="AV679" s="29"/>
      <c r="AW679" s="29"/>
    </row>
    <row r="680" spans="1:49" ht="13">
      <c r="A680" s="176">
        <v>2019</v>
      </c>
      <c r="B680" s="12" t="s">
        <v>64</v>
      </c>
      <c r="C680" s="50" t="s">
        <v>455</v>
      </c>
      <c r="D680" s="50" t="s">
        <v>368</v>
      </c>
      <c r="E680" s="50" t="s">
        <v>455</v>
      </c>
      <c r="F680" s="50" t="s">
        <v>3127</v>
      </c>
      <c r="G680" s="177">
        <v>0</v>
      </c>
      <c r="H680" s="50" t="s">
        <v>3133</v>
      </c>
      <c r="I680" s="179" t="s">
        <v>3134</v>
      </c>
      <c r="J680" s="50" t="s">
        <v>1629</v>
      </c>
      <c r="K680" s="50" t="s">
        <v>1629</v>
      </c>
      <c r="L680" s="50"/>
      <c r="M680" s="50"/>
      <c r="N680" s="50"/>
      <c r="O680" s="50"/>
      <c r="P680" s="50"/>
      <c r="Q680" s="50"/>
      <c r="R680" s="50"/>
      <c r="S680" s="50"/>
      <c r="T680" s="50"/>
      <c r="U680" s="50"/>
      <c r="V680" s="50"/>
      <c r="W680" s="50" t="s">
        <v>1629</v>
      </c>
      <c r="X680" s="50"/>
      <c r="Y680" s="50"/>
      <c r="Z680" s="50"/>
      <c r="AA680" s="50" t="s">
        <v>3130</v>
      </c>
      <c r="AB680" s="50" t="s">
        <v>2883</v>
      </c>
      <c r="AC680" s="50" t="s">
        <v>3135</v>
      </c>
      <c r="AD680" s="95">
        <v>258</v>
      </c>
      <c r="AE680" s="174" t="s">
        <v>2826</v>
      </c>
      <c r="AF680" s="174" t="s">
        <v>2826</v>
      </c>
      <c r="AG680" s="50"/>
      <c r="AH680" s="50" t="s">
        <v>2819</v>
      </c>
      <c r="AI680" s="175">
        <v>69</v>
      </c>
      <c r="AJ680" s="179" t="s">
        <v>3132</v>
      </c>
      <c r="AK680" s="14"/>
      <c r="AL680" s="14"/>
      <c r="AM680" s="14"/>
      <c r="AN680" s="14"/>
      <c r="AO680" s="14"/>
      <c r="AP680" s="14"/>
      <c r="AQ680" s="14"/>
      <c r="AR680" s="14"/>
      <c r="AS680" s="14"/>
      <c r="AT680" s="14"/>
      <c r="AU680" s="14"/>
      <c r="AV680" s="14"/>
      <c r="AW680" s="14"/>
    </row>
    <row r="681" spans="1:49" ht="13">
      <c r="A681" s="176">
        <v>2022</v>
      </c>
      <c r="B681" s="12" t="s">
        <v>64</v>
      </c>
      <c r="C681" s="50" t="s">
        <v>455</v>
      </c>
      <c r="D681" s="50" t="s">
        <v>372</v>
      </c>
      <c r="E681" s="50" t="s">
        <v>455</v>
      </c>
      <c r="F681" s="50" t="s">
        <v>3136</v>
      </c>
      <c r="G681" s="177">
        <v>0</v>
      </c>
      <c r="H681" s="50" t="s">
        <v>3137</v>
      </c>
      <c r="I681" s="178" t="s">
        <v>3138</v>
      </c>
      <c r="J681" s="50" t="s">
        <v>1629</v>
      </c>
      <c r="K681" s="50" t="s">
        <v>1629</v>
      </c>
      <c r="L681" s="50"/>
      <c r="M681" s="50"/>
      <c r="N681" s="50"/>
      <c r="O681" s="50"/>
      <c r="P681" s="50"/>
      <c r="Q681" s="50"/>
      <c r="R681" s="50"/>
      <c r="S681" s="50"/>
      <c r="T681" s="50"/>
      <c r="U681" s="50"/>
      <c r="V681" s="50"/>
      <c r="W681" s="50" t="s">
        <v>1635</v>
      </c>
      <c r="X681" s="50"/>
      <c r="Y681" s="50"/>
      <c r="Z681" s="50"/>
      <c r="AA681" s="50"/>
      <c r="AB681" s="50" t="s">
        <v>2883</v>
      </c>
      <c r="AC681" s="50" t="s">
        <v>3139</v>
      </c>
      <c r="AD681" s="99">
        <v>259</v>
      </c>
      <c r="AE681" s="174">
        <v>17</v>
      </c>
      <c r="AF681" s="174" t="s">
        <v>2826</v>
      </c>
      <c r="AG681" s="50"/>
      <c r="AH681" s="50" t="s">
        <v>2857</v>
      </c>
      <c r="AI681" s="175">
        <v>70</v>
      </c>
      <c r="AJ681" s="178" t="s">
        <v>220</v>
      </c>
      <c r="AK681" s="29"/>
      <c r="AL681" s="29"/>
      <c r="AM681" s="29"/>
      <c r="AN681" s="29"/>
      <c r="AO681" s="29"/>
      <c r="AP681" s="29"/>
      <c r="AQ681" s="29"/>
      <c r="AR681" s="29"/>
      <c r="AS681" s="29"/>
      <c r="AT681" s="29"/>
      <c r="AU681" s="29"/>
      <c r="AV681" s="29"/>
      <c r="AW681" s="29"/>
    </row>
    <row r="682" spans="1:49" ht="13">
      <c r="A682" s="176">
        <v>2022</v>
      </c>
      <c r="B682" s="12" t="s">
        <v>64</v>
      </c>
      <c r="C682" s="50" t="s">
        <v>455</v>
      </c>
      <c r="D682" s="50" t="s">
        <v>372</v>
      </c>
      <c r="E682" s="50" t="s">
        <v>455</v>
      </c>
      <c r="F682" s="50" t="s">
        <v>3136</v>
      </c>
      <c r="G682" s="177">
        <v>0</v>
      </c>
      <c r="H682" s="50" t="s">
        <v>3140</v>
      </c>
      <c r="I682" s="179" t="s">
        <v>3141</v>
      </c>
      <c r="J682" s="50" t="s">
        <v>1629</v>
      </c>
      <c r="K682" s="50" t="s">
        <v>1629</v>
      </c>
      <c r="L682" s="50"/>
      <c r="M682" s="50"/>
      <c r="N682" s="50"/>
      <c r="O682" s="50"/>
      <c r="P682" s="50"/>
      <c r="Q682" s="50"/>
      <c r="R682" s="50"/>
      <c r="S682" s="50"/>
      <c r="T682" s="50"/>
      <c r="U682" s="50"/>
      <c r="V682" s="50"/>
      <c r="W682" s="50" t="s">
        <v>1635</v>
      </c>
      <c r="X682" s="50"/>
      <c r="Y682" s="50"/>
      <c r="Z682" s="50"/>
      <c r="AA682" s="50"/>
      <c r="AB682" s="50" t="s">
        <v>2883</v>
      </c>
      <c r="AC682" s="50" t="s">
        <v>3142</v>
      </c>
      <c r="AD682" s="95">
        <v>260</v>
      </c>
      <c r="AE682" s="174">
        <v>17</v>
      </c>
      <c r="AF682" s="174" t="s">
        <v>2826</v>
      </c>
      <c r="AG682" s="50"/>
      <c r="AH682" s="50" t="s">
        <v>2857</v>
      </c>
      <c r="AI682" s="175">
        <v>71</v>
      </c>
      <c r="AJ682" s="179" t="s">
        <v>220</v>
      </c>
      <c r="AK682" s="14"/>
      <c r="AL682" s="14"/>
      <c r="AM682" s="14"/>
      <c r="AN682" s="14"/>
      <c r="AO682" s="14"/>
      <c r="AP682" s="14"/>
      <c r="AQ682" s="14"/>
      <c r="AR682" s="14"/>
      <c r="AS682" s="14"/>
      <c r="AT682" s="14"/>
      <c r="AU682" s="14"/>
      <c r="AV682" s="14"/>
      <c r="AW682" s="14"/>
    </row>
    <row r="683" spans="1:49" ht="13">
      <c r="A683" s="176">
        <v>2021</v>
      </c>
      <c r="B683" s="53" t="s">
        <v>58</v>
      </c>
      <c r="C683" s="50" t="s">
        <v>379</v>
      </c>
      <c r="D683" s="50" t="s">
        <v>465</v>
      </c>
      <c r="E683" s="50" t="s">
        <v>379</v>
      </c>
      <c r="F683" s="50" t="s">
        <v>3143</v>
      </c>
      <c r="G683" s="177">
        <v>0</v>
      </c>
      <c r="H683" s="50" t="s">
        <v>3144</v>
      </c>
      <c r="I683" s="178" t="s">
        <v>3145</v>
      </c>
      <c r="J683" s="50" t="s">
        <v>1629</v>
      </c>
      <c r="K683" s="50" t="s">
        <v>1629</v>
      </c>
      <c r="L683" s="50"/>
      <c r="M683" s="50"/>
      <c r="N683" s="50"/>
      <c r="O683" s="50"/>
      <c r="P683" s="50"/>
      <c r="Q683" s="50"/>
      <c r="R683" s="50"/>
      <c r="S683" s="50"/>
      <c r="T683" s="50"/>
      <c r="U683" s="50"/>
      <c r="V683" s="50"/>
      <c r="W683" s="50" t="s">
        <v>1635</v>
      </c>
      <c r="X683" s="50"/>
      <c r="Y683" s="50"/>
      <c r="Z683" s="50"/>
      <c r="AA683" s="50" t="s">
        <v>3146</v>
      </c>
      <c r="AB683" s="50" t="s">
        <v>2824</v>
      </c>
      <c r="AC683" s="50" t="s">
        <v>3147</v>
      </c>
      <c r="AD683" s="99">
        <v>261</v>
      </c>
      <c r="AE683" s="174">
        <v>120</v>
      </c>
      <c r="AF683" s="174" t="s">
        <v>2826</v>
      </c>
      <c r="AG683" s="50"/>
      <c r="AH683" s="50" t="s">
        <v>2852</v>
      </c>
      <c r="AI683" s="175">
        <v>72</v>
      </c>
      <c r="AJ683" s="178" t="s">
        <v>919</v>
      </c>
      <c r="AK683" s="29"/>
      <c r="AL683" s="29"/>
      <c r="AM683" s="29"/>
      <c r="AN683" s="29"/>
      <c r="AO683" s="29"/>
      <c r="AP683" s="29"/>
      <c r="AQ683" s="29"/>
      <c r="AR683" s="29"/>
      <c r="AS683" s="29"/>
      <c r="AT683" s="29"/>
      <c r="AU683" s="29"/>
      <c r="AV683" s="29"/>
      <c r="AW683" s="29"/>
    </row>
    <row r="684" spans="1:49" ht="13">
      <c r="A684" s="176">
        <v>2023</v>
      </c>
      <c r="B684" s="12" t="s">
        <v>64</v>
      </c>
      <c r="C684" s="50" t="s">
        <v>380</v>
      </c>
      <c r="D684" s="50" t="s">
        <v>380</v>
      </c>
      <c r="E684" s="50" t="s">
        <v>380</v>
      </c>
      <c r="F684" s="50" t="s">
        <v>947</v>
      </c>
      <c r="G684" s="99">
        <v>1</v>
      </c>
      <c r="H684" s="50" t="s">
        <v>3148</v>
      </c>
      <c r="I684" s="179" t="s">
        <v>3149</v>
      </c>
      <c r="J684" s="50" t="s">
        <v>1629</v>
      </c>
      <c r="K684" s="50" t="s">
        <v>1629</v>
      </c>
      <c r="L684" s="50"/>
      <c r="M684" s="50"/>
      <c r="N684" s="50"/>
      <c r="O684" s="50"/>
      <c r="P684" s="50"/>
      <c r="Q684" s="50"/>
      <c r="R684" s="50"/>
      <c r="S684" s="50"/>
      <c r="T684" s="50"/>
      <c r="U684" s="50"/>
      <c r="V684" s="50"/>
      <c r="W684" s="50" t="s">
        <v>1635</v>
      </c>
      <c r="X684" s="50"/>
      <c r="Y684" s="50"/>
      <c r="Z684" s="50"/>
      <c r="AA684" s="50" t="s">
        <v>3150</v>
      </c>
      <c r="AB684" s="50" t="s">
        <v>2841</v>
      </c>
      <c r="AC684" s="50" t="s">
        <v>3151</v>
      </c>
      <c r="AD684" s="95">
        <v>262</v>
      </c>
      <c r="AE684" s="174">
        <v>132</v>
      </c>
      <c r="AF684" s="174" t="s">
        <v>2826</v>
      </c>
      <c r="AG684" s="50"/>
      <c r="AH684" s="50" t="s">
        <v>2819</v>
      </c>
      <c r="AI684" s="175">
        <v>73</v>
      </c>
      <c r="AJ684" s="179" t="s">
        <v>948</v>
      </c>
      <c r="AK684" s="14"/>
      <c r="AL684" s="14"/>
      <c r="AM684" s="14"/>
      <c r="AN684" s="14"/>
      <c r="AO684" s="14"/>
      <c r="AP684" s="14"/>
      <c r="AQ684" s="14"/>
      <c r="AR684" s="14"/>
      <c r="AS684" s="14"/>
      <c r="AT684" s="14"/>
      <c r="AU684" s="14"/>
      <c r="AV684" s="14"/>
      <c r="AW684" s="14"/>
    </row>
    <row r="685" spans="1:49" ht="13">
      <c r="A685" s="176">
        <v>2023</v>
      </c>
      <c r="B685" s="53" t="s">
        <v>58</v>
      </c>
      <c r="C685" s="50" t="s">
        <v>56</v>
      </c>
      <c r="D685" s="50" t="s">
        <v>380</v>
      </c>
      <c r="E685" s="50" t="s">
        <v>56</v>
      </c>
      <c r="F685" s="50" t="s">
        <v>951</v>
      </c>
      <c r="G685" s="99">
        <v>1</v>
      </c>
      <c r="H685" s="50" t="s">
        <v>3152</v>
      </c>
      <c r="I685" s="178" t="s">
        <v>3153</v>
      </c>
      <c r="J685" s="50" t="s">
        <v>1629</v>
      </c>
      <c r="K685" s="50" t="s">
        <v>1629</v>
      </c>
      <c r="L685" s="50"/>
      <c r="M685" s="50"/>
      <c r="N685" s="50"/>
      <c r="O685" s="50"/>
      <c r="P685" s="50"/>
      <c r="Q685" s="50"/>
      <c r="R685" s="50"/>
      <c r="S685" s="50"/>
      <c r="T685" s="50"/>
      <c r="U685" s="50"/>
      <c r="V685" s="50"/>
      <c r="W685" s="50" t="s">
        <v>2829</v>
      </c>
      <c r="X685" s="50"/>
      <c r="Y685" s="50"/>
      <c r="Z685" s="50"/>
      <c r="AA685" s="50" t="s">
        <v>3154</v>
      </c>
      <c r="AB685" s="50" t="s">
        <v>2841</v>
      </c>
      <c r="AC685" s="50" t="s">
        <v>3155</v>
      </c>
      <c r="AD685" s="99">
        <v>263</v>
      </c>
      <c r="AE685" s="174">
        <v>133</v>
      </c>
      <c r="AF685" s="174">
        <v>216</v>
      </c>
      <c r="AG685" s="50"/>
      <c r="AH685" s="50" t="s">
        <v>2819</v>
      </c>
      <c r="AI685" s="175">
        <v>74</v>
      </c>
      <c r="AJ685" s="178" t="s">
        <v>952</v>
      </c>
      <c r="AK685" s="29"/>
      <c r="AL685" s="29"/>
      <c r="AM685" s="29"/>
      <c r="AN685" s="29"/>
      <c r="AO685" s="29"/>
      <c r="AP685" s="29"/>
      <c r="AQ685" s="29"/>
      <c r="AR685" s="29"/>
      <c r="AS685" s="29"/>
      <c r="AT685" s="29"/>
      <c r="AU685" s="29"/>
      <c r="AV685" s="29"/>
      <c r="AW685" s="29"/>
    </row>
    <row r="686" spans="1:49" ht="13">
      <c r="A686" s="176">
        <v>2021</v>
      </c>
      <c r="B686" s="53" t="s">
        <v>58</v>
      </c>
      <c r="C686" s="50" t="s">
        <v>455</v>
      </c>
      <c r="D686" s="50" t="s">
        <v>465</v>
      </c>
      <c r="E686" s="50" t="s">
        <v>455</v>
      </c>
      <c r="F686" s="50" t="s">
        <v>3156</v>
      </c>
      <c r="G686" s="177">
        <v>0</v>
      </c>
      <c r="H686" s="50" t="s">
        <v>3157</v>
      </c>
      <c r="I686" s="179" t="s">
        <v>3158</v>
      </c>
      <c r="J686" s="50" t="s">
        <v>1629</v>
      </c>
      <c r="K686" s="189" t="s">
        <v>2829</v>
      </c>
      <c r="L686" s="190"/>
      <c r="M686" s="190"/>
      <c r="N686" s="50"/>
      <c r="O686" s="50"/>
      <c r="P686" s="50"/>
      <c r="Q686" s="50"/>
      <c r="R686" s="50"/>
      <c r="S686" s="50"/>
      <c r="T686" s="50"/>
      <c r="U686" s="50"/>
      <c r="V686" s="50"/>
      <c r="W686" s="50" t="s">
        <v>1635</v>
      </c>
      <c r="X686" s="50"/>
      <c r="Y686" s="50"/>
      <c r="Z686" s="50"/>
      <c r="AA686" s="50" t="s">
        <v>3159</v>
      </c>
      <c r="AB686" s="50" t="s">
        <v>3160</v>
      </c>
      <c r="AC686" s="50" t="s">
        <v>3161</v>
      </c>
      <c r="AD686" s="95">
        <v>264</v>
      </c>
      <c r="AE686" s="174">
        <v>17</v>
      </c>
      <c r="AF686" s="174" t="s">
        <v>2826</v>
      </c>
      <c r="AG686" s="50"/>
      <c r="AH686" s="50" t="s">
        <v>2819</v>
      </c>
      <c r="AI686" s="175">
        <v>75</v>
      </c>
      <c r="AJ686" s="179" t="s">
        <v>220</v>
      </c>
      <c r="AK686" s="14"/>
      <c r="AL686" s="14"/>
      <c r="AM686" s="14"/>
      <c r="AN686" s="14"/>
      <c r="AO686" s="14"/>
      <c r="AP686" s="14"/>
      <c r="AQ686" s="14"/>
      <c r="AR686" s="14"/>
      <c r="AS686" s="14"/>
      <c r="AT686" s="14"/>
      <c r="AU686" s="14"/>
      <c r="AV686" s="14"/>
      <c r="AW686" s="14"/>
    </row>
    <row r="687" spans="1:49" ht="13">
      <c r="A687" s="176">
        <v>2024</v>
      </c>
      <c r="B687" s="12" t="s">
        <v>64</v>
      </c>
      <c r="C687" s="50" t="s">
        <v>455</v>
      </c>
      <c r="D687" s="50" t="s">
        <v>465</v>
      </c>
      <c r="E687" s="50" t="s">
        <v>455</v>
      </c>
      <c r="F687" s="50" t="s">
        <v>955</v>
      </c>
      <c r="G687" s="99">
        <v>1</v>
      </c>
      <c r="H687" s="50" t="s">
        <v>3162</v>
      </c>
      <c r="I687" s="178" t="s">
        <v>3163</v>
      </c>
      <c r="J687" s="50" t="s">
        <v>1629</v>
      </c>
      <c r="K687" s="50" t="s">
        <v>1629</v>
      </c>
      <c r="L687" s="50"/>
      <c r="M687" s="50"/>
      <c r="N687" s="50"/>
      <c r="O687" s="50"/>
      <c r="P687" s="50"/>
      <c r="Q687" s="50"/>
      <c r="R687" s="50"/>
      <c r="S687" s="50"/>
      <c r="T687" s="50"/>
      <c r="U687" s="50"/>
      <c r="V687" s="50"/>
      <c r="W687" s="50" t="s">
        <v>1629</v>
      </c>
      <c r="X687" s="50"/>
      <c r="Y687" s="50"/>
      <c r="Z687" s="50"/>
      <c r="AA687" s="50"/>
      <c r="AB687" s="50" t="s">
        <v>3160</v>
      </c>
      <c r="AC687" s="50" t="s">
        <v>3164</v>
      </c>
      <c r="AD687" s="99">
        <v>265</v>
      </c>
      <c r="AE687" s="174">
        <v>134</v>
      </c>
      <c r="AF687" s="174" t="s">
        <v>2826</v>
      </c>
      <c r="AG687" s="50"/>
      <c r="AH687" s="50" t="s">
        <v>2819</v>
      </c>
      <c r="AI687" s="175">
        <v>76</v>
      </c>
      <c r="AJ687" s="178" t="s">
        <v>956</v>
      </c>
      <c r="AK687" s="29"/>
      <c r="AL687" s="29"/>
      <c r="AM687" s="29"/>
      <c r="AN687" s="29"/>
      <c r="AO687" s="29"/>
      <c r="AP687" s="29"/>
      <c r="AQ687" s="29"/>
      <c r="AR687" s="29"/>
      <c r="AS687" s="29"/>
      <c r="AT687" s="29"/>
      <c r="AU687" s="29"/>
      <c r="AV687" s="29"/>
      <c r="AW687" s="29"/>
    </row>
    <row r="688" spans="1:49" ht="13">
      <c r="A688" s="176">
        <v>2014</v>
      </c>
      <c r="B688" s="53" t="s">
        <v>58</v>
      </c>
      <c r="C688" s="50" t="s">
        <v>404</v>
      </c>
      <c r="D688" s="50" t="s">
        <v>404</v>
      </c>
      <c r="E688" s="50" t="s">
        <v>404</v>
      </c>
      <c r="F688" s="50" t="s">
        <v>914</v>
      </c>
      <c r="G688" s="99">
        <v>2</v>
      </c>
      <c r="H688" s="50" t="s">
        <v>3165</v>
      </c>
      <c r="I688" s="179" t="s">
        <v>3166</v>
      </c>
      <c r="J688" s="50" t="s">
        <v>1629</v>
      </c>
      <c r="K688" s="50" t="s">
        <v>1629</v>
      </c>
      <c r="L688" s="50"/>
      <c r="M688" s="50"/>
      <c r="N688" s="50"/>
      <c r="O688" s="50"/>
      <c r="P688" s="50"/>
      <c r="Q688" s="50"/>
      <c r="R688" s="50"/>
      <c r="S688" s="50"/>
      <c r="T688" s="50"/>
      <c r="U688" s="50"/>
      <c r="V688" s="50"/>
      <c r="W688" s="50" t="s">
        <v>2829</v>
      </c>
      <c r="X688" s="50"/>
      <c r="Y688" s="50"/>
      <c r="Z688" s="50"/>
      <c r="AA688" s="50" t="s">
        <v>3167</v>
      </c>
      <c r="AB688" s="50" t="s">
        <v>3160</v>
      </c>
      <c r="AC688" s="50" t="s">
        <v>3168</v>
      </c>
      <c r="AD688" s="95">
        <v>266</v>
      </c>
      <c r="AE688" s="174">
        <v>135</v>
      </c>
      <c r="AF688" s="174">
        <v>238</v>
      </c>
      <c r="AG688" s="50"/>
      <c r="AH688" s="50" t="s">
        <v>2857</v>
      </c>
      <c r="AI688" s="175">
        <v>77</v>
      </c>
      <c r="AJ688" s="179" t="s">
        <v>957</v>
      </c>
      <c r="AK688" s="14"/>
      <c r="AL688" s="14"/>
      <c r="AM688" s="14"/>
      <c r="AN688" s="14"/>
      <c r="AO688" s="14"/>
      <c r="AP688" s="14"/>
      <c r="AQ688" s="14"/>
      <c r="AR688" s="14"/>
      <c r="AS688" s="14"/>
      <c r="AT688" s="14"/>
      <c r="AU688" s="14"/>
      <c r="AV688" s="14"/>
      <c r="AW688" s="14"/>
    </row>
    <row r="689" spans="1:49" ht="13">
      <c r="A689" s="176">
        <v>2023</v>
      </c>
      <c r="B689" s="53" t="s">
        <v>58</v>
      </c>
      <c r="C689" s="50" t="s">
        <v>397</v>
      </c>
      <c r="D689" s="50" t="s">
        <v>465</v>
      </c>
      <c r="E689" s="50" t="s">
        <v>397</v>
      </c>
      <c r="F689" s="50" t="s">
        <v>2943</v>
      </c>
      <c r="G689" s="177">
        <v>0</v>
      </c>
      <c r="H689" s="50" t="s">
        <v>3169</v>
      </c>
      <c r="I689" s="178" t="s">
        <v>3170</v>
      </c>
      <c r="J689" s="50" t="s">
        <v>1629</v>
      </c>
      <c r="K689" s="50" t="s">
        <v>1629</v>
      </c>
      <c r="L689" s="50"/>
      <c r="M689" s="50"/>
      <c r="N689" s="50"/>
      <c r="O689" s="50"/>
      <c r="P689" s="50"/>
      <c r="Q689" s="50"/>
      <c r="R689" s="50"/>
      <c r="S689" s="50"/>
      <c r="T689" s="50"/>
      <c r="U689" s="50"/>
      <c r="V689" s="50"/>
      <c r="W689" s="50" t="s">
        <v>1635</v>
      </c>
      <c r="X689" s="50"/>
      <c r="Y689" s="50"/>
      <c r="Z689" s="50"/>
      <c r="AA689" s="50" t="s">
        <v>3171</v>
      </c>
      <c r="AB689" s="50" t="s">
        <v>2824</v>
      </c>
      <c r="AC689" s="50" t="s">
        <v>3172</v>
      </c>
      <c r="AD689" s="99">
        <v>267</v>
      </c>
      <c r="AE689" s="174">
        <v>83</v>
      </c>
      <c r="AF689" s="174" t="s">
        <v>2826</v>
      </c>
      <c r="AG689" s="50"/>
      <c r="AH689" s="50" t="s">
        <v>2819</v>
      </c>
      <c r="AI689" s="175">
        <v>78</v>
      </c>
      <c r="AJ689" s="178" t="s">
        <v>735</v>
      </c>
      <c r="AK689" s="29"/>
      <c r="AL689" s="29"/>
      <c r="AM689" s="29"/>
      <c r="AN689" s="29"/>
      <c r="AO689" s="29"/>
      <c r="AP689" s="29"/>
      <c r="AQ689" s="29"/>
      <c r="AR689" s="29"/>
      <c r="AS689" s="29"/>
      <c r="AT689" s="29"/>
      <c r="AU689" s="29"/>
      <c r="AV689" s="29"/>
      <c r="AW689" s="29"/>
    </row>
    <row r="690" spans="1:49" ht="13">
      <c r="A690" s="176">
        <v>2024</v>
      </c>
      <c r="B690" s="53" t="s">
        <v>58</v>
      </c>
      <c r="C690" s="50" t="s">
        <v>397</v>
      </c>
      <c r="D690" s="50" t="s">
        <v>465</v>
      </c>
      <c r="E690" s="50" t="s">
        <v>397</v>
      </c>
      <c r="F690" s="50" t="s">
        <v>3173</v>
      </c>
      <c r="G690" s="177">
        <v>0</v>
      </c>
      <c r="H690" s="50" t="s">
        <v>3174</v>
      </c>
      <c r="I690" s="179" t="s">
        <v>3175</v>
      </c>
      <c r="J690" s="50" t="s">
        <v>1629</v>
      </c>
      <c r="K690" s="50" t="s">
        <v>1629</v>
      </c>
      <c r="L690" s="50"/>
      <c r="M690" s="50"/>
      <c r="N690" s="50"/>
      <c r="O690" s="50"/>
      <c r="P690" s="50"/>
      <c r="Q690" s="50"/>
      <c r="R690" s="50"/>
      <c r="S690" s="50"/>
      <c r="T690" s="50"/>
      <c r="U690" s="50"/>
      <c r="V690" s="50"/>
      <c r="W690" s="50" t="s">
        <v>1635</v>
      </c>
      <c r="X690" s="50"/>
      <c r="Y690" s="50"/>
      <c r="Z690" s="50"/>
      <c r="AA690" s="50" t="s">
        <v>3176</v>
      </c>
      <c r="AB690" s="50" t="s">
        <v>2824</v>
      </c>
      <c r="AC690" s="50" t="s">
        <v>3177</v>
      </c>
      <c r="AD690" s="95">
        <v>268</v>
      </c>
      <c r="AE690" s="174">
        <v>83</v>
      </c>
      <c r="AF690" s="174" t="s">
        <v>2826</v>
      </c>
      <c r="AG690" s="50"/>
      <c r="AH690" s="50" t="s">
        <v>2819</v>
      </c>
      <c r="AI690" s="175">
        <v>79</v>
      </c>
      <c r="AJ690" s="179" t="s">
        <v>735</v>
      </c>
      <c r="AK690" s="14"/>
      <c r="AL690" s="14"/>
      <c r="AM690" s="14"/>
      <c r="AN690" s="14"/>
      <c r="AO690" s="14"/>
      <c r="AP690" s="14"/>
      <c r="AQ690" s="14"/>
      <c r="AR690" s="14"/>
      <c r="AS690" s="14"/>
      <c r="AT690" s="14"/>
      <c r="AU690" s="14"/>
      <c r="AV690" s="14"/>
      <c r="AW690" s="14"/>
    </row>
    <row r="691" spans="1:49" ht="13">
      <c r="A691" s="176">
        <v>2024</v>
      </c>
      <c r="B691" s="53" t="s">
        <v>58</v>
      </c>
      <c r="C691" s="50" t="s">
        <v>397</v>
      </c>
      <c r="D691" s="50" t="s">
        <v>465</v>
      </c>
      <c r="E691" s="50" t="s">
        <v>397</v>
      </c>
      <c r="F691" s="50" t="s">
        <v>3178</v>
      </c>
      <c r="G691" s="177">
        <v>0</v>
      </c>
      <c r="H691" s="50" t="s">
        <v>3179</v>
      </c>
      <c r="I691" s="178" t="s">
        <v>3180</v>
      </c>
      <c r="J691" s="50" t="s">
        <v>1629</v>
      </c>
      <c r="K691" s="50" t="s">
        <v>1629</v>
      </c>
      <c r="L691" s="50"/>
      <c r="M691" s="50"/>
      <c r="N691" s="50"/>
      <c r="O691" s="50"/>
      <c r="P691" s="50"/>
      <c r="Q691" s="50"/>
      <c r="R691" s="50"/>
      <c r="S691" s="50"/>
      <c r="T691" s="50"/>
      <c r="U691" s="50"/>
      <c r="V691" s="50"/>
      <c r="W691" s="50" t="s">
        <v>1635</v>
      </c>
      <c r="X691" s="50"/>
      <c r="Y691" s="50"/>
      <c r="Z691" s="50"/>
      <c r="AA691" s="50" t="s">
        <v>3181</v>
      </c>
      <c r="AB691" s="50" t="s">
        <v>2824</v>
      </c>
      <c r="AC691" s="50" t="s">
        <v>3182</v>
      </c>
      <c r="AD691" s="99">
        <v>269</v>
      </c>
      <c r="AE691" s="174">
        <v>83</v>
      </c>
      <c r="AF691" s="174" t="s">
        <v>2826</v>
      </c>
      <c r="AG691" s="50"/>
      <c r="AH691" s="50" t="s">
        <v>2819</v>
      </c>
      <c r="AI691" s="175">
        <v>80</v>
      </c>
      <c r="AJ691" s="178" t="s">
        <v>735</v>
      </c>
      <c r="AK691" s="29"/>
      <c r="AL691" s="29"/>
      <c r="AM691" s="29"/>
      <c r="AN691" s="29"/>
      <c r="AO691" s="29"/>
      <c r="AP691" s="29"/>
      <c r="AQ691" s="29"/>
      <c r="AR691" s="29"/>
      <c r="AS691" s="29"/>
      <c r="AT691" s="29"/>
      <c r="AU691" s="29"/>
      <c r="AV691" s="29"/>
      <c r="AW691" s="29"/>
    </row>
    <row r="692" spans="1:49" ht="13">
      <c r="A692" s="176">
        <v>2021</v>
      </c>
      <c r="B692" s="53" t="s">
        <v>58</v>
      </c>
      <c r="C692" s="50" t="s">
        <v>397</v>
      </c>
      <c r="D692" s="50" t="s">
        <v>397</v>
      </c>
      <c r="E692" s="50" t="s">
        <v>397</v>
      </c>
      <c r="F692" s="50" t="s">
        <v>3183</v>
      </c>
      <c r="G692" s="177">
        <v>0</v>
      </c>
      <c r="H692" s="50" t="s">
        <v>1725</v>
      </c>
      <c r="I692" s="179" t="s">
        <v>3184</v>
      </c>
      <c r="J692" s="50" t="s">
        <v>1629</v>
      </c>
      <c r="K692" s="50" t="s">
        <v>1629</v>
      </c>
      <c r="L692" s="50"/>
      <c r="M692" s="50"/>
      <c r="N692" s="50"/>
      <c r="O692" s="50"/>
      <c r="P692" s="50"/>
      <c r="Q692" s="50"/>
      <c r="R692" s="50"/>
      <c r="S692" s="50"/>
      <c r="T692" s="50"/>
      <c r="U692" s="50"/>
      <c r="V692" s="50"/>
      <c r="W692" s="50" t="s">
        <v>1629</v>
      </c>
      <c r="X692" s="50"/>
      <c r="Y692" s="50"/>
      <c r="Z692" s="50"/>
      <c r="AA692" s="50"/>
      <c r="AB692" s="50" t="s">
        <v>3091</v>
      </c>
      <c r="AC692" s="50" t="s">
        <v>3185</v>
      </c>
      <c r="AD692" s="95">
        <v>270</v>
      </c>
      <c r="AE692" s="174">
        <v>83</v>
      </c>
      <c r="AF692" s="174">
        <v>231</v>
      </c>
      <c r="AG692" s="50"/>
      <c r="AH692" s="50" t="s">
        <v>2819</v>
      </c>
      <c r="AI692" s="175">
        <v>81</v>
      </c>
      <c r="AJ692" s="179" t="s">
        <v>735</v>
      </c>
      <c r="AK692" s="14"/>
      <c r="AL692" s="14"/>
      <c r="AM692" s="14"/>
      <c r="AN692" s="14"/>
      <c r="AO692" s="14"/>
      <c r="AP692" s="14"/>
      <c r="AQ692" s="14"/>
      <c r="AR692" s="14"/>
      <c r="AS692" s="14"/>
      <c r="AT692" s="14"/>
      <c r="AU692" s="14"/>
      <c r="AV692" s="14"/>
      <c r="AW692" s="14"/>
    </row>
    <row r="693" spans="1:49" ht="13">
      <c r="A693" s="176">
        <v>2017</v>
      </c>
      <c r="B693" s="53" t="s">
        <v>58</v>
      </c>
      <c r="C693" s="50" t="s">
        <v>397</v>
      </c>
      <c r="D693" s="50" t="s">
        <v>397</v>
      </c>
      <c r="E693" s="50" t="s">
        <v>397</v>
      </c>
      <c r="F693" s="50" t="s">
        <v>3186</v>
      </c>
      <c r="G693" s="177">
        <v>0</v>
      </c>
      <c r="H693" s="50" t="s">
        <v>3187</v>
      </c>
      <c r="I693" s="178" t="s">
        <v>3188</v>
      </c>
      <c r="J693" s="50" t="s">
        <v>1635</v>
      </c>
      <c r="K693" s="50" t="s">
        <v>1629</v>
      </c>
      <c r="L693" s="50"/>
      <c r="M693" s="50"/>
      <c r="N693" s="50"/>
      <c r="O693" s="50"/>
      <c r="P693" s="50"/>
      <c r="Q693" s="50"/>
      <c r="R693" s="50"/>
      <c r="S693" s="50"/>
      <c r="T693" s="50"/>
      <c r="U693" s="50"/>
      <c r="V693" s="50"/>
      <c r="W693" s="50" t="s">
        <v>1629</v>
      </c>
      <c r="X693" s="50"/>
      <c r="Y693" s="50"/>
      <c r="Z693" s="50"/>
      <c r="AA693" s="50"/>
      <c r="AB693" s="50" t="s">
        <v>3091</v>
      </c>
      <c r="AC693" s="50" t="s">
        <v>3189</v>
      </c>
      <c r="AD693" s="99">
        <v>271</v>
      </c>
      <c r="AE693" s="174">
        <v>83</v>
      </c>
      <c r="AF693" s="174">
        <v>231</v>
      </c>
      <c r="AG693" s="50"/>
      <c r="AH693" s="50" t="s">
        <v>2852</v>
      </c>
      <c r="AI693" s="175">
        <v>82</v>
      </c>
      <c r="AJ693" s="178" t="s">
        <v>735</v>
      </c>
      <c r="AK693" s="29"/>
      <c r="AL693" s="29"/>
      <c r="AM693" s="29"/>
      <c r="AN693" s="29"/>
      <c r="AO693" s="29"/>
      <c r="AP693" s="29"/>
      <c r="AQ693" s="29"/>
      <c r="AR693" s="29"/>
      <c r="AS693" s="29"/>
      <c r="AT693" s="29"/>
      <c r="AU693" s="29"/>
      <c r="AV693" s="29"/>
      <c r="AW693" s="29"/>
    </row>
    <row r="694" spans="1:49" ht="13">
      <c r="A694" s="176">
        <v>2022</v>
      </c>
      <c r="B694" s="53" t="s">
        <v>58</v>
      </c>
      <c r="C694" s="50" t="s">
        <v>364</v>
      </c>
      <c r="D694" s="50" t="s">
        <v>364</v>
      </c>
      <c r="E694" s="50" t="s">
        <v>364</v>
      </c>
      <c r="F694" s="50" t="s">
        <v>958</v>
      </c>
      <c r="G694" s="99">
        <v>1</v>
      </c>
      <c r="H694" s="50" t="s">
        <v>3190</v>
      </c>
      <c r="I694" s="179" t="s">
        <v>3191</v>
      </c>
      <c r="J694" s="50" t="s">
        <v>1629</v>
      </c>
      <c r="K694" s="50" t="s">
        <v>1635</v>
      </c>
      <c r="L694" s="50"/>
      <c r="M694" s="50"/>
      <c r="N694" s="50"/>
      <c r="O694" s="50"/>
      <c r="P694" s="50"/>
      <c r="Q694" s="50"/>
      <c r="R694" s="50"/>
      <c r="S694" s="50"/>
      <c r="T694" s="50"/>
      <c r="U694" s="50"/>
      <c r="V694" s="50"/>
      <c r="W694" s="50" t="s">
        <v>1629</v>
      </c>
      <c r="X694" s="50"/>
      <c r="Y694" s="50"/>
      <c r="Z694" s="50"/>
      <c r="AA694" s="50" t="s">
        <v>3192</v>
      </c>
      <c r="AB694" s="50" t="s">
        <v>352</v>
      </c>
      <c r="AC694" s="50" t="s">
        <v>3193</v>
      </c>
      <c r="AD694" s="95">
        <v>272</v>
      </c>
      <c r="AE694" s="174">
        <v>136</v>
      </c>
      <c r="AF694" s="174">
        <v>198</v>
      </c>
      <c r="AG694" s="50"/>
      <c r="AH694" s="50" t="s">
        <v>2819</v>
      </c>
      <c r="AI694" s="175">
        <v>83</v>
      </c>
      <c r="AJ694" s="179" t="s">
        <v>959</v>
      </c>
      <c r="AK694" s="14"/>
      <c r="AL694" s="14"/>
      <c r="AM694" s="14"/>
      <c r="AN694" s="14"/>
      <c r="AO694" s="14"/>
      <c r="AP694" s="14"/>
      <c r="AQ694" s="14"/>
      <c r="AR694" s="14"/>
      <c r="AS694" s="14"/>
      <c r="AT694" s="14"/>
      <c r="AU694" s="14"/>
      <c r="AV694" s="14"/>
      <c r="AW694" s="14"/>
    </row>
    <row r="695" spans="1:49" ht="13">
      <c r="A695" s="176">
        <v>2024</v>
      </c>
      <c r="B695" s="53" t="s">
        <v>58</v>
      </c>
      <c r="C695" s="50" t="s">
        <v>397</v>
      </c>
      <c r="D695" s="50" t="s">
        <v>465</v>
      </c>
      <c r="E695" s="50" t="s">
        <v>397</v>
      </c>
      <c r="F695" s="50" t="s">
        <v>3194</v>
      </c>
      <c r="G695" s="177">
        <v>0</v>
      </c>
      <c r="H695" s="50" t="s">
        <v>3195</v>
      </c>
      <c r="I695" s="178" t="s">
        <v>3196</v>
      </c>
      <c r="J695" s="50" t="s">
        <v>1629</v>
      </c>
      <c r="K695" s="50" t="s">
        <v>1629</v>
      </c>
      <c r="L695" s="50"/>
      <c r="M695" s="50"/>
      <c r="N695" s="50"/>
      <c r="O695" s="50"/>
      <c r="P695" s="50"/>
      <c r="Q695" s="50"/>
      <c r="R695" s="50"/>
      <c r="S695" s="50"/>
      <c r="T695" s="50"/>
      <c r="U695" s="50"/>
      <c r="V695" s="50"/>
      <c r="W695" s="50" t="s">
        <v>1635</v>
      </c>
      <c r="X695" s="50"/>
      <c r="Y695" s="50"/>
      <c r="Z695" s="50"/>
      <c r="AA695" s="50" t="s">
        <v>3197</v>
      </c>
      <c r="AB695" s="50" t="s">
        <v>2824</v>
      </c>
      <c r="AC695" s="50" t="s">
        <v>3198</v>
      </c>
      <c r="AD695" s="99">
        <v>273</v>
      </c>
      <c r="AE695" s="174">
        <v>83</v>
      </c>
      <c r="AF695" s="174" t="s">
        <v>2826</v>
      </c>
      <c r="AG695" s="50"/>
      <c r="AH695" s="50" t="s">
        <v>2852</v>
      </c>
      <c r="AI695" s="175">
        <v>84</v>
      </c>
      <c r="AJ695" s="178" t="s">
        <v>735</v>
      </c>
      <c r="AK695" s="29"/>
      <c r="AL695" s="29"/>
      <c r="AM695" s="29"/>
      <c r="AN695" s="29"/>
      <c r="AO695" s="29"/>
      <c r="AP695" s="29"/>
      <c r="AQ695" s="29"/>
      <c r="AR695" s="29"/>
      <c r="AS695" s="29"/>
      <c r="AT695" s="29"/>
      <c r="AU695" s="29"/>
      <c r="AV695" s="29"/>
      <c r="AW695" s="29"/>
    </row>
    <row r="696" spans="1:49" ht="13">
      <c r="A696" s="176">
        <v>2017</v>
      </c>
      <c r="B696" s="53" t="s">
        <v>58</v>
      </c>
      <c r="C696" s="50" t="s">
        <v>397</v>
      </c>
      <c r="D696" s="50" t="s">
        <v>397</v>
      </c>
      <c r="E696" s="50" t="s">
        <v>397</v>
      </c>
      <c r="F696" s="50" t="s">
        <v>3199</v>
      </c>
      <c r="G696" s="177">
        <v>0</v>
      </c>
      <c r="H696" s="50" t="s">
        <v>3200</v>
      </c>
      <c r="I696" s="179" t="s">
        <v>3201</v>
      </c>
      <c r="J696" s="50" t="s">
        <v>1629</v>
      </c>
      <c r="K696" s="50" t="s">
        <v>1629</v>
      </c>
      <c r="L696" s="50"/>
      <c r="M696" s="50"/>
      <c r="N696" s="50"/>
      <c r="O696" s="50"/>
      <c r="P696" s="50"/>
      <c r="Q696" s="50"/>
      <c r="R696" s="50"/>
      <c r="S696" s="50"/>
      <c r="T696" s="50"/>
      <c r="U696" s="50"/>
      <c r="V696" s="50"/>
      <c r="W696" s="50" t="s">
        <v>1629</v>
      </c>
      <c r="X696" s="50"/>
      <c r="Y696" s="50"/>
      <c r="Z696" s="50"/>
      <c r="AA696" s="50"/>
      <c r="AB696" s="50" t="s">
        <v>3091</v>
      </c>
      <c r="AC696" s="50" t="s">
        <v>3202</v>
      </c>
      <c r="AD696" s="95">
        <v>274</v>
      </c>
      <c r="AE696" s="174" t="s">
        <v>2826</v>
      </c>
      <c r="AF696" s="174">
        <v>231</v>
      </c>
      <c r="AG696" s="50"/>
      <c r="AH696" s="50" t="s">
        <v>2852</v>
      </c>
      <c r="AI696" s="175">
        <v>85</v>
      </c>
      <c r="AJ696" s="53" t="s">
        <v>462</v>
      </c>
      <c r="AK696" s="14"/>
      <c r="AL696" s="14"/>
      <c r="AM696" s="14"/>
      <c r="AN696" s="14"/>
      <c r="AO696" s="14"/>
      <c r="AP696" s="14"/>
      <c r="AQ696" s="14"/>
      <c r="AR696" s="14"/>
      <c r="AS696" s="14"/>
      <c r="AT696" s="14"/>
      <c r="AU696" s="14"/>
      <c r="AV696" s="14"/>
      <c r="AW696" s="14"/>
    </row>
    <row r="697" spans="1:49" ht="13">
      <c r="A697" s="176">
        <v>2024</v>
      </c>
      <c r="B697" s="53" t="s">
        <v>58</v>
      </c>
      <c r="C697" s="50" t="s">
        <v>397</v>
      </c>
      <c r="D697" s="50" t="s">
        <v>465</v>
      </c>
      <c r="E697" s="50" t="s">
        <v>397</v>
      </c>
      <c r="F697" s="50" t="s">
        <v>3203</v>
      </c>
      <c r="G697" s="177">
        <v>0</v>
      </c>
      <c r="H697" s="50" t="s">
        <v>3204</v>
      </c>
      <c r="I697" s="178" t="s">
        <v>3205</v>
      </c>
      <c r="J697" s="50" t="s">
        <v>1629</v>
      </c>
      <c r="K697" s="50" t="s">
        <v>1629</v>
      </c>
      <c r="L697" s="50"/>
      <c r="M697" s="50"/>
      <c r="N697" s="50"/>
      <c r="O697" s="50"/>
      <c r="P697" s="50"/>
      <c r="Q697" s="50"/>
      <c r="R697" s="50"/>
      <c r="S697" s="50"/>
      <c r="T697" s="50"/>
      <c r="U697" s="50"/>
      <c r="V697" s="50"/>
      <c r="W697" s="50" t="s">
        <v>2829</v>
      </c>
      <c r="X697" s="50"/>
      <c r="Y697" s="50"/>
      <c r="Z697" s="50"/>
      <c r="AA697" s="50" t="s">
        <v>3206</v>
      </c>
      <c r="AB697" s="50" t="s">
        <v>2824</v>
      </c>
      <c r="AC697" s="50" t="s">
        <v>3207</v>
      </c>
      <c r="AD697" s="99">
        <v>275</v>
      </c>
      <c r="AE697" s="174">
        <v>83</v>
      </c>
      <c r="AF697" s="174" t="s">
        <v>2826</v>
      </c>
      <c r="AG697" s="50"/>
      <c r="AH697" s="50" t="s">
        <v>2819</v>
      </c>
      <c r="AI697" s="175">
        <v>86</v>
      </c>
      <c r="AJ697" s="178" t="s">
        <v>735</v>
      </c>
      <c r="AK697" s="29"/>
      <c r="AL697" s="29"/>
      <c r="AM697" s="29"/>
      <c r="AN697" s="29"/>
      <c r="AO697" s="29"/>
      <c r="AP697" s="29"/>
      <c r="AQ697" s="29"/>
      <c r="AR697" s="29"/>
      <c r="AS697" s="29"/>
      <c r="AT697" s="29"/>
      <c r="AU697" s="29"/>
      <c r="AV697" s="29"/>
      <c r="AW697" s="29"/>
    </row>
    <row r="698" spans="1:49" ht="13">
      <c r="A698" s="176">
        <v>2021</v>
      </c>
      <c r="B698" s="53" t="s">
        <v>58</v>
      </c>
      <c r="C698" s="50" t="s">
        <v>396</v>
      </c>
      <c r="D698" s="50" t="s">
        <v>465</v>
      </c>
      <c r="E698" s="50" t="s">
        <v>396</v>
      </c>
      <c r="F698" s="50" t="s">
        <v>960</v>
      </c>
      <c r="G698" s="99">
        <v>1</v>
      </c>
      <c r="H698" s="50" t="s">
        <v>3208</v>
      </c>
      <c r="I698" s="179" t="s">
        <v>3209</v>
      </c>
      <c r="J698" s="50" t="s">
        <v>1629</v>
      </c>
      <c r="K698" s="50" t="s">
        <v>1629</v>
      </c>
      <c r="L698" s="50"/>
      <c r="M698" s="50"/>
      <c r="N698" s="50"/>
      <c r="O698" s="50"/>
      <c r="P698" s="50"/>
      <c r="Q698" s="50"/>
      <c r="R698" s="50"/>
      <c r="S698" s="50"/>
      <c r="T698" s="50"/>
      <c r="U698" s="50"/>
      <c r="V698" s="50"/>
      <c r="W698" s="50" t="s">
        <v>1635</v>
      </c>
      <c r="X698" s="50"/>
      <c r="Y698" s="50"/>
      <c r="Z698" s="50"/>
      <c r="AA698" s="50" t="s">
        <v>3210</v>
      </c>
      <c r="AB698" s="50" t="s">
        <v>3091</v>
      </c>
      <c r="AC698" s="50" t="s">
        <v>3211</v>
      </c>
      <c r="AD698" s="95">
        <v>276</v>
      </c>
      <c r="AE698" s="174">
        <v>137</v>
      </c>
      <c r="AF698" s="174" t="s">
        <v>2826</v>
      </c>
      <c r="AG698" s="50"/>
      <c r="AH698" s="50" t="s">
        <v>2819</v>
      </c>
      <c r="AI698" s="175">
        <v>87</v>
      </c>
      <c r="AJ698" s="179" t="s">
        <v>961</v>
      </c>
      <c r="AK698" s="14"/>
      <c r="AL698" s="14"/>
      <c r="AM698" s="14"/>
      <c r="AN698" s="14"/>
      <c r="AO698" s="14"/>
      <c r="AP698" s="14"/>
      <c r="AQ698" s="14"/>
      <c r="AR698" s="14"/>
      <c r="AS698" s="14"/>
      <c r="AT698" s="14"/>
      <c r="AU698" s="14"/>
      <c r="AV698" s="14"/>
      <c r="AW698" s="14"/>
    </row>
    <row r="699" spans="1:49" ht="13">
      <c r="A699" s="176">
        <v>2022</v>
      </c>
      <c r="B699" s="53" t="s">
        <v>58</v>
      </c>
      <c r="C699" s="50" t="s">
        <v>397</v>
      </c>
      <c r="D699" s="50" t="s">
        <v>465</v>
      </c>
      <c r="E699" s="50" t="s">
        <v>397</v>
      </c>
      <c r="F699" s="50" t="s">
        <v>3212</v>
      </c>
      <c r="G699" s="177">
        <v>0</v>
      </c>
      <c r="H699" s="50" t="s">
        <v>3213</v>
      </c>
      <c r="I699" s="178" t="s">
        <v>3214</v>
      </c>
      <c r="J699" s="50" t="s">
        <v>1629</v>
      </c>
      <c r="K699" s="50" t="s">
        <v>1629</v>
      </c>
      <c r="L699" s="50"/>
      <c r="M699" s="50"/>
      <c r="N699" s="50"/>
      <c r="O699" s="50"/>
      <c r="P699" s="50"/>
      <c r="Q699" s="50"/>
      <c r="R699" s="50"/>
      <c r="S699" s="50"/>
      <c r="T699" s="50"/>
      <c r="U699" s="50"/>
      <c r="V699" s="50"/>
      <c r="W699" s="50" t="s">
        <v>1635</v>
      </c>
      <c r="X699" s="50"/>
      <c r="Y699" s="50"/>
      <c r="Z699" s="50"/>
      <c r="AA699" s="50" t="s">
        <v>3215</v>
      </c>
      <c r="AB699" s="50" t="s">
        <v>2824</v>
      </c>
      <c r="AC699" s="50" t="s">
        <v>3216</v>
      </c>
      <c r="AD699" s="99">
        <v>277</v>
      </c>
      <c r="AE699" s="174">
        <v>83</v>
      </c>
      <c r="AF699" s="174" t="s">
        <v>2826</v>
      </c>
      <c r="AG699" s="50"/>
      <c r="AH699" s="50" t="s">
        <v>2852</v>
      </c>
      <c r="AI699" s="175">
        <v>88</v>
      </c>
      <c r="AJ699" s="178" t="s">
        <v>735</v>
      </c>
      <c r="AK699" s="29"/>
      <c r="AL699" s="29"/>
      <c r="AM699" s="29"/>
      <c r="AN699" s="29"/>
      <c r="AO699" s="29"/>
      <c r="AP699" s="29"/>
      <c r="AQ699" s="29"/>
      <c r="AR699" s="29"/>
      <c r="AS699" s="29"/>
      <c r="AT699" s="29"/>
      <c r="AU699" s="29"/>
      <c r="AV699" s="29"/>
      <c r="AW699" s="29"/>
    </row>
    <row r="700" spans="1:49" ht="13">
      <c r="A700" s="176">
        <v>2021</v>
      </c>
      <c r="B700" s="53" t="s">
        <v>58</v>
      </c>
      <c r="C700" s="50" t="s">
        <v>367</v>
      </c>
      <c r="D700" s="50" t="s">
        <v>367</v>
      </c>
      <c r="E700" s="50" t="s">
        <v>367</v>
      </c>
      <c r="F700" s="50" t="s">
        <v>962</v>
      </c>
      <c r="G700" s="99">
        <v>1</v>
      </c>
      <c r="H700" s="50" t="s">
        <v>3217</v>
      </c>
      <c r="I700" s="179" t="s">
        <v>3218</v>
      </c>
      <c r="J700" s="50" t="s">
        <v>1635</v>
      </c>
      <c r="K700" s="50" t="s">
        <v>1629</v>
      </c>
      <c r="L700" s="50"/>
      <c r="M700" s="50"/>
      <c r="N700" s="50"/>
      <c r="O700" s="50"/>
      <c r="P700" s="50"/>
      <c r="Q700" s="50"/>
      <c r="R700" s="50"/>
      <c r="S700" s="50"/>
      <c r="T700" s="50"/>
      <c r="U700" s="50"/>
      <c r="V700" s="50"/>
      <c r="W700" s="50" t="s">
        <v>2829</v>
      </c>
      <c r="X700" s="50"/>
      <c r="Y700" s="50"/>
      <c r="Z700" s="50"/>
      <c r="AA700" s="50" t="s">
        <v>3219</v>
      </c>
      <c r="AB700" s="50" t="s">
        <v>2883</v>
      </c>
      <c r="AC700" s="50" t="s">
        <v>3220</v>
      </c>
      <c r="AD700" s="95">
        <v>278</v>
      </c>
      <c r="AE700" s="174">
        <v>138</v>
      </c>
      <c r="AF700" s="174">
        <v>201</v>
      </c>
      <c r="AG700" s="50"/>
      <c r="AH700" s="50" t="s">
        <v>2857</v>
      </c>
      <c r="AI700" s="175">
        <v>89</v>
      </c>
      <c r="AJ700" s="179" t="s">
        <v>963</v>
      </c>
      <c r="AK700" s="14"/>
      <c r="AL700" s="14"/>
      <c r="AM700" s="14"/>
      <c r="AN700" s="14"/>
      <c r="AO700" s="14"/>
      <c r="AP700" s="14"/>
      <c r="AQ700" s="14"/>
      <c r="AR700" s="14"/>
      <c r="AS700" s="14"/>
      <c r="AT700" s="14"/>
      <c r="AU700" s="14"/>
      <c r="AV700" s="14"/>
      <c r="AW700" s="14"/>
    </row>
    <row r="701" spans="1:49" ht="13">
      <c r="A701" s="176">
        <v>2020</v>
      </c>
      <c r="B701" s="53" t="s">
        <v>58</v>
      </c>
      <c r="C701" s="50" t="s">
        <v>1374</v>
      </c>
      <c r="D701" s="50" t="s">
        <v>465</v>
      </c>
      <c r="E701" s="50" t="s">
        <v>1374</v>
      </c>
      <c r="F701" s="50" t="s">
        <v>3221</v>
      </c>
      <c r="G701" s="177">
        <v>0</v>
      </c>
      <c r="H701" s="50" t="s">
        <v>3222</v>
      </c>
      <c r="I701" s="178" t="s">
        <v>3223</v>
      </c>
      <c r="J701" s="50" t="s">
        <v>1629</v>
      </c>
      <c r="K701" s="50" t="s">
        <v>1629</v>
      </c>
      <c r="L701" s="50"/>
      <c r="M701" s="50"/>
      <c r="N701" s="50"/>
      <c r="O701" s="50"/>
      <c r="P701" s="50"/>
      <c r="Q701" s="50"/>
      <c r="R701" s="50"/>
      <c r="S701" s="50"/>
      <c r="T701" s="50"/>
      <c r="U701" s="50"/>
      <c r="V701" s="50"/>
      <c r="W701" s="50" t="s">
        <v>1635</v>
      </c>
      <c r="X701" s="50"/>
      <c r="Y701" s="50"/>
      <c r="Z701" s="50"/>
      <c r="AA701" s="50"/>
      <c r="AB701" s="50" t="s">
        <v>2883</v>
      </c>
      <c r="AC701" s="50" t="s">
        <v>3224</v>
      </c>
      <c r="AD701" s="99">
        <v>279</v>
      </c>
      <c r="AE701" s="174">
        <v>81</v>
      </c>
      <c r="AF701" s="174" t="s">
        <v>2826</v>
      </c>
      <c r="AG701" s="50"/>
      <c r="AH701" s="50" t="s">
        <v>2857</v>
      </c>
      <c r="AI701" s="175">
        <v>90</v>
      </c>
      <c r="AJ701" s="178" t="s">
        <v>720</v>
      </c>
      <c r="AK701" s="29"/>
      <c r="AL701" s="29"/>
      <c r="AM701" s="29"/>
      <c r="AN701" s="29"/>
      <c r="AO701" s="29"/>
      <c r="AP701" s="29"/>
      <c r="AQ701" s="29"/>
      <c r="AR701" s="29"/>
      <c r="AS701" s="29"/>
      <c r="AT701" s="29"/>
      <c r="AU701" s="29"/>
      <c r="AV701" s="29"/>
      <c r="AW701" s="29"/>
    </row>
    <row r="702" spans="1:49" ht="13">
      <c r="A702" s="176">
        <v>2024</v>
      </c>
      <c r="B702" s="12" t="s">
        <v>64</v>
      </c>
      <c r="C702" s="50" t="s">
        <v>455</v>
      </c>
      <c r="D702" s="50" t="s">
        <v>465</v>
      </c>
      <c r="E702" s="50" t="s">
        <v>455</v>
      </c>
      <c r="F702" s="50" t="s">
        <v>964</v>
      </c>
      <c r="G702" s="99">
        <v>1</v>
      </c>
      <c r="H702" s="50" t="s">
        <v>3225</v>
      </c>
      <c r="I702" s="179" t="s">
        <v>3226</v>
      </c>
      <c r="J702" s="50" t="s">
        <v>1629</v>
      </c>
      <c r="K702" s="50" t="s">
        <v>1629</v>
      </c>
      <c r="L702" s="50"/>
      <c r="M702" s="50"/>
      <c r="N702" s="50"/>
      <c r="O702" s="50"/>
      <c r="P702" s="50"/>
      <c r="Q702" s="50"/>
      <c r="R702" s="50"/>
      <c r="S702" s="50"/>
      <c r="T702" s="50"/>
      <c r="U702" s="50"/>
      <c r="V702" s="50"/>
      <c r="W702" s="50" t="s">
        <v>1635</v>
      </c>
      <c r="X702" s="50"/>
      <c r="Y702" s="50"/>
      <c r="Z702" s="50"/>
      <c r="AA702" s="50" t="s">
        <v>3227</v>
      </c>
      <c r="AB702" s="50" t="s">
        <v>1551</v>
      </c>
      <c r="AC702" s="50" t="s">
        <v>3228</v>
      </c>
      <c r="AD702" s="95">
        <v>280</v>
      </c>
      <c r="AE702" s="174" t="s">
        <v>2826</v>
      </c>
      <c r="AF702" s="174" t="s">
        <v>2826</v>
      </c>
      <c r="AG702" s="50"/>
      <c r="AH702" s="50" t="s">
        <v>2852</v>
      </c>
      <c r="AI702" s="175">
        <v>91</v>
      </c>
      <c r="AJ702" s="179" t="s">
        <v>3229</v>
      </c>
      <c r="AK702" s="14"/>
      <c r="AL702" s="14"/>
      <c r="AM702" s="14"/>
      <c r="AN702" s="14"/>
      <c r="AO702" s="14"/>
      <c r="AP702" s="14"/>
      <c r="AQ702" s="14"/>
      <c r="AR702" s="14"/>
      <c r="AS702" s="14"/>
      <c r="AT702" s="14"/>
      <c r="AU702" s="14"/>
      <c r="AV702" s="14"/>
      <c r="AW702" s="14"/>
    </row>
    <row r="703" spans="1:49" ht="13">
      <c r="A703" s="176">
        <v>2023</v>
      </c>
      <c r="B703" s="12" t="s">
        <v>64</v>
      </c>
      <c r="C703" s="50" t="s">
        <v>103</v>
      </c>
      <c r="D703" s="50" t="s">
        <v>462</v>
      </c>
      <c r="E703" s="50" t="s">
        <v>103</v>
      </c>
      <c r="F703" s="50" t="s">
        <v>966</v>
      </c>
      <c r="G703" s="99">
        <v>1</v>
      </c>
      <c r="H703" s="50" t="s">
        <v>3230</v>
      </c>
      <c r="I703" s="178" t="s">
        <v>3231</v>
      </c>
      <c r="J703" s="50" t="s">
        <v>1629</v>
      </c>
      <c r="K703" s="50" t="s">
        <v>1629</v>
      </c>
      <c r="L703" s="50"/>
      <c r="M703" s="50"/>
      <c r="N703" s="50"/>
      <c r="O703" s="50"/>
      <c r="P703" s="50"/>
      <c r="Q703" s="50"/>
      <c r="R703" s="50"/>
      <c r="S703" s="50"/>
      <c r="T703" s="50"/>
      <c r="U703" s="50"/>
      <c r="V703" s="50"/>
      <c r="W703" s="50" t="s">
        <v>1635</v>
      </c>
      <c r="X703" s="50"/>
      <c r="Y703" s="50"/>
      <c r="Z703" s="50"/>
      <c r="AA703" s="50" t="s">
        <v>3232</v>
      </c>
      <c r="AB703" s="50" t="s">
        <v>1551</v>
      </c>
      <c r="AC703" s="50" t="s">
        <v>3233</v>
      </c>
      <c r="AD703" s="99">
        <v>281</v>
      </c>
      <c r="AE703" s="174">
        <v>140</v>
      </c>
      <c r="AF703" s="174" t="s">
        <v>2826</v>
      </c>
      <c r="AG703" s="50"/>
      <c r="AH703" s="50" t="s">
        <v>2852</v>
      </c>
      <c r="AI703" s="175">
        <v>92</v>
      </c>
      <c r="AJ703" s="178" t="s">
        <v>968</v>
      </c>
      <c r="AK703" s="29"/>
      <c r="AL703" s="29"/>
      <c r="AM703" s="29"/>
      <c r="AN703" s="29"/>
      <c r="AO703" s="29"/>
      <c r="AP703" s="29"/>
      <c r="AQ703" s="29"/>
      <c r="AR703" s="29"/>
      <c r="AS703" s="29"/>
      <c r="AT703" s="29"/>
      <c r="AU703" s="29"/>
      <c r="AV703" s="29"/>
      <c r="AW703" s="29"/>
    </row>
    <row r="704" spans="1:49" ht="13">
      <c r="A704" s="176">
        <v>2023</v>
      </c>
      <c r="B704" s="53" t="s">
        <v>58</v>
      </c>
      <c r="C704" s="50" t="s">
        <v>397</v>
      </c>
      <c r="D704" s="50" t="s">
        <v>465</v>
      </c>
      <c r="E704" s="50" t="s">
        <v>397</v>
      </c>
      <c r="F704" s="50" t="s">
        <v>2943</v>
      </c>
      <c r="G704" s="177">
        <v>0</v>
      </c>
      <c r="H704" s="50" t="s">
        <v>3234</v>
      </c>
      <c r="I704" s="179" t="s">
        <v>3235</v>
      </c>
      <c r="J704" s="50" t="s">
        <v>1629</v>
      </c>
      <c r="K704" s="50" t="s">
        <v>1629</v>
      </c>
      <c r="L704" s="50"/>
      <c r="M704" s="50"/>
      <c r="N704" s="50"/>
      <c r="O704" s="50"/>
      <c r="P704" s="50"/>
      <c r="Q704" s="50"/>
      <c r="R704" s="50"/>
      <c r="S704" s="50"/>
      <c r="T704" s="50"/>
      <c r="U704" s="50"/>
      <c r="V704" s="50"/>
      <c r="W704" s="50" t="s">
        <v>1635</v>
      </c>
      <c r="X704" s="50"/>
      <c r="Y704" s="50"/>
      <c r="Z704" s="50"/>
      <c r="AA704" s="50" t="s">
        <v>3236</v>
      </c>
      <c r="AB704" s="50" t="s">
        <v>2824</v>
      </c>
      <c r="AC704" s="50" t="s">
        <v>3237</v>
      </c>
      <c r="AD704" s="95">
        <v>282</v>
      </c>
      <c r="AE704" s="174">
        <v>83</v>
      </c>
      <c r="AF704" s="174" t="s">
        <v>2826</v>
      </c>
      <c r="AG704" s="50"/>
      <c r="AH704" s="50" t="s">
        <v>2819</v>
      </c>
      <c r="AI704" s="175">
        <v>93</v>
      </c>
      <c r="AJ704" s="179" t="s">
        <v>735</v>
      </c>
      <c r="AK704" s="14"/>
      <c r="AL704" s="14"/>
      <c r="AM704" s="14"/>
      <c r="AN704" s="14"/>
      <c r="AO704" s="14"/>
      <c r="AP704" s="14"/>
      <c r="AQ704" s="14"/>
      <c r="AR704" s="14"/>
      <c r="AS704" s="14"/>
      <c r="AT704" s="14"/>
      <c r="AU704" s="14"/>
      <c r="AV704" s="14"/>
      <c r="AW704" s="14"/>
    </row>
    <row r="705" spans="1:49" ht="13">
      <c r="A705" s="176">
        <v>2021</v>
      </c>
      <c r="B705" s="53" t="s">
        <v>58</v>
      </c>
      <c r="C705" s="50" t="s">
        <v>396</v>
      </c>
      <c r="D705" s="50" t="s">
        <v>465</v>
      </c>
      <c r="E705" s="50" t="s">
        <v>396</v>
      </c>
      <c r="F705" s="50" t="s">
        <v>969</v>
      </c>
      <c r="G705" s="99">
        <v>1</v>
      </c>
      <c r="H705" s="50" t="s">
        <v>3238</v>
      </c>
      <c r="I705" s="178" t="s">
        <v>3239</v>
      </c>
      <c r="J705" s="50" t="s">
        <v>1629</v>
      </c>
      <c r="K705" s="50" t="s">
        <v>1629</v>
      </c>
      <c r="L705" s="50"/>
      <c r="M705" s="50"/>
      <c r="N705" s="50"/>
      <c r="O705" s="50"/>
      <c r="P705" s="50"/>
      <c r="Q705" s="50"/>
      <c r="R705" s="50"/>
      <c r="S705" s="50"/>
      <c r="T705" s="50"/>
      <c r="U705" s="50"/>
      <c r="V705" s="50"/>
      <c r="W705" s="50" t="s">
        <v>1629</v>
      </c>
      <c r="X705" s="50"/>
      <c r="Y705" s="50"/>
      <c r="Z705" s="50"/>
      <c r="AA705" s="50" t="s">
        <v>3240</v>
      </c>
      <c r="AB705" s="50" t="s">
        <v>3091</v>
      </c>
      <c r="AC705" s="50" t="s">
        <v>3241</v>
      </c>
      <c r="AD705" s="99">
        <v>283</v>
      </c>
      <c r="AE705" s="174">
        <v>141</v>
      </c>
      <c r="AF705" s="174" t="s">
        <v>2826</v>
      </c>
      <c r="AG705" s="50"/>
      <c r="AH705" s="50" t="s">
        <v>2819</v>
      </c>
      <c r="AI705" s="175">
        <v>94</v>
      </c>
      <c r="AJ705" s="178" t="s">
        <v>970</v>
      </c>
      <c r="AK705" s="29"/>
      <c r="AL705" s="29"/>
      <c r="AM705" s="29"/>
      <c r="AN705" s="29"/>
      <c r="AO705" s="29"/>
      <c r="AP705" s="29"/>
      <c r="AQ705" s="29"/>
      <c r="AR705" s="29"/>
      <c r="AS705" s="29"/>
      <c r="AT705" s="29"/>
      <c r="AU705" s="29"/>
      <c r="AV705" s="29"/>
      <c r="AW705" s="29"/>
    </row>
    <row r="706" spans="1:49" ht="13">
      <c r="A706" s="176">
        <v>2021</v>
      </c>
      <c r="B706" s="53" t="s">
        <v>58</v>
      </c>
      <c r="C706" s="50" t="s">
        <v>396</v>
      </c>
      <c r="D706" s="50" t="s">
        <v>396</v>
      </c>
      <c r="E706" s="50" t="s">
        <v>396</v>
      </c>
      <c r="F706" s="50" t="s">
        <v>971</v>
      </c>
      <c r="G706" s="99">
        <v>1</v>
      </c>
      <c r="H706" s="50" t="s">
        <v>3242</v>
      </c>
      <c r="I706" s="179" t="s">
        <v>3243</v>
      </c>
      <c r="J706" s="50" t="s">
        <v>1629</v>
      </c>
      <c r="K706" s="50" t="s">
        <v>1629</v>
      </c>
      <c r="L706" s="50"/>
      <c r="M706" s="50"/>
      <c r="N706" s="50"/>
      <c r="O706" s="50"/>
      <c r="P706" s="50"/>
      <c r="Q706" s="50"/>
      <c r="R706" s="50"/>
      <c r="S706" s="50"/>
      <c r="T706" s="50"/>
      <c r="U706" s="50"/>
      <c r="V706" s="50"/>
      <c r="W706" s="50" t="s">
        <v>1635</v>
      </c>
      <c r="X706" s="50"/>
      <c r="Y706" s="50"/>
      <c r="Z706" s="50"/>
      <c r="AA706" s="50" t="s">
        <v>3244</v>
      </c>
      <c r="AB706" s="50" t="s">
        <v>3091</v>
      </c>
      <c r="AC706" s="50" t="s">
        <v>3245</v>
      </c>
      <c r="AD706" s="95">
        <v>284</v>
      </c>
      <c r="AE706" s="174">
        <v>142</v>
      </c>
      <c r="AF706" s="174">
        <v>229</v>
      </c>
      <c r="AG706" s="50"/>
      <c r="AH706" s="50" t="s">
        <v>2819</v>
      </c>
      <c r="AI706" s="175">
        <v>95</v>
      </c>
      <c r="AJ706" s="179" t="s">
        <v>973</v>
      </c>
      <c r="AK706" s="14"/>
      <c r="AL706" s="14"/>
      <c r="AM706" s="14"/>
      <c r="AN706" s="14"/>
      <c r="AO706" s="14"/>
      <c r="AP706" s="14"/>
      <c r="AQ706" s="14"/>
      <c r="AR706" s="14"/>
      <c r="AS706" s="14"/>
      <c r="AT706" s="14"/>
      <c r="AU706" s="14"/>
      <c r="AV706" s="14"/>
      <c r="AW706" s="14"/>
    </row>
    <row r="707" spans="1:49" ht="13">
      <c r="A707" s="176">
        <v>2024</v>
      </c>
      <c r="B707" s="53" t="s">
        <v>58</v>
      </c>
      <c r="C707" s="50" t="s">
        <v>400</v>
      </c>
      <c r="D707" s="50" t="s">
        <v>400</v>
      </c>
      <c r="E707" s="50" t="s">
        <v>400</v>
      </c>
      <c r="F707" s="50" t="s">
        <v>974</v>
      </c>
      <c r="G707" s="99">
        <v>1</v>
      </c>
      <c r="H707" s="50" t="s">
        <v>3246</v>
      </c>
      <c r="I707" s="178" t="s">
        <v>3247</v>
      </c>
      <c r="J707" s="50" t="s">
        <v>1629</v>
      </c>
      <c r="K707" s="50" t="s">
        <v>1629</v>
      </c>
      <c r="L707" s="50"/>
      <c r="M707" s="50"/>
      <c r="N707" s="50"/>
      <c r="O707" s="50"/>
      <c r="P707" s="50"/>
      <c r="Q707" s="50"/>
      <c r="R707" s="50"/>
      <c r="S707" s="50"/>
      <c r="T707" s="50"/>
      <c r="U707" s="50"/>
      <c r="V707" s="50"/>
      <c r="W707" s="50" t="s">
        <v>2829</v>
      </c>
      <c r="X707" s="50"/>
      <c r="Y707" s="50"/>
      <c r="Z707" s="50"/>
      <c r="AA707" s="50"/>
      <c r="AB707" s="50" t="s">
        <v>3160</v>
      </c>
      <c r="AC707" s="50" t="s">
        <v>3248</v>
      </c>
      <c r="AD707" s="99">
        <v>285</v>
      </c>
      <c r="AE707" s="174">
        <v>143</v>
      </c>
      <c r="AF707" s="174">
        <v>235</v>
      </c>
      <c r="AG707" s="50"/>
      <c r="AH707" s="50" t="s">
        <v>2819</v>
      </c>
      <c r="AI707" s="175">
        <v>96</v>
      </c>
      <c r="AJ707" s="178" t="s">
        <v>975</v>
      </c>
      <c r="AK707" s="29"/>
      <c r="AL707" s="29"/>
      <c r="AM707" s="29"/>
      <c r="AN707" s="29"/>
      <c r="AO707" s="29"/>
      <c r="AP707" s="29"/>
      <c r="AQ707" s="29"/>
      <c r="AR707" s="29"/>
      <c r="AS707" s="29"/>
      <c r="AT707" s="29"/>
      <c r="AU707" s="29"/>
      <c r="AV707" s="29"/>
      <c r="AW707" s="29"/>
    </row>
    <row r="708" spans="1:49" ht="13">
      <c r="A708" s="176">
        <v>2017</v>
      </c>
      <c r="B708" s="53" t="s">
        <v>58</v>
      </c>
      <c r="C708" s="50" t="s">
        <v>455</v>
      </c>
      <c r="D708" s="50" t="s">
        <v>368</v>
      </c>
      <c r="E708" s="50" t="s">
        <v>455</v>
      </c>
      <c r="F708" s="50" t="s">
        <v>976</v>
      </c>
      <c r="G708" s="99">
        <v>1</v>
      </c>
      <c r="H708" s="50" t="s">
        <v>3249</v>
      </c>
      <c r="I708" s="179" t="s">
        <v>3250</v>
      </c>
      <c r="J708" s="50" t="s">
        <v>1629</v>
      </c>
      <c r="K708" s="50" t="s">
        <v>1629</v>
      </c>
      <c r="L708" s="50"/>
      <c r="M708" s="50"/>
      <c r="N708" s="50"/>
      <c r="O708" s="50"/>
      <c r="P708" s="50"/>
      <c r="Q708" s="50"/>
      <c r="R708" s="50"/>
      <c r="S708" s="50"/>
      <c r="T708" s="50"/>
      <c r="U708" s="50"/>
      <c r="V708" s="50"/>
      <c r="W708" s="50" t="s">
        <v>1635</v>
      </c>
      <c r="X708" s="50"/>
      <c r="Y708" s="50"/>
      <c r="Z708" s="50"/>
      <c r="AA708" s="50"/>
      <c r="AB708" s="50" t="s">
        <v>2883</v>
      </c>
      <c r="AC708" s="50" t="s">
        <v>3251</v>
      </c>
      <c r="AD708" s="95">
        <v>286</v>
      </c>
      <c r="AE708" s="174">
        <v>144</v>
      </c>
      <c r="AF708" s="174">
        <v>202</v>
      </c>
      <c r="AG708" s="50"/>
      <c r="AH708" s="50" t="s">
        <v>2819</v>
      </c>
      <c r="AI708" s="175">
        <v>97</v>
      </c>
      <c r="AJ708" s="179" t="s">
        <v>977</v>
      </c>
      <c r="AK708" s="14"/>
      <c r="AL708" s="14"/>
      <c r="AM708" s="14"/>
      <c r="AN708" s="14"/>
      <c r="AO708" s="14"/>
      <c r="AP708" s="14"/>
      <c r="AQ708" s="14"/>
      <c r="AR708" s="14"/>
      <c r="AS708" s="14"/>
      <c r="AT708" s="14"/>
      <c r="AU708" s="14"/>
      <c r="AV708" s="14"/>
      <c r="AW708" s="14"/>
    </row>
    <row r="709" spans="1:49" ht="13">
      <c r="A709" s="176">
        <v>2022</v>
      </c>
      <c r="B709" s="53" t="s">
        <v>58</v>
      </c>
      <c r="C709" s="50" t="s">
        <v>372</v>
      </c>
      <c r="D709" s="50" t="s">
        <v>372</v>
      </c>
      <c r="E709" s="50" t="s">
        <v>372</v>
      </c>
      <c r="F709" s="50" t="s">
        <v>978</v>
      </c>
      <c r="G709" s="99">
        <v>1</v>
      </c>
      <c r="H709" s="50" t="s">
        <v>3252</v>
      </c>
      <c r="I709" s="178" t="s">
        <v>3253</v>
      </c>
      <c r="J709" s="50" t="s">
        <v>1629</v>
      </c>
      <c r="K709" s="50" t="s">
        <v>1629</v>
      </c>
      <c r="L709" s="50"/>
      <c r="M709" s="50"/>
      <c r="N709" s="50"/>
      <c r="O709" s="50"/>
      <c r="P709" s="50"/>
      <c r="Q709" s="50"/>
      <c r="R709" s="50"/>
      <c r="S709" s="50"/>
      <c r="T709" s="50"/>
      <c r="U709" s="50"/>
      <c r="V709" s="50"/>
      <c r="W709" s="50" t="s">
        <v>1635</v>
      </c>
      <c r="X709" s="50"/>
      <c r="Y709" s="50"/>
      <c r="Z709" s="50"/>
      <c r="AA709" s="50"/>
      <c r="AB709" s="50" t="s">
        <v>2883</v>
      </c>
      <c r="AC709" s="50" t="s">
        <v>3254</v>
      </c>
      <c r="AD709" s="99">
        <v>287</v>
      </c>
      <c r="AE709" s="174">
        <v>145</v>
      </c>
      <c r="AF709" s="174">
        <v>204</v>
      </c>
      <c r="AG709" s="50"/>
      <c r="AH709" s="50" t="s">
        <v>2857</v>
      </c>
      <c r="AI709" s="175">
        <v>98</v>
      </c>
      <c r="AJ709" s="178" t="s">
        <v>979</v>
      </c>
      <c r="AK709" s="29"/>
      <c r="AL709" s="29"/>
      <c r="AM709" s="29"/>
      <c r="AN709" s="29"/>
      <c r="AO709" s="29"/>
      <c r="AP709" s="29"/>
      <c r="AQ709" s="29"/>
      <c r="AR709" s="29"/>
      <c r="AS709" s="29"/>
      <c r="AT709" s="29"/>
      <c r="AU709" s="29"/>
      <c r="AV709" s="29"/>
      <c r="AW709" s="29"/>
    </row>
    <row r="710" spans="1:49" ht="13">
      <c r="A710" s="176">
        <v>2020</v>
      </c>
      <c r="B710" s="53" t="s">
        <v>58</v>
      </c>
      <c r="C710" s="50" t="s">
        <v>372</v>
      </c>
      <c r="D710" s="50" t="s">
        <v>465</v>
      </c>
      <c r="E710" s="50" t="s">
        <v>372</v>
      </c>
      <c r="F710" s="50" t="s">
        <v>978</v>
      </c>
      <c r="G710" s="177">
        <v>0</v>
      </c>
      <c r="H710" s="50" t="s">
        <v>3255</v>
      </c>
      <c r="I710" s="179" t="s">
        <v>3256</v>
      </c>
      <c r="J710" s="50" t="s">
        <v>1629</v>
      </c>
      <c r="K710" s="50" t="s">
        <v>1629</v>
      </c>
      <c r="L710" s="50"/>
      <c r="M710" s="50"/>
      <c r="N710" s="50"/>
      <c r="O710" s="50"/>
      <c r="P710" s="50"/>
      <c r="Q710" s="50"/>
      <c r="R710" s="50"/>
      <c r="S710" s="50"/>
      <c r="T710" s="50"/>
      <c r="U710" s="50"/>
      <c r="V710" s="50"/>
      <c r="W710" s="50" t="s">
        <v>1629</v>
      </c>
      <c r="X710" s="50"/>
      <c r="Y710" s="50"/>
      <c r="Z710" s="50"/>
      <c r="AA710" s="50"/>
      <c r="AB710" s="50" t="s">
        <v>2883</v>
      </c>
      <c r="AC710" s="50" t="s">
        <v>3257</v>
      </c>
      <c r="AD710" s="95">
        <v>288</v>
      </c>
      <c r="AE710" s="174">
        <v>145</v>
      </c>
      <c r="AF710" s="174" t="s">
        <v>2826</v>
      </c>
      <c r="AG710" s="50"/>
      <c r="AH710" s="50" t="s">
        <v>2857</v>
      </c>
      <c r="AI710" s="175">
        <v>99</v>
      </c>
      <c r="AJ710" s="179" t="s">
        <v>979</v>
      </c>
      <c r="AK710" s="14"/>
      <c r="AL710" s="14"/>
      <c r="AM710" s="14"/>
      <c r="AN710" s="14"/>
      <c r="AO710" s="14"/>
      <c r="AP710" s="14"/>
      <c r="AQ710" s="14"/>
      <c r="AR710" s="14"/>
      <c r="AS710" s="14"/>
      <c r="AT710" s="14"/>
      <c r="AU710" s="14"/>
      <c r="AV710" s="14"/>
      <c r="AW710" s="14"/>
    </row>
    <row r="711" spans="1:49" ht="13">
      <c r="A711" s="176">
        <v>2024</v>
      </c>
      <c r="B711" s="53" t="s">
        <v>58</v>
      </c>
      <c r="C711" s="50" t="s">
        <v>397</v>
      </c>
      <c r="D711" s="50" t="s">
        <v>465</v>
      </c>
      <c r="E711" s="50" t="s">
        <v>397</v>
      </c>
      <c r="F711" s="50" t="s">
        <v>3173</v>
      </c>
      <c r="G711" s="177">
        <v>0</v>
      </c>
      <c r="H711" s="50" t="s">
        <v>3258</v>
      </c>
      <c r="I711" s="178" t="s">
        <v>3259</v>
      </c>
      <c r="J711" s="50" t="s">
        <v>1629</v>
      </c>
      <c r="K711" s="50" t="s">
        <v>1629</v>
      </c>
      <c r="L711" s="50"/>
      <c r="M711" s="50"/>
      <c r="N711" s="50"/>
      <c r="O711" s="50"/>
      <c r="P711" s="50"/>
      <c r="Q711" s="50"/>
      <c r="R711" s="50"/>
      <c r="S711" s="50"/>
      <c r="T711" s="50"/>
      <c r="U711" s="50"/>
      <c r="V711" s="50"/>
      <c r="W711" s="50" t="s">
        <v>1635</v>
      </c>
      <c r="X711" s="50"/>
      <c r="Y711" s="50"/>
      <c r="Z711" s="50"/>
      <c r="AA711" s="50" t="s">
        <v>3260</v>
      </c>
      <c r="AB711" s="50" t="s">
        <v>2824</v>
      </c>
      <c r="AC711" s="50" t="s">
        <v>3261</v>
      </c>
      <c r="AD711" s="99">
        <v>289</v>
      </c>
      <c r="AE711" s="174">
        <v>83</v>
      </c>
      <c r="AF711" s="174" t="s">
        <v>2826</v>
      </c>
      <c r="AG711" s="50"/>
      <c r="AH711" s="50" t="s">
        <v>2819</v>
      </c>
      <c r="AI711" s="175">
        <v>100</v>
      </c>
      <c r="AJ711" s="178" t="s">
        <v>735</v>
      </c>
      <c r="AK711" s="29"/>
      <c r="AL711" s="29"/>
      <c r="AM711" s="29"/>
      <c r="AN711" s="29"/>
      <c r="AO711" s="29"/>
      <c r="AP711" s="29"/>
      <c r="AQ711" s="29"/>
      <c r="AR711" s="29"/>
      <c r="AS711" s="29"/>
      <c r="AT711" s="29"/>
      <c r="AU711" s="29"/>
      <c r="AV711" s="29"/>
      <c r="AW711" s="29"/>
    </row>
    <row r="712" spans="1:49" ht="13">
      <c r="A712" s="176">
        <v>2024</v>
      </c>
      <c r="B712" s="53" t="s">
        <v>58</v>
      </c>
      <c r="C712" s="50" t="s">
        <v>397</v>
      </c>
      <c r="D712" s="50" t="s">
        <v>95</v>
      </c>
      <c r="E712" s="50" t="s">
        <v>397</v>
      </c>
      <c r="F712" s="50" t="s">
        <v>936</v>
      </c>
      <c r="G712" s="99">
        <v>2</v>
      </c>
      <c r="H712" s="50" t="s">
        <v>3262</v>
      </c>
      <c r="I712" s="179" t="s">
        <v>3263</v>
      </c>
      <c r="J712" s="50" t="s">
        <v>1629</v>
      </c>
      <c r="K712" s="50" t="s">
        <v>1629</v>
      </c>
      <c r="L712" s="50"/>
      <c r="M712" s="50"/>
      <c r="N712" s="50"/>
      <c r="O712" s="50"/>
      <c r="P712" s="50"/>
      <c r="Q712" s="50"/>
      <c r="R712" s="50"/>
      <c r="S712" s="50"/>
      <c r="T712" s="50"/>
      <c r="U712" s="50"/>
      <c r="V712" s="50"/>
      <c r="W712" s="50" t="s">
        <v>1635</v>
      </c>
      <c r="X712" s="50"/>
      <c r="Y712" s="50"/>
      <c r="Z712" s="50"/>
      <c r="AA712" s="50" t="s">
        <v>3264</v>
      </c>
      <c r="AB712" s="50" t="s">
        <v>2824</v>
      </c>
      <c r="AC712" s="50" t="s">
        <v>3265</v>
      </c>
      <c r="AD712" s="95">
        <v>290</v>
      </c>
      <c r="AE712" s="174">
        <v>83</v>
      </c>
      <c r="AF712" s="174">
        <v>58</v>
      </c>
      <c r="AG712" s="50"/>
      <c r="AH712" s="50" t="s">
        <v>2819</v>
      </c>
      <c r="AI712" s="175">
        <v>101</v>
      </c>
      <c r="AJ712" s="179" t="s">
        <v>735</v>
      </c>
      <c r="AK712" s="14"/>
      <c r="AL712" s="14"/>
      <c r="AM712" s="14"/>
      <c r="AN712" s="14"/>
      <c r="AO712" s="14"/>
      <c r="AP712" s="14"/>
      <c r="AQ712" s="14"/>
      <c r="AR712" s="14"/>
      <c r="AS712" s="14"/>
      <c r="AT712" s="14"/>
      <c r="AU712" s="14"/>
      <c r="AV712" s="14"/>
      <c r="AW712" s="14"/>
    </row>
    <row r="713" spans="1:49" ht="13">
      <c r="A713" s="176">
        <v>2022</v>
      </c>
      <c r="B713" s="53" t="s">
        <v>58</v>
      </c>
      <c r="C713" s="50" t="s">
        <v>56</v>
      </c>
      <c r="D713" s="50" t="s">
        <v>465</v>
      </c>
      <c r="E713" s="50" t="s">
        <v>56</v>
      </c>
      <c r="F713" s="50" t="s">
        <v>920</v>
      </c>
      <c r="G713" s="99">
        <v>1</v>
      </c>
      <c r="H713" s="50" t="s">
        <v>3266</v>
      </c>
      <c r="I713" s="178" t="s">
        <v>3267</v>
      </c>
      <c r="J713" s="50" t="s">
        <v>1629</v>
      </c>
      <c r="K713" s="50" t="s">
        <v>1629</v>
      </c>
      <c r="L713" s="50"/>
      <c r="M713" s="50"/>
      <c r="N713" s="50"/>
      <c r="O713" s="50"/>
      <c r="P713" s="50"/>
      <c r="Q713" s="50"/>
      <c r="R713" s="50"/>
      <c r="S713" s="50"/>
      <c r="T713" s="50"/>
      <c r="U713" s="50"/>
      <c r="V713" s="50"/>
      <c r="W713" s="50" t="s">
        <v>1635</v>
      </c>
      <c r="X713" s="50"/>
      <c r="Y713" s="50"/>
      <c r="Z713" s="50"/>
      <c r="AA713" s="50" t="s">
        <v>3268</v>
      </c>
      <c r="AB713" s="50" t="s">
        <v>2841</v>
      </c>
      <c r="AC713" s="50" t="s">
        <v>3269</v>
      </c>
      <c r="AD713" s="99">
        <v>291</v>
      </c>
      <c r="AE713" s="174" t="s">
        <v>2826</v>
      </c>
      <c r="AF713" s="174" t="s">
        <v>2826</v>
      </c>
      <c r="AG713" s="50"/>
      <c r="AH713" s="50" t="s">
        <v>2819</v>
      </c>
      <c r="AI713" s="175">
        <v>102</v>
      </c>
      <c r="AJ713" s="178" t="s">
        <v>3270</v>
      </c>
      <c r="AK713" s="29"/>
      <c r="AL713" s="29"/>
      <c r="AM713" s="29"/>
      <c r="AN713" s="29"/>
      <c r="AO713" s="29"/>
      <c r="AP713" s="29"/>
      <c r="AQ713" s="29"/>
      <c r="AR713" s="29"/>
      <c r="AS713" s="29"/>
      <c r="AT713" s="29"/>
      <c r="AU713" s="29"/>
      <c r="AV713" s="29"/>
      <c r="AW713" s="29"/>
    </row>
    <row r="714" spans="1:49" ht="13">
      <c r="A714" s="176">
        <v>2015</v>
      </c>
      <c r="B714" s="12" t="s">
        <v>64</v>
      </c>
      <c r="C714" s="50" t="s">
        <v>455</v>
      </c>
      <c r="D714" s="50" t="s">
        <v>380</v>
      </c>
      <c r="E714" s="50" t="s">
        <v>455</v>
      </c>
      <c r="F714" s="50" t="s">
        <v>980</v>
      </c>
      <c r="G714" s="99">
        <v>1</v>
      </c>
      <c r="H714" s="50" t="s">
        <v>3271</v>
      </c>
      <c r="I714" s="179" t="s">
        <v>3272</v>
      </c>
      <c r="J714" s="50" t="s">
        <v>1629</v>
      </c>
      <c r="K714" s="50" t="s">
        <v>1629</v>
      </c>
      <c r="L714" s="50"/>
      <c r="M714" s="50"/>
      <c r="N714" s="50"/>
      <c r="O714" s="50"/>
      <c r="P714" s="50"/>
      <c r="Q714" s="50"/>
      <c r="R714" s="50"/>
      <c r="S714" s="50"/>
      <c r="T714" s="50"/>
      <c r="U714" s="50"/>
      <c r="V714" s="50"/>
      <c r="W714" s="50" t="s">
        <v>1635</v>
      </c>
      <c r="X714" s="50"/>
      <c r="Y714" s="50"/>
      <c r="Z714" s="50"/>
      <c r="AA714" s="50" t="s">
        <v>3273</v>
      </c>
      <c r="AB714" s="50" t="s">
        <v>2841</v>
      </c>
      <c r="AC714" s="50" t="s">
        <v>3274</v>
      </c>
      <c r="AD714" s="95">
        <v>292</v>
      </c>
      <c r="AE714" s="174" t="s">
        <v>2826</v>
      </c>
      <c r="AF714" s="174" t="s">
        <v>2826</v>
      </c>
      <c r="AG714" s="50"/>
      <c r="AH714" s="50" t="s">
        <v>2819</v>
      </c>
      <c r="AI714" s="175">
        <v>103</v>
      </c>
      <c r="AJ714" s="179" t="s">
        <v>3275</v>
      </c>
      <c r="AK714" s="14"/>
      <c r="AL714" s="14"/>
      <c r="AM714" s="14"/>
      <c r="AN714" s="14"/>
      <c r="AO714" s="14"/>
      <c r="AP714" s="14"/>
      <c r="AQ714" s="14"/>
      <c r="AR714" s="14"/>
      <c r="AS714" s="14"/>
      <c r="AT714" s="14"/>
      <c r="AU714" s="14"/>
      <c r="AV714" s="14"/>
      <c r="AW714" s="14"/>
    </row>
    <row r="715" spans="1:49" ht="13">
      <c r="A715" s="176">
        <v>2024</v>
      </c>
      <c r="B715" s="53" t="s">
        <v>58</v>
      </c>
      <c r="C715" s="50" t="s">
        <v>398</v>
      </c>
      <c r="D715" s="50" t="s">
        <v>465</v>
      </c>
      <c r="E715" s="50" t="s">
        <v>398</v>
      </c>
      <c r="F715" s="50" t="s">
        <v>988</v>
      </c>
      <c r="G715" s="99">
        <v>1</v>
      </c>
      <c r="H715" s="50" t="s">
        <v>3276</v>
      </c>
      <c r="I715" s="178" t="s">
        <v>3277</v>
      </c>
      <c r="J715" s="50" t="s">
        <v>1629</v>
      </c>
      <c r="K715" s="50" t="s">
        <v>1629</v>
      </c>
      <c r="L715" s="50"/>
      <c r="M715" s="50"/>
      <c r="N715" s="50"/>
      <c r="O715" s="50"/>
      <c r="P715" s="50"/>
      <c r="Q715" s="50"/>
      <c r="R715" s="50"/>
      <c r="S715" s="50"/>
      <c r="T715" s="50"/>
      <c r="U715" s="50"/>
      <c r="V715" s="50"/>
      <c r="W715" s="50" t="s">
        <v>1629</v>
      </c>
      <c r="X715" s="50"/>
      <c r="Y715" s="50"/>
      <c r="Z715" s="50"/>
      <c r="AA715" s="50" t="s">
        <v>3278</v>
      </c>
      <c r="AB715" s="50" t="s">
        <v>3279</v>
      </c>
      <c r="AC715" s="50" t="s">
        <v>3280</v>
      </c>
      <c r="AD715" s="99">
        <v>293</v>
      </c>
      <c r="AE715" s="174">
        <v>147</v>
      </c>
      <c r="AF715" s="174" t="s">
        <v>2826</v>
      </c>
      <c r="AG715" s="50"/>
      <c r="AH715" s="50" t="s">
        <v>2857</v>
      </c>
      <c r="AI715" s="175">
        <v>104</v>
      </c>
      <c r="AJ715" s="178" t="s">
        <v>989</v>
      </c>
      <c r="AK715" s="29"/>
      <c r="AL715" s="29"/>
      <c r="AM715" s="29"/>
      <c r="AN715" s="29"/>
      <c r="AO715" s="29"/>
      <c r="AP715" s="29"/>
      <c r="AQ715" s="29"/>
      <c r="AR715" s="29"/>
      <c r="AS715" s="29"/>
      <c r="AT715" s="29"/>
      <c r="AU715" s="29"/>
      <c r="AV715" s="29"/>
      <c r="AW715" s="29"/>
    </row>
    <row r="716" spans="1:49" ht="13">
      <c r="A716" s="176">
        <v>2024</v>
      </c>
      <c r="B716" s="12" t="s">
        <v>64</v>
      </c>
      <c r="C716" s="50" t="s">
        <v>455</v>
      </c>
      <c r="D716" s="50" t="s">
        <v>349</v>
      </c>
      <c r="E716" s="50" t="s">
        <v>455</v>
      </c>
      <c r="F716" s="50" t="s">
        <v>993</v>
      </c>
      <c r="G716" s="99">
        <v>1</v>
      </c>
      <c r="H716" s="50" t="s">
        <v>3281</v>
      </c>
      <c r="I716" s="179" t="s">
        <v>3282</v>
      </c>
      <c r="J716" s="50" t="s">
        <v>1629</v>
      </c>
      <c r="K716" s="50" t="s">
        <v>1629</v>
      </c>
      <c r="L716" s="50"/>
      <c r="M716" s="50"/>
      <c r="N716" s="50"/>
      <c r="O716" s="50"/>
      <c r="P716" s="50"/>
      <c r="Q716" s="50"/>
      <c r="R716" s="50"/>
      <c r="S716" s="50"/>
      <c r="T716" s="50"/>
      <c r="U716" s="50"/>
      <c r="V716" s="50"/>
      <c r="W716" s="50" t="s">
        <v>1635</v>
      </c>
      <c r="X716" s="50"/>
      <c r="Y716" s="50"/>
      <c r="Z716" s="50"/>
      <c r="AA716" s="50" t="s">
        <v>3283</v>
      </c>
      <c r="AB716" s="50" t="s">
        <v>3279</v>
      </c>
      <c r="AC716" s="50" t="s">
        <v>3284</v>
      </c>
      <c r="AD716" s="95">
        <v>294</v>
      </c>
      <c r="AE716" s="174">
        <v>148</v>
      </c>
      <c r="AF716" s="174" t="s">
        <v>2826</v>
      </c>
      <c r="AG716" s="50"/>
      <c r="AH716" s="50" t="s">
        <v>2857</v>
      </c>
      <c r="AI716" s="175">
        <v>105</v>
      </c>
      <c r="AJ716" s="179" t="s">
        <v>994</v>
      </c>
      <c r="AK716" s="14"/>
      <c r="AL716" s="14"/>
      <c r="AM716" s="14"/>
      <c r="AN716" s="14"/>
      <c r="AO716" s="14"/>
      <c r="AP716" s="14"/>
      <c r="AQ716" s="14"/>
      <c r="AR716" s="14"/>
      <c r="AS716" s="14"/>
      <c r="AT716" s="14"/>
      <c r="AU716" s="14"/>
      <c r="AV716" s="14"/>
      <c r="AW716" s="14"/>
    </row>
    <row r="717" spans="1:49" ht="13">
      <c r="A717" s="176">
        <v>2024</v>
      </c>
      <c r="B717" s="12" t="s">
        <v>64</v>
      </c>
      <c r="C717" s="50" t="s">
        <v>455</v>
      </c>
      <c r="D717" s="50" t="s">
        <v>465</v>
      </c>
      <c r="E717" s="50" t="s">
        <v>455</v>
      </c>
      <c r="F717" s="50" t="s">
        <v>3285</v>
      </c>
      <c r="G717" s="177">
        <v>0</v>
      </c>
      <c r="H717" s="50" t="s">
        <v>3286</v>
      </c>
      <c r="I717" s="178" t="s">
        <v>3287</v>
      </c>
      <c r="J717" s="50" t="s">
        <v>1629</v>
      </c>
      <c r="K717" s="50" t="s">
        <v>1629</v>
      </c>
      <c r="L717" s="50"/>
      <c r="M717" s="50"/>
      <c r="N717" s="50"/>
      <c r="O717" s="50"/>
      <c r="P717" s="50"/>
      <c r="Q717" s="50"/>
      <c r="R717" s="50"/>
      <c r="S717" s="50"/>
      <c r="T717" s="50"/>
      <c r="U717" s="50"/>
      <c r="V717" s="50"/>
      <c r="W717" s="50" t="s">
        <v>1635</v>
      </c>
      <c r="X717" s="50"/>
      <c r="Y717" s="50"/>
      <c r="Z717" s="50"/>
      <c r="AA717" s="50" t="s">
        <v>3288</v>
      </c>
      <c r="AB717" s="50" t="s">
        <v>3279</v>
      </c>
      <c r="AC717" s="50" t="s">
        <v>3289</v>
      </c>
      <c r="AD717" s="99">
        <v>295</v>
      </c>
      <c r="AE717" s="174">
        <v>126</v>
      </c>
      <c r="AF717" s="174" t="s">
        <v>2826</v>
      </c>
      <c r="AG717" s="50"/>
      <c r="AH717" s="50" t="s">
        <v>2819</v>
      </c>
      <c r="AI717" s="175">
        <v>106</v>
      </c>
      <c r="AJ717" s="178" t="s">
        <v>935</v>
      </c>
      <c r="AK717" s="29"/>
      <c r="AL717" s="29"/>
      <c r="AM717" s="29"/>
      <c r="AN717" s="29"/>
      <c r="AO717" s="29"/>
      <c r="AP717" s="29"/>
      <c r="AQ717" s="29"/>
      <c r="AR717" s="29"/>
      <c r="AS717" s="29"/>
      <c r="AT717" s="29"/>
      <c r="AU717" s="29"/>
      <c r="AV717" s="29"/>
      <c r="AW717" s="29"/>
    </row>
    <row r="718" spans="1:49" ht="13">
      <c r="A718" s="176">
        <v>2022</v>
      </c>
      <c r="B718" s="53" t="s">
        <v>58</v>
      </c>
      <c r="C718" s="50" t="s">
        <v>349</v>
      </c>
      <c r="D718" s="50" t="s">
        <v>465</v>
      </c>
      <c r="E718" s="50" t="s">
        <v>349</v>
      </c>
      <c r="F718" s="50" t="s">
        <v>3290</v>
      </c>
      <c r="G718" s="177">
        <v>0</v>
      </c>
      <c r="H718" s="50" t="s">
        <v>3291</v>
      </c>
      <c r="I718" s="179" t="s">
        <v>3292</v>
      </c>
      <c r="J718" s="50" t="s">
        <v>1635</v>
      </c>
      <c r="K718" s="50" t="s">
        <v>1629</v>
      </c>
      <c r="L718" s="50"/>
      <c r="M718" s="50"/>
      <c r="N718" s="50"/>
      <c r="O718" s="50"/>
      <c r="P718" s="50"/>
      <c r="Q718" s="50"/>
      <c r="R718" s="50"/>
      <c r="S718" s="50"/>
      <c r="T718" s="50"/>
      <c r="U718" s="50"/>
      <c r="V718" s="50"/>
      <c r="W718" s="50" t="s">
        <v>1629</v>
      </c>
      <c r="X718" s="50"/>
      <c r="Y718" s="50"/>
      <c r="Z718" s="50"/>
      <c r="AA718" s="50" t="s">
        <v>3293</v>
      </c>
      <c r="AB718" s="50" t="s">
        <v>2883</v>
      </c>
      <c r="AC718" s="50" t="s">
        <v>3294</v>
      </c>
      <c r="AD718" s="95">
        <v>296</v>
      </c>
      <c r="AE718" s="174">
        <v>129</v>
      </c>
      <c r="AF718" s="174" t="s">
        <v>2826</v>
      </c>
      <c r="AG718" s="50"/>
      <c r="AH718" s="50" t="s">
        <v>2857</v>
      </c>
      <c r="AI718" s="175">
        <v>107</v>
      </c>
      <c r="AJ718" s="179" t="s">
        <v>942</v>
      </c>
      <c r="AK718" s="14"/>
      <c r="AL718" s="14"/>
      <c r="AM718" s="14"/>
      <c r="AN718" s="14"/>
      <c r="AO718" s="14"/>
      <c r="AP718" s="14"/>
      <c r="AQ718" s="14"/>
      <c r="AR718" s="14"/>
      <c r="AS718" s="14"/>
      <c r="AT718" s="14"/>
      <c r="AU718" s="14"/>
      <c r="AV718" s="14"/>
      <c r="AW718" s="14"/>
    </row>
    <row r="719" spans="1:49" ht="13">
      <c r="A719" s="176">
        <v>2019</v>
      </c>
      <c r="B719" s="53" t="s">
        <v>58</v>
      </c>
      <c r="C719" s="50" t="s">
        <v>367</v>
      </c>
      <c r="D719" s="50" t="s">
        <v>367</v>
      </c>
      <c r="E719" s="50" t="s">
        <v>367</v>
      </c>
      <c r="F719" s="50" t="s">
        <v>996</v>
      </c>
      <c r="G719" s="99">
        <v>1</v>
      </c>
      <c r="H719" s="50" t="s">
        <v>3295</v>
      </c>
      <c r="I719" s="178" t="s">
        <v>3296</v>
      </c>
      <c r="J719" s="50" t="s">
        <v>1629</v>
      </c>
      <c r="K719" s="50" t="s">
        <v>1629</v>
      </c>
      <c r="L719" s="50"/>
      <c r="M719" s="50"/>
      <c r="N719" s="50"/>
      <c r="O719" s="50"/>
      <c r="P719" s="50"/>
      <c r="Q719" s="50"/>
      <c r="R719" s="50"/>
      <c r="S719" s="50"/>
      <c r="T719" s="50"/>
      <c r="U719" s="50"/>
      <c r="V719" s="50"/>
      <c r="W719" s="50" t="s">
        <v>1629</v>
      </c>
      <c r="X719" s="50"/>
      <c r="Y719" s="50"/>
      <c r="Z719" s="50"/>
      <c r="AA719" s="50" t="s">
        <v>3297</v>
      </c>
      <c r="AB719" s="50" t="s">
        <v>2883</v>
      </c>
      <c r="AC719" s="50" t="s">
        <v>3298</v>
      </c>
      <c r="AD719" s="99">
        <v>297</v>
      </c>
      <c r="AE719" s="174">
        <v>149</v>
      </c>
      <c r="AF719" s="174">
        <v>201</v>
      </c>
      <c r="AG719" s="50"/>
      <c r="AH719" s="50" t="s">
        <v>2819</v>
      </c>
      <c r="AI719" s="175">
        <v>108</v>
      </c>
      <c r="AJ719" s="178" t="s">
        <v>997</v>
      </c>
      <c r="AK719" s="29"/>
      <c r="AL719" s="29"/>
      <c r="AM719" s="29"/>
      <c r="AN719" s="29"/>
      <c r="AO719" s="29"/>
      <c r="AP719" s="29"/>
      <c r="AQ719" s="29"/>
      <c r="AR719" s="29"/>
      <c r="AS719" s="29"/>
      <c r="AT719" s="29"/>
      <c r="AU719" s="29"/>
      <c r="AV719" s="29"/>
      <c r="AW719" s="29"/>
    </row>
    <row r="720" spans="1:49" ht="13">
      <c r="A720" s="176">
        <v>2023</v>
      </c>
      <c r="B720" s="53" t="s">
        <v>58</v>
      </c>
      <c r="C720" s="50" t="s">
        <v>349</v>
      </c>
      <c r="D720" s="50" t="s">
        <v>400</v>
      </c>
      <c r="E720" s="50" t="s">
        <v>349</v>
      </c>
      <c r="F720" s="50" t="s">
        <v>3290</v>
      </c>
      <c r="G720" s="177">
        <v>0</v>
      </c>
      <c r="H720" s="50" t="s">
        <v>3299</v>
      </c>
      <c r="I720" s="179" t="s">
        <v>3300</v>
      </c>
      <c r="J720" s="50" t="s">
        <v>1629</v>
      </c>
      <c r="K720" s="50" t="s">
        <v>1629</v>
      </c>
      <c r="L720" s="50"/>
      <c r="M720" s="50"/>
      <c r="N720" s="50"/>
      <c r="O720" s="50"/>
      <c r="P720" s="50"/>
      <c r="Q720" s="50"/>
      <c r="R720" s="50"/>
      <c r="S720" s="50"/>
      <c r="T720" s="50"/>
      <c r="U720" s="50"/>
      <c r="V720" s="50"/>
      <c r="W720" s="50" t="s">
        <v>2829</v>
      </c>
      <c r="X720" s="50"/>
      <c r="Y720" s="50"/>
      <c r="Z720" s="50"/>
      <c r="AA720" s="50" t="s">
        <v>3301</v>
      </c>
      <c r="AB720" s="50" t="s">
        <v>2883</v>
      </c>
      <c r="AC720" s="50" t="s">
        <v>3302</v>
      </c>
      <c r="AD720" s="95">
        <v>298</v>
      </c>
      <c r="AE720" s="174">
        <v>129</v>
      </c>
      <c r="AF720" s="174">
        <v>235</v>
      </c>
      <c r="AG720" s="50"/>
      <c r="AH720" s="50" t="s">
        <v>2857</v>
      </c>
      <c r="AI720" s="175">
        <v>109</v>
      </c>
      <c r="AJ720" s="179" t="s">
        <v>942</v>
      </c>
      <c r="AK720" s="14"/>
      <c r="AL720" s="14"/>
      <c r="AM720" s="14"/>
      <c r="AN720" s="14"/>
      <c r="AO720" s="14"/>
      <c r="AP720" s="14"/>
      <c r="AQ720" s="14"/>
      <c r="AR720" s="14"/>
      <c r="AS720" s="14"/>
      <c r="AT720" s="14"/>
      <c r="AU720" s="14"/>
      <c r="AV720" s="14"/>
      <c r="AW720" s="14"/>
    </row>
    <row r="721" spans="1:49" ht="13">
      <c r="A721" s="176">
        <v>2024</v>
      </c>
      <c r="B721" s="53" t="s">
        <v>58</v>
      </c>
      <c r="C721" s="50" t="s">
        <v>95</v>
      </c>
      <c r="D721" s="50" t="s">
        <v>404</v>
      </c>
      <c r="E721" s="50" t="s">
        <v>95</v>
      </c>
      <c r="F721" s="50" t="s">
        <v>3303</v>
      </c>
      <c r="G721" s="177">
        <v>0</v>
      </c>
      <c r="H721" s="180" t="s">
        <v>3304</v>
      </c>
      <c r="I721" s="178" t="s">
        <v>3305</v>
      </c>
      <c r="J721" s="50" t="s">
        <v>1629</v>
      </c>
      <c r="K721" s="50" t="s">
        <v>1635</v>
      </c>
      <c r="L721" s="50"/>
      <c r="M721" s="50"/>
      <c r="N721" s="50"/>
      <c r="O721" s="50"/>
      <c r="P721" s="50"/>
      <c r="Q721" s="50"/>
      <c r="R721" s="50"/>
      <c r="S721" s="50"/>
      <c r="T721" s="50"/>
      <c r="U721" s="50"/>
      <c r="V721" s="50"/>
      <c r="W721" s="50" t="s">
        <v>1635</v>
      </c>
      <c r="X721" s="50"/>
      <c r="Y721" s="50"/>
      <c r="Z721" s="50"/>
      <c r="AA721" s="50" t="s">
        <v>3306</v>
      </c>
      <c r="AB721" s="50" t="s">
        <v>3160</v>
      </c>
      <c r="AC721" s="50" t="s">
        <v>3307</v>
      </c>
      <c r="AD721" s="99">
        <v>299</v>
      </c>
      <c r="AE721" s="174" t="s">
        <v>2826</v>
      </c>
      <c r="AF721" s="174">
        <v>238</v>
      </c>
      <c r="AG721" s="50"/>
      <c r="AH721" s="50" t="s">
        <v>2819</v>
      </c>
      <c r="AI721" s="175">
        <v>110</v>
      </c>
      <c r="AJ721" s="181" t="s">
        <v>462</v>
      </c>
      <c r="AK721" s="29"/>
      <c r="AL721" s="29"/>
      <c r="AM721" s="29"/>
      <c r="AN721" s="29"/>
      <c r="AO721" s="29"/>
      <c r="AP721" s="29"/>
      <c r="AQ721" s="29"/>
      <c r="AR721" s="29"/>
      <c r="AS721" s="29"/>
      <c r="AT721" s="29"/>
      <c r="AU721" s="29"/>
      <c r="AV721" s="29"/>
      <c r="AW721" s="29"/>
    </row>
    <row r="722" spans="1:49" ht="13">
      <c r="A722" s="176">
        <v>2023</v>
      </c>
      <c r="B722" s="53" t="s">
        <v>58</v>
      </c>
      <c r="C722" s="50" t="s">
        <v>404</v>
      </c>
      <c r="D722" s="50" t="s">
        <v>404</v>
      </c>
      <c r="E722" s="50" t="s">
        <v>404</v>
      </c>
      <c r="F722" s="50" t="s">
        <v>1000</v>
      </c>
      <c r="G722" s="99">
        <v>1</v>
      </c>
      <c r="H722" s="50" t="s">
        <v>3308</v>
      </c>
      <c r="I722" s="179" t="s">
        <v>3309</v>
      </c>
      <c r="J722" s="50" t="s">
        <v>1629</v>
      </c>
      <c r="K722" s="189" t="s">
        <v>2829</v>
      </c>
      <c r="L722" s="190"/>
      <c r="M722" s="190"/>
      <c r="N722" s="50"/>
      <c r="O722" s="50"/>
      <c r="P722" s="50"/>
      <c r="Q722" s="50"/>
      <c r="R722" s="50"/>
      <c r="S722" s="50"/>
      <c r="T722" s="50"/>
      <c r="U722" s="50"/>
      <c r="V722" s="50"/>
      <c r="W722" s="50" t="s">
        <v>1635</v>
      </c>
      <c r="X722" s="50"/>
      <c r="Y722" s="50"/>
      <c r="Z722" s="50"/>
      <c r="AA722" s="50" t="s">
        <v>3310</v>
      </c>
      <c r="AB722" s="50" t="s">
        <v>3160</v>
      </c>
      <c r="AC722" s="50" t="s">
        <v>3311</v>
      </c>
      <c r="AD722" s="95">
        <v>300</v>
      </c>
      <c r="AE722" s="174">
        <v>150</v>
      </c>
      <c r="AF722" s="174">
        <v>238</v>
      </c>
      <c r="AG722" s="50"/>
      <c r="AH722" s="50" t="s">
        <v>2837</v>
      </c>
      <c r="AI722" s="175">
        <v>111</v>
      </c>
      <c r="AJ722" s="179" t="s">
        <v>1001</v>
      </c>
      <c r="AK722" s="14"/>
      <c r="AL722" s="14"/>
      <c r="AM722" s="14"/>
      <c r="AN722" s="14"/>
      <c r="AO722" s="14"/>
      <c r="AP722" s="14"/>
      <c r="AQ722" s="14"/>
      <c r="AR722" s="14"/>
      <c r="AS722" s="14"/>
      <c r="AT722" s="14"/>
      <c r="AU722" s="14"/>
      <c r="AV722" s="14"/>
      <c r="AW722" s="14"/>
    </row>
    <row r="723" spans="1:49" ht="13">
      <c r="A723" s="176">
        <v>2024</v>
      </c>
      <c r="B723" s="53" t="s">
        <v>58</v>
      </c>
      <c r="C723" s="50" t="s">
        <v>404</v>
      </c>
      <c r="D723" s="50" t="s">
        <v>404</v>
      </c>
      <c r="E723" s="50" t="s">
        <v>404</v>
      </c>
      <c r="F723" s="50" t="s">
        <v>3312</v>
      </c>
      <c r="G723" s="177">
        <v>0</v>
      </c>
      <c r="H723" s="50" t="s">
        <v>3313</v>
      </c>
      <c r="I723" s="178" t="s">
        <v>3314</v>
      </c>
      <c r="J723" s="50" t="s">
        <v>1629</v>
      </c>
      <c r="K723" s="50" t="s">
        <v>1635</v>
      </c>
      <c r="L723" s="50"/>
      <c r="M723" s="50"/>
      <c r="N723" s="50"/>
      <c r="O723" s="50"/>
      <c r="P723" s="50"/>
      <c r="Q723" s="50"/>
      <c r="R723" s="50"/>
      <c r="S723" s="50"/>
      <c r="T723" s="50"/>
      <c r="U723" s="50"/>
      <c r="V723" s="50"/>
      <c r="W723" s="50" t="s">
        <v>1635</v>
      </c>
      <c r="X723" s="50"/>
      <c r="Y723" s="50"/>
      <c r="Z723" s="50"/>
      <c r="AA723" s="50" t="s">
        <v>3315</v>
      </c>
      <c r="AB723" s="50" t="s">
        <v>3160</v>
      </c>
      <c r="AC723" s="50" t="s">
        <v>3316</v>
      </c>
      <c r="AD723" s="99">
        <v>301</v>
      </c>
      <c r="AE723" s="174">
        <v>87</v>
      </c>
      <c r="AF723" s="174">
        <v>238</v>
      </c>
      <c r="AG723" s="50"/>
      <c r="AH723" s="50" t="s">
        <v>2819</v>
      </c>
      <c r="AI723" s="175">
        <v>112</v>
      </c>
      <c r="AJ723" s="178" t="s">
        <v>797</v>
      </c>
      <c r="AK723" s="29"/>
      <c r="AL723" s="29"/>
      <c r="AM723" s="29"/>
      <c r="AN723" s="29"/>
      <c r="AO723" s="29"/>
      <c r="AP723" s="29"/>
      <c r="AQ723" s="29"/>
      <c r="AR723" s="29"/>
      <c r="AS723" s="29"/>
      <c r="AT723" s="29"/>
      <c r="AU723" s="29"/>
      <c r="AV723" s="29"/>
      <c r="AW723" s="29"/>
    </row>
    <row r="724" spans="1:49" ht="13">
      <c r="A724" s="176">
        <v>2024</v>
      </c>
      <c r="B724" s="53" t="s">
        <v>58</v>
      </c>
      <c r="C724" s="50" t="s">
        <v>404</v>
      </c>
      <c r="D724" s="50" t="s">
        <v>404</v>
      </c>
      <c r="E724" s="50" t="s">
        <v>404</v>
      </c>
      <c r="F724" s="50" t="s">
        <v>3317</v>
      </c>
      <c r="G724" s="177">
        <v>0</v>
      </c>
      <c r="H724" s="50" t="s">
        <v>3318</v>
      </c>
      <c r="I724" s="179" t="s">
        <v>3319</v>
      </c>
      <c r="J724" s="50" t="s">
        <v>1629</v>
      </c>
      <c r="K724" s="189" t="s">
        <v>2829</v>
      </c>
      <c r="L724" s="190"/>
      <c r="M724" s="190"/>
      <c r="N724" s="50"/>
      <c r="O724" s="50"/>
      <c r="P724" s="50"/>
      <c r="Q724" s="50"/>
      <c r="R724" s="50"/>
      <c r="S724" s="50"/>
      <c r="T724" s="50"/>
      <c r="U724" s="50"/>
      <c r="V724" s="50"/>
      <c r="W724" s="50" t="s">
        <v>1635</v>
      </c>
      <c r="X724" s="50"/>
      <c r="Y724" s="50"/>
      <c r="Z724" s="50"/>
      <c r="AA724" s="50" t="s">
        <v>3320</v>
      </c>
      <c r="AB724" s="50" t="s">
        <v>3160</v>
      </c>
      <c r="AC724" s="50" t="s">
        <v>3321</v>
      </c>
      <c r="AD724" s="95">
        <v>302</v>
      </c>
      <c r="AE724" s="174">
        <v>87</v>
      </c>
      <c r="AF724" s="174">
        <v>238</v>
      </c>
      <c r="AG724" s="50"/>
      <c r="AH724" s="50" t="s">
        <v>2837</v>
      </c>
      <c r="AI724" s="175">
        <v>113</v>
      </c>
      <c r="AJ724" s="179" t="s">
        <v>797</v>
      </c>
      <c r="AK724" s="14"/>
      <c r="AL724" s="14"/>
      <c r="AM724" s="14"/>
      <c r="AN724" s="14"/>
      <c r="AO724" s="14"/>
      <c r="AP724" s="14"/>
      <c r="AQ724" s="14"/>
      <c r="AR724" s="14"/>
      <c r="AS724" s="14"/>
      <c r="AT724" s="14"/>
      <c r="AU724" s="14"/>
      <c r="AV724" s="14"/>
      <c r="AW724" s="14"/>
    </row>
    <row r="725" spans="1:49" ht="13">
      <c r="A725" s="176">
        <v>2024</v>
      </c>
      <c r="B725" s="12" t="s">
        <v>64</v>
      </c>
      <c r="C725" s="50" t="s">
        <v>455</v>
      </c>
      <c r="D725" s="50" t="s">
        <v>404</v>
      </c>
      <c r="E725" s="50" t="s">
        <v>455</v>
      </c>
      <c r="F725" s="50" t="s">
        <v>1002</v>
      </c>
      <c r="G725" s="99">
        <v>1</v>
      </c>
      <c r="H725" s="50" t="s">
        <v>3322</v>
      </c>
      <c r="I725" s="178" t="s">
        <v>3323</v>
      </c>
      <c r="J725" s="50" t="s">
        <v>1629</v>
      </c>
      <c r="K725" s="50" t="s">
        <v>1629</v>
      </c>
      <c r="L725" s="50"/>
      <c r="M725" s="50"/>
      <c r="N725" s="50"/>
      <c r="O725" s="50"/>
      <c r="P725" s="50"/>
      <c r="Q725" s="50"/>
      <c r="R725" s="50"/>
      <c r="S725" s="50"/>
      <c r="T725" s="50"/>
      <c r="U725" s="50"/>
      <c r="V725" s="50"/>
      <c r="W725" s="50" t="s">
        <v>1635</v>
      </c>
      <c r="X725" s="50"/>
      <c r="Y725" s="50"/>
      <c r="Z725" s="50"/>
      <c r="AA725" s="50" t="s">
        <v>3324</v>
      </c>
      <c r="AB725" s="50" t="s">
        <v>3160</v>
      </c>
      <c r="AC725" s="50" t="s">
        <v>3325</v>
      </c>
      <c r="AD725" s="99">
        <v>303</v>
      </c>
      <c r="AE725" s="174">
        <v>151</v>
      </c>
      <c r="AF725" s="174" t="s">
        <v>2826</v>
      </c>
      <c r="AG725" s="50"/>
      <c r="AH725" s="50" t="s">
        <v>2819</v>
      </c>
      <c r="AI725" s="175">
        <v>114</v>
      </c>
      <c r="AJ725" s="178" t="s">
        <v>1003</v>
      </c>
      <c r="AK725" s="29"/>
      <c r="AL725" s="29"/>
      <c r="AM725" s="29"/>
      <c r="AN725" s="29"/>
      <c r="AO725" s="29"/>
      <c r="AP725" s="29"/>
      <c r="AQ725" s="29"/>
      <c r="AR725" s="29"/>
      <c r="AS725" s="29"/>
      <c r="AT725" s="29"/>
      <c r="AU725" s="29"/>
      <c r="AV725" s="29"/>
      <c r="AW725" s="29"/>
    </row>
    <row r="726" spans="1:49" ht="13">
      <c r="A726" s="176">
        <v>2016</v>
      </c>
      <c r="B726" s="53" t="s">
        <v>58</v>
      </c>
      <c r="C726" s="50" t="s">
        <v>380</v>
      </c>
      <c r="D726" s="50" t="s">
        <v>380</v>
      </c>
      <c r="E726" s="50" t="s">
        <v>380</v>
      </c>
      <c r="F726" s="50" t="s">
        <v>3326</v>
      </c>
      <c r="G726" s="177">
        <v>0</v>
      </c>
      <c r="H726" s="50" t="s">
        <v>3327</v>
      </c>
      <c r="I726" s="179" t="s">
        <v>3328</v>
      </c>
      <c r="J726" s="50" t="s">
        <v>1629</v>
      </c>
      <c r="K726" s="50" t="s">
        <v>1629</v>
      </c>
      <c r="L726" s="50"/>
      <c r="M726" s="50"/>
      <c r="N726" s="50"/>
      <c r="O726" s="50"/>
      <c r="P726" s="50"/>
      <c r="Q726" s="50"/>
      <c r="R726" s="50"/>
      <c r="S726" s="50"/>
      <c r="T726" s="50"/>
      <c r="U726" s="50"/>
      <c r="V726" s="50"/>
      <c r="W726" s="50" t="s">
        <v>1635</v>
      </c>
      <c r="X726" s="50"/>
      <c r="Y726" s="50"/>
      <c r="Z726" s="50"/>
      <c r="AA726" s="50" t="s">
        <v>3329</v>
      </c>
      <c r="AB726" s="50" t="s">
        <v>2841</v>
      </c>
      <c r="AC726" s="50" t="s">
        <v>3330</v>
      </c>
      <c r="AD726" s="95">
        <v>304</v>
      </c>
      <c r="AE726" s="174">
        <v>152</v>
      </c>
      <c r="AF726" s="174">
        <v>216</v>
      </c>
      <c r="AG726" s="50"/>
      <c r="AH726" s="50" t="s">
        <v>2819</v>
      </c>
      <c r="AI726" s="175">
        <v>115</v>
      </c>
      <c r="AJ726" s="179" t="s">
        <v>1005</v>
      </c>
      <c r="AK726" s="14"/>
      <c r="AL726" s="14"/>
      <c r="AM726" s="14"/>
      <c r="AN726" s="14"/>
      <c r="AO726" s="14"/>
      <c r="AP726" s="14"/>
      <c r="AQ726" s="14"/>
      <c r="AR726" s="14"/>
      <c r="AS726" s="14"/>
      <c r="AT726" s="14"/>
      <c r="AU726" s="14"/>
      <c r="AV726" s="14"/>
      <c r="AW726" s="14"/>
    </row>
    <row r="727" spans="1:49" ht="13">
      <c r="A727" s="176">
        <v>2013</v>
      </c>
      <c r="B727" s="53" t="s">
        <v>58</v>
      </c>
      <c r="C727" s="50" t="s">
        <v>383</v>
      </c>
      <c r="D727" s="50" t="s">
        <v>383</v>
      </c>
      <c r="E727" s="50" t="s">
        <v>383</v>
      </c>
      <c r="F727" s="50" t="s">
        <v>3331</v>
      </c>
      <c r="G727" s="177">
        <v>0</v>
      </c>
      <c r="H727" s="50" t="s">
        <v>3332</v>
      </c>
      <c r="I727" s="178" t="s">
        <v>3333</v>
      </c>
      <c r="J727" s="50" t="s">
        <v>1629</v>
      </c>
      <c r="K727" s="50" t="s">
        <v>1629</v>
      </c>
      <c r="L727" s="50"/>
      <c r="M727" s="50"/>
      <c r="N727" s="50"/>
      <c r="O727" s="50"/>
      <c r="P727" s="50"/>
      <c r="Q727" s="50"/>
      <c r="R727" s="50"/>
      <c r="S727" s="50"/>
      <c r="T727" s="50"/>
      <c r="U727" s="50"/>
      <c r="V727" s="50"/>
      <c r="W727" s="50" t="s">
        <v>1635</v>
      </c>
      <c r="X727" s="50"/>
      <c r="Y727" s="50"/>
      <c r="Z727" s="50"/>
      <c r="AA727" s="50" t="s">
        <v>3334</v>
      </c>
      <c r="AB727" s="50" t="s">
        <v>2841</v>
      </c>
      <c r="AC727" s="50" t="s">
        <v>3335</v>
      </c>
      <c r="AD727" s="99">
        <v>305</v>
      </c>
      <c r="AE727" s="174">
        <v>152</v>
      </c>
      <c r="AF727" s="174">
        <v>218</v>
      </c>
      <c r="AG727" s="50"/>
      <c r="AH727" s="50" t="s">
        <v>2819</v>
      </c>
      <c r="AI727" s="175">
        <v>116</v>
      </c>
      <c r="AJ727" s="178" t="s">
        <v>1005</v>
      </c>
      <c r="AK727" s="29"/>
      <c r="AL727" s="29"/>
      <c r="AM727" s="29"/>
      <c r="AN727" s="29"/>
      <c r="AO727" s="29"/>
      <c r="AP727" s="29"/>
      <c r="AQ727" s="29"/>
      <c r="AR727" s="29"/>
      <c r="AS727" s="29"/>
      <c r="AT727" s="29"/>
      <c r="AU727" s="29"/>
      <c r="AV727" s="29"/>
      <c r="AW727" s="29"/>
    </row>
    <row r="728" spans="1:49" ht="13">
      <c r="A728" s="176">
        <v>2012</v>
      </c>
      <c r="B728" s="53" t="s">
        <v>58</v>
      </c>
      <c r="C728" s="50" t="s">
        <v>383</v>
      </c>
      <c r="D728" s="50" t="s">
        <v>383</v>
      </c>
      <c r="E728" s="50" t="s">
        <v>383</v>
      </c>
      <c r="F728" s="50" t="s">
        <v>3336</v>
      </c>
      <c r="G728" s="177">
        <v>0</v>
      </c>
      <c r="H728" s="50" t="s">
        <v>3337</v>
      </c>
      <c r="I728" s="179" t="s">
        <v>3338</v>
      </c>
      <c r="J728" s="50" t="s">
        <v>1629</v>
      </c>
      <c r="K728" s="50" t="s">
        <v>1629</v>
      </c>
      <c r="L728" s="50"/>
      <c r="M728" s="50"/>
      <c r="N728" s="50"/>
      <c r="O728" s="50"/>
      <c r="P728" s="50"/>
      <c r="Q728" s="50"/>
      <c r="R728" s="50"/>
      <c r="S728" s="50"/>
      <c r="T728" s="50"/>
      <c r="U728" s="50"/>
      <c r="V728" s="50"/>
      <c r="W728" s="50" t="s">
        <v>1635</v>
      </c>
      <c r="X728" s="50"/>
      <c r="Y728" s="50"/>
      <c r="Z728" s="50"/>
      <c r="AA728" s="50" t="s">
        <v>3339</v>
      </c>
      <c r="AB728" s="50" t="s">
        <v>2841</v>
      </c>
      <c r="AC728" s="50" t="s">
        <v>3340</v>
      </c>
      <c r="AD728" s="95">
        <v>306</v>
      </c>
      <c r="AE728" s="174">
        <v>152</v>
      </c>
      <c r="AF728" s="174">
        <v>218</v>
      </c>
      <c r="AG728" s="50"/>
      <c r="AH728" s="50" t="s">
        <v>2819</v>
      </c>
      <c r="AI728" s="175">
        <v>117</v>
      </c>
      <c r="AJ728" s="179" t="s">
        <v>1005</v>
      </c>
      <c r="AK728" s="14"/>
      <c r="AL728" s="14"/>
      <c r="AM728" s="14"/>
      <c r="AN728" s="14"/>
      <c r="AO728" s="14"/>
      <c r="AP728" s="14"/>
      <c r="AQ728" s="14"/>
      <c r="AR728" s="14"/>
      <c r="AS728" s="14"/>
      <c r="AT728" s="14"/>
      <c r="AU728" s="14"/>
      <c r="AV728" s="14"/>
      <c r="AW728" s="14"/>
    </row>
    <row r="729" spans="1:49" ht="13">
      <c r="A729" s="176">
        <v>2015</v>
      </c>
      <c r="B729" s="53" t="s">
        <v>58</v>
      </c>
      <c r="C729" s="50" t="s">
        <v>395</v>
      </c>
      <c r="D729" s="50" t="s">
        <v>383</v>
      </c>
      <c r="E729" s="50" t="s">
        <v>395</v>
      </c>
      <c r="F729" s="50" t="s">
        <v>3341</v>
      </c>
      <c r="G729" s="177">
        <v>0</v>
      </c>
      <c r="H729" s="50" t="s">
        <v>3342</v>
      </c>
      <c r="I729" s="178" t="s">
        <v>3343</v>
      </c>
      <c r="J729" s="50" t="s">
        <v>1629</v>
      </c>
      <c r="K729" s="50" t="s">
        <v>1629</v>
      </c>
      <c r="L729" s="50"/>
      <c r="M729" s="50"/>
      <c r="N729" s="50"/>
      <c r="O729" s="50"/>
      <c r="P729" s="50"/>
      <c r="Q729" s="50"/>
      <c r="R729" s="50"/>
      <c r="S729" s="50"/>
      <c r="T729" s="50"/>
      <c r="U729" s="50"/>
      <c r="V729" s="50"/>
      <c r="W729" s="50" t="s">
        <v>1635</v>
      </c>
      <c r="X729" s="50"/>
      <c r="Y729" s="50"/>
      <c r="Z729" s="50"/>
      <c r="AA729" s="50" t="s">
        <v>3344</v>
      </c>
      <c r="AB729" s="50" t="s">
        <v>2841</v>
      </c>
      <c r="AC729" s="50" t="s">
        <v>3345</v>
      </c>
      <c r="AD729" s="99">
        <v>307</v>
      </c>
      <c r="AE729" s="174" t="s">
        <v>2826</v>
      </c>
      <c r="AF729" s="174">
        <v>218</v>
      </c>
      <c r="AG729" s="50"/>
      <c r="AH729" s="50" t="s">
        <v>2819</v>
      </c>
      <c r="AI729" s="175">
        <v>118</v>
      </c>
      <c r="AJ729" s="181" t="s">
        <v>462</v>
      </c>
      <c r="AK729" s="29"/>
      <c r="AL729" s="29"/>
      <c r="AM729" s="29"/>
      <c r="AN729" s="29"/>
      <c r="AO729" s="29"/>
      <c r="AP729" s="29"/>
      <c r="AQ729" s="29"/>
      <c r="AR729" s="29"/>
      <c r="AS729" s="29"/>
      <c r="AT729" s="29"/>
      <c r="AU729" s="29"/>
      <c r="AV729" s="29"/>
      <c r="AW729" s="29"/>
    </row>
    <row r="730" spans="1:49" ht="13">
      <c r="A730" s="176">
        <v>2002</v>
      </c>
      <c r="B730" s="53" t="s">
        <v>58</v>
      </c>
      <c r="C730" s="50" t="s">
        <v>383</v>
      </c>
      <c r="D730" s="50" t="s">
        <v>383</v>
      </c>
      <c r="E730" s="50" t="s">
        <v>383</v>
      </c>
      <c r="F730" s="50" t="s">
        <v>3346</v>
      </c>
      <c r="G730" s="177">
        <v>0</v>
      </c>
      <c r="H730" s="50" t="s">
        <v>3347</v>
      </c>
      <c r="I730" s="179" t="s">
        <v>3348</v>
      </c>
      <c r="J730" s="50" t="s">
        <v>1629</v>
      </c>
      <c r="K730" s="50" t="s">
        <v>1629</v>
      </c>
      <c r="L730" s="50"/>
      <c r="M730" s="50"/>
      <c r="N730" s="50"/>
      <c r="O730" s="50"/>
      <c r="P730" s="50"/>
      <c r="Q730" s="50"/>
      <c r="R730" s="50"/>
      <c r="S730" s="50"/>
      <c r="T730" s="50"/>
      <c r="U730" s="50"/>
      <c r="V730" s="50"/>
      <c r="W730" s="50" t="s">
        <v>1635</v>
      </c>
      <c r="X730" s="50"/>
      <c r="Y730" s="50"/>
      <c r="Z730" s="50"/>
      <c r="AA730" s="50" t="s">
        <v>3349</v>
      </c>
      <c r="AB730" s="50" t="s">
        <v>2841</v>
      </c>
      <c r="AC730" s="50" t="s">
        <v>3350</v>
      </c>
      <c r="AD730" s="95">
        <v>308</v>
      </c>
      <c r="AE730" s="174" t="s">
        <v>2826</v>
      </c>
      <c r="AF730" s="174">
        <v>218</v>
      </c>
      <c r="AG730" s="50"/>
      <c r="AH730" s="50" t="s">
        <v>2819</v>
      </c>
      <c r="AI730" s="175">
        <v>119</v>
      </c>
      <c r="AJ730" s="53" t="s">
        <v>462</v>
      </c>
      <c r="AK730" s="14"/>
      <c r="AL730" s="14"/>
      <c r="AM730" s="14"/>
      <c r="AN730" s="14"/>
      <c r="AO730" s="14"/>
      <c r="AP730" s="14"/>
      <c r="AQ730" s="14"/>
      <c r="AR730" s="14"/>
      <c r="AS730" s="14"/>
      <c r="AT730" s="14"/>
      <c r="AU730" s="14"/>
      <c r="AV730" s="14"/>
      <c r="AW730" s="14"/>
    </row>
    <row r="731" spans="1:49" ht="13">
      <c r="A731" s="176">
        <v>2020</v>
      </c>
      <c r="B731" s="53" t="s">
        <v>58</v>
      </c>
      <c r="C731" s="50" t="s">
        <v>364</v>
      </c>
      <c r="D731" s="50" t="s">
        <v>364</v>
      </c>
      <c r="E731" s="50" t="s">
        <v>364</v>
      </c>
      <c r="F731" s="50" t="s">
        <v>3351</v>
      </c>
      <c r="G731" s="177">
        <v>0</v>
      </c>
      <c r="H731" s="50" t="s">
        <v>3352</v>
      </c>
      <c r="I731" s="178" t="s">
        <v>3353</v>
      </c>
      <c r="J731" s="50" t="s">
        <v>1629</v>
      </c>
      <c r="K731" s="50" t="s">
        <v>1629</v>
      </c>
      <c r="L731" s="50"/>
      <c r="M731" s="50"/>
      <c r="N731" s="50"/>
      <c r="O731" s="50"/>
      <c r="P731" s="50"/>
      <c r="Q731" s="50"/>
      <c r="R731" s="50"/>
      <c r="S731" s="50"/>
      <c r="T731" s="50"/>
      <c r="U731" s="50"/>
      <c r="V731" s="50"/>
      <c r="W731" s="50" t="s">
        <v>1629</v>
      </c>
      <c r="X731" s="50"/>
      <c r="Y731" s="50"/>
      <c r="Z731" s="50"/>
      <c r="AA731" s="50" t="s">
        <v>3354</v>
      </c>
      <c r="AB731" s="50" t="s">
        <v>352</v>
      </c>
      <c r="AC731" s="50" t="s">
        <v>3355</v>
      </c>
      <c r="AD731" s="99">
        <v>309</v>
      </c>
      <c r="AE731" s="174">
        <v>152</v>
      </c>
      <c r="AF731" s="174">
        <v>198</v>
      </c>
      <c r="AG731" s="50"/>
      <c r="AH731" s="50" t="s">
        <v>2837</v>
      </c>
      <c r="AI731" s="175">
        <v>120</v>
      </c>
      <c r="AJ731" s="178" t="s">
        <v>1005</v>
      </c>
      <c r="AK731" s="29"/>
      <c r="AL731" s="29"/>
      <c r="AM731" s="29"/>
      <c r="AN731" s="29"/>
      <c r="AO731" s="29"/>
      <c r="AP731" s="29"/>
      <c r="AQ731" s="29"/>
      <c r="AR731" s="29"/>
      <c r="AS731" s="29"/>
      <c r="AT731" s="29"/>
      <c r="AU731" s="29"/>
      <c r="AV731" s="29"/>
      <c r="AW731" s="29"/>
    </row>
    <row r="732" spans="1:49" ht="13">
      <c r="A732" s="176">
        <v>2021</v>
      </c>
      <c r="B732" s="53" t="s">
        <v>58</v>
      </c>
      <c r="C732" s="50" t="s">
        <v>395</v>
      </c>
      <c r="D732" s="50" t="s">
        <v>465</v>
      </c>
      <c r="E732" s="50" t="s">
        <v>395</v>
      </c>
      <c r="F732" s="50" t="s">
        <v>3356</v>
      </c>
      <c r="G732" s="177">
        <v>0</v>
      </c>
      <c r="H732" s="50" t="s">
        <v>3357</v>
      </c>
      <c r="I732" s="179" t="s">
        <v>3358</v>
      </c>
      <c r="J732" s="50" t="s">
        <v>1629</v>
      </c>
      <c r="K732" s="50" t="s">
        <v>1629</v>
      </c>
      <c r="L732" s="50"/>
      <c r="M732" s="50"/>
      <c r="N732" s="50"/>
      <c r="O732" s="50"/>
      <c r="P732" s="50"/>
      <c r="Q732" s="50"/>
      <c r="R732" s="50"/>
      <c r="S732" s="50"/>
      <c r="T732" s="50"/>
      <c r="U732" s="50"/>
      <c r="V732" s="50"/>
      <c r="W732" s="50" t="s">
        <v>1635</v>
      </c>
      <c r="X732" s="50"/>
      <c r="Y732" s="50"/>
      <c r="Z732" s="50"/>
      <c r="AA732" s="50" t="s">
        <v>3359</v>
      </c>
      <c r="AB732" s="50" t="s">
        <v>3091</v>
      </c>
      <c r="AC732" s="50" t="s">
        <v>3360</v>
      </c>
      <c r="AD732" s="95">
        <v>310</v>
      </c>
      <c r="AE732" s="174" t="s">
        <v>2826</v>
      </c>
      <c r="AF732" s="174" t="s">
        <v>2826</v>
      </c>
      <c r="AG732" s="50"/>
      <c r="AH732" s="50" t="s">
        <v>2819</v>
      </c>
      <c r="AI732" s="175">
        <v>121</v>
      </c>
      <c r="AJ732" s="53" t="s">
        <v>462</v>
      </c>
      <c r="AK732" s="14"/>
      <c r="AL732" s="14"/>
      <c r="AM732" s="14"/>
      <c r="AN732" s="14"/>
      <c r="AO732" s="14"/>
      <c r="AP732" s="14"/>
      <c r="AQ732" s="14"/>
      <c r="AR732" s="14"/>
      <c r="AS732" s="14"/>
      <c r="AT732" s="14"/>
      <c r="AU732" s="14"/>
      <c r="AV732" s="14"/>
      <c r="AW732" s="14"/>
    </row>
    <row r="733" spans="1:49" ht="13">
      <c r="A733" s="176">
        <v>2021</v>
      </c>
      <c r="B733" s="53" t="s">
        <v>58</v>
      </c>
      <c r="C733" s="50" t="s">
        <v>395</v>
      </c>
      <c r="D733" s="50" t="s">
        <v>465</v>
      </c>
      <c r="E733" s="50" t="s">
        <v>395</v>
      </c>
      <c r="F733" s="50" t="s">
        <v>577</v>
      </c>
      <c r="G733" s="99">
        <v>1</v>
      </c>
      <c r="H733" s="50" t="s">
        <v>3361</v>
      </c>
      <c r="I733" s="178" t="s">
        <v>3362</v>
      </c>
      <c r="J733" s="50" t="s">
        <v>1629</v>
      </c>
      <c r="K733" s="50" t="s">
        <v>1629</v>
      </c>
      <c r="L733" s="50"/>
      <c r="M733" s="50"/>
      <c r="N733" s="50"/>
      <c r="O733" s="50"/>
      <c r="P733" s="50"/>
      <c r="Q733" s="50"/>
      <c r="R733" s="50"/>
      <c r="S733" s="50"/>
      <c r="T733" s="50"/>
      <c r="U733" s="50"/>
      <c r="V733" s="50"/>
      <c r="W733" s="50" t="s">
        <v>1629</v>
      </c>
      <c r="X733" s="50"/>
      <c r="Y733" s="50"/>
      <c r="Z733" s="50"/>
      <c r="AA733" s="50"/>
      <c r="AB733" s="50" t="s">
        <v>3091</v>
      </c>
      <c r="AC733" s="50" t="s">
        <v>3363</v>
      </c>
      <c r="AD733" s="99">
        <v>311</v>
      </c>
      <c r="AE733" s="174" t="s">
        <v>2826</v>
      </c>
      <c r="AF733" s="174" t="s">
        <v>2826</v>
      </c>
      <c r="AG733" s="50"/>
      <c r="AH733" s="50" t="s">
        <v>2819</v>
      </c>
      <c r="AI733" s="175">
        <v>122</v>
      </c>
      <c r="AJ733" s="181" t="s">
        <v>462</v>
      </c>
      <c r="AK733" s="29"/>
      <c r="AL733" s="29"/>
      <c r="AM733" s="29"/>
      <c r="AN733" s="29"/>
      <c r="AO733" s="29"/>
      <c r="AP733" s="29"/>
      <c r="AQ733" s="29"/>
      <c r="AR733" s="29"/>
      <c r="AS733" s="29"/>
      <c r="AT733" s="29"/>
      <c r="AU733" s="29"/>
      <c r="AV733" s="29"/>
      <c r="AW733" s="29"/>
    </row>
    <row r="734" spans="1:49" ht="13">
      <c r="A734" s="176">
        <v>2024</v>
      </c>
      <c r="B734" s="53" t="s">
        <v>58</v>
      </c>
      <c r="C734" s="50" t="s">
        <v>396</v>
      </c>
      <c r="D734" s="50" t="s">
        <v>396</v>
      </c>
      <c r="E734" s="50" t="s">
        <v>396</v>
      </c>
      <c r="F734" s="50" t="s">
        <v>3364</v>
      </c>
      <c r="G734" s="177">
        <v>0</v>
      </c>
      <c r="H734" s="50" t="s">
        <v>3365</v>
      </c>
      <c r="I734" s="179" t="s">
        <v>3366</v>
      </c>
      <c r="J734" s="50" t="s">
        <v>1629</v>
      </c>
      <c r="K734" s="50" t="s">
        <v>1629</v>
      </c>
      <c r="L734" s="50"/>
      <c r="M734" s="50"/>
      <c r="N734" s="50"/>
      <c r="O734" s="50"/>
      <c r="P734" s="50"/>
      <c r="Q734" s="50"/>
      <c r="R734" s="50"/>
      <c r="S734" s="50"/>
      <c r="T734" s="50"/>
      <c r="U734" s="50"/>
      <c r="V734" s="50"/>
      <c r="W734" s="50" t="s">
        <v>2829</v>
      </c>
      <c r="X734" s="50"/>
      <c r="Y734" s="50"/>
      <c r="Z734" s="50"/>
      <c r="AA734" s="50" t="s">
        <v>3367</v>
      </c>
      <c r="AB734" s="50" t="s">
        <v>2817</v>
      </c>
      <c r="AC734" s="50" t="s">
        <v>3368</v>
      </c>
      <c r="AD734" s="95">
        <v>312</v>
      </c>
      <c r="AE734" s="174">
        <v>152</v>
      </c>
      <c r="AF734" s="174">
        <v>229</v>
      </c>
      <c r="AG734" s="50"/>
      <c r="AH734" s="50" t="s">
        <v>2852</v>
      </c>
      <c r="AI734" s="175">
        <v>123</v>
      </c>
      <c r="AJ734" s="179" t="s">
        <v>1005</v>
      </c>
      <c r="AK734" s="14"/>
      <c r="AL734" s="14"/>
      <c r="AM734" s="14"/>
      <c r="AN734" s="14"/>
      <c r="AO734" s="14"/>
      <c r="AP734" s="14"/>
      <c r="AQ734" s="14"/>
      <c r="AR734" s="14"/>
      <c r="AS734" s="14"/>
      <c r="AT734" s="14"/>
      <c r="AU734" s="14"/>
      <c r="AV734" s="14"/>
      <c r="AW734" s="14"/>
    </row>
    <row r="735" spans="1:49" ht="13">
      <c r="A735" s="176">
        <v>2019</v>
      </c>
      <c r="B735" s="53" t="s">
        <v>80</v>
      </c>
      <c r="C735" s="50" t="s">
        <v>310</v>
      </c>
      <c r="D735" s="50" t="s">
        <v>310</v>
      </c>
      <c r="E735" s="50" t="s">
        <v>310</v>
      </c>
      <c r="F735" s="50" t="s">
        <v>3369</v>
      </c>
      <c r="G735" s="177">
        <v>0</v>
      </c>
      <c r="H735" s="50" t="s">
        <v>3370</v>
      </c>
      <c r="I735" s="178" t="s">
        <v>3371</v>
      </c>
      <c r="J735" s="50" t="s">
        <v>1629</v>
      </c>
      <c r="K735" s="50" t="s">
        <v>1635</v>
      </c>
      <c r="L735" s="50"/>
      <c r="M735" s="50"/>
      <c r="N735" s="50"/>
      <c r="O735" s="50"/>
      <c r="P735" s="50"/>
      <c r="Q735" s="50"/>
      <c r="R735" s="50"/>
      <c r="S735" s="50"/>
      <c r="T735" s="50"/>
      <c r="U735" s="50"/>
      <c r="V735" s="50"/>
      <c r="W735" s="50" t="s">
        <v>1635</v>
      </c>
      <c r="X735" s="50"/>
      <c r="Y735" s="50"/>
      <c r="Z735" s="50"/>
      <c r="AA735" s="50" t="s">
        <v>3372</v>
      </c>
      <c r="AB735" s="50" t="s">
        <v>2817</v>
      </c>
      <c r="AC735" s="50" t="s">
        <v>3373</v>
      </c>
      <c r="AD735" s="99">
        <v>313</v>
      </c>
      <c r="AE735" s="174">
        <v>152</v>
      </c>
      <c r="AF735" s="174">
        <v>154</v>
      </c>
      <c r="AG735" s="50"/>
      <c r="AH735" s="50" t="s">
        <v>2852</v>
      </c>
      <c r="AI735" s="175">
        <v>124</v>
      </c>
      <c r="AJ735" s="178" t="s">
        <v>1005</v>
      </c>
      <c r="AK735" s="29"/>
      <c r="AL735" s="29"/>
      <c r="AM735" s="29"/>
      <c r="AN735" s="29"/>
      <c r="AO735" s="29"/>
      <c r="AP735" s="29"/>
      <c r="AQ735" s="29"/>
      <c r="AR735" s="29"/>
      <c r="AS735" s="29"/>
      <c r="AT735" s="29"/>
      <c r="AU735" s="29"/>
      <c r="AV735" s="29"/>
      <c r="AW735" s="29"/>
    </row>
    <row r="736" spans="1:49" ht="13">
      <c r="A736" s="176">
        <v>2024</v>
      </c>
      <c r="B736" s="53" t="s">
        <v>58</v>
      </c>
      <c r="C736" s="50" t="s">
        <v>397</v>
      </c>
      <c r="D736" s="50" t="s">
        <v>465</v>
      </c>
      <c r="E736" s="50" t="s">
        <v>397</v>
      </c>
      <c r="F736" s="50" t="s">
        <v>3374</v>
      </c>
      <c r="G736" s="177">
        <v>0</v>
      </c>
      <c r="H736" s="50" t="s">
        <v>3375</v>
      </c>
      <c r="I736" s="179" t="s">
        <v>3376</v>
      </c>
      <c r="J736" s="50" t="s">
        <v>1629</v>
      </c>
      <c r="K736" s="50" t="s">
        <v>1629</v>
      </c>
      <c r="L736" s="50"/>
      <c r="M736" s="50"/>
      <c r="N736" s="50"/>
      <c r="O736" s="50"/>
      <c r="P736" s="50"/>
      <c r="Q736" s="50"/>
      <c r="R736" s="50"/>
      <c r="S736" s="50"/>
      <c r="T736" s="50"/>
      <c r="U736" s="50"/>
      <c r="V736" s="50"/>
      <c r="W736" s="50" t="s">
        <v>1629</v>
      </c>
      <c r="X736" s="50"/>
      <c r="Y736" s="50"/>
      <c r="Z736" s="50"/>
      <c r="AA736" s="50" t="s">
        <v>3377</v>
      </c>
      <c r="AB736" s="50" t="s">
        <v>2817</v>
      </c>
      <c r="AC736" s="50" t="s">
        <v>3378</v>
      </c>
      <c r="AD736" s="95">
        <v>314</v>
      </c>
      <c r="AE736" s="174">
        <v>152</v>
      </c>
      <c r="AF736" s="174" t="s">
        <v>2826</v>
      </c>
      <c r="AG736" s="50"/>
      <c r="AH736" s="50" t="s">
        <v>2852</v>
      </c>
      <c r="AI736" s="175">
        <v>125</v>
      </c>
      <c r="AJ736" s="179" t="s">
        <v>1005</v>
      </c>
      <c r="AK736" s="14"/>
      <c r="AL736" s="14"/>
      <c r="AM736" s="14"/>
      <c r="AN736" s="14"/>
      <c r="AO736" s="14"/>
      <c r="AP736" s="14"/>
      <c r="AQ736" s="14"/>
      <c r="AR736" s="14"/>
      <c r="AS736" s="14"/>
      <c r="AT736" s="14"/>
      <c r="AU736" s="14"/>
      <c r="AV736" s="14"/>
      <c r="AW736" s="14"/>
    </row>
    <row r="737" spans="1:49" ht="13">
      <c r="A737" s="176">
        <v>2019</v>
      </c>
      <c r="B737" s="53" t="s">
        <v>80</v>
      </c>
      <c r="C737" s="50" t="s">
        <v>310</v>
      </c>
      <c r="D737" s="50" t="s">
        <v>310</v>
      </c>
      <c r="E737" s="50" t="s">
        <v>310</v>
      </c>
      <c r="F737" s="50" t="s">
        <v>3379</v>
      </c>
      <c r="G737" s="177">
        <v>0</v>
      </c>
      <c r="H737" s="50" t="s">
        <v>3380</v>
      </c>
      <c r="I737" s="178" t="s">
        <v>3381</v>
      </c>
      <c r="J737" s="50" t="s">
        <v>1629</v>
      </c>
      <c r="K737" s="50" t="s">
        <v>1629</v>
      </c>
      <c r="L737" s="50"/>
      <c r="M737" s="50"/>
      <c r="N737" s="50"/>
      <c r="O737" s="50"/>
      <c r="P737" s="50"/>
      <c r="Q737" s="50"/>
      <c r="R737" s="50"/>
      <c r="S737" s="50"/>
      <c r="T737" s="50"/>
      <c r="U737" s="50"/>
      <c r="V737" s="50"/>
      <c r="W737" s="50" t="s">
        <v>1629</v>
      </c>
      <c r="X737" s="50"/>
      <c r="Y737" s="50"/>
      <c r="Z737" s="50"/>
      <c r="AA737" s="50" t="s">
        <v>3382</v>
      </c>
      <c r="AB737" s="50" t="s">
        <v>2817</v>
      </c>
      <c r="AC737" s="50" t="s">
        <v>3383</v>
      </c>
      <c r="AD737" s="99">
        <v>315</v>
      </c>
      <c r="AE737" s="174">
        <v>152</v>
      </c>
      <c r="AF737" s="174">
        <v>154</v>
      </c>
      <c r="AG737" s="50"/>
      <c r="AH737" s="50" t="s">
        <v>2852</v>
      </c>
      <c r="AI737" s="175">
        <v>126</v>
      </c>
      <c r="AJ737" s="178" t="s">
        <v>1005</v>
      </c>
      <c r="AK737" s="29"/>
      <c r="AL737" s="29"/>
      <c r="AM737" s="29"/>
      <c r="AN737" s="29"/>
      <c r="AO737" s="29"/>
      <c r="AP737" s="29"/>
      <c r="AQ737" s="29"/>
      <c r="AR737" s="29"/>
      <c r="AS737" s="29"/>
      <c r="AT737" s="29"/>
      <c r="AU737" s="29"/>
      <c r="AV737" s="29"/>
      <c r="AW737" s="29"/>
    </row>
    <row r="738" spans="1:49" ht="13">
      <c r="A738" s="176">
        <v>2017</v>
      </c>
      <c r="B738" s="53" t="s">
        <v>58</v>
      </c>
      <c r="C738" s="50" t="s">
        <v>400</v>
      </c>
      <c r="D738" s="50" t="s">
        <v>400</v>
      </c>
      <c r="E738" s="50" t="s">
        <v>400</v>
      </c>
      <c r="F738" s="50" t="s">
        <v>1006</v>
      </c>
      <c r="G738" s="99">
        <v>1</v>
      </c>
      <c r="H738" s="50" t="s">
        <v>3384</v>
      </c>
      <c r="I738" s="179" t="s">
        <v>3385</v>
      </c>
      <c r="J738" s="50" t="s">
        <v>1629</v>
      </c>
      <c r="K738" s="50" t="s">
        <v>1629</v>
      </c>
      <c r="L738" s="50"/>
      <c r="M738" s="50"/>
      <c r="N738" s="50"/>
      <c r="O738" s="50"/>
      <c r="P738" s="50"/>
      <c r="Q738" s="50"/>
      <c r="R738" s="50"/>
      <c r="S738" s="50"/>
      <c r="T738" s="50"/>
      <c r="U738" s="50"/>
      <c r="V738" s="50"/>
      <c r="W738" s="50" t="s">
        <v>1635</v>
      </c>
      <c r="X738" s="50"/>
      <c r="Y738" s="50"/>
      <c r="Z738" s="50"/>
      <c r="AA738" s="50" t="s">
        <v>3386</v>
      </c>
      <c r="AB738" s="50" t="s">
        <v>3160</v>
      </c>
      <c r="AC738" s="50" t="s">
        <v>3387</v>
      </c>
      <c r="AD738" s="95">
        <v>316</v>
      </c>
      <c r="AE738" s="174">
        <v>153</v>
      </c>
      <c r="AF738" s="174">
        <v>235</v>
      </c>
      <c r="AG738" s="50"/>
      <c r="AH738" s="50" t="s">
        <v>2837</v>
      </c>
      <c r="AI738" s="175">
        <v>127</v>
      </c>
      <c r="AJ738" s="179" t="s">
        <v>1007</v>
      </c>
      <c r="AK738" s="14"/>
      <c r="AL738" s="14"/>
      <c r="AM738" s="14"/>
      <c r="AN738" s="14"/>
      <c r="AO738" s="14"/>
      <c r="AP738" s="14"/>
      <c r="AQ738" s="14"/>
      <c r="AR738" s="14"/>
      <c r="AS738" s="14"/>
      <c r="AT738" s="14"/>
      <c r="AU738" s="14"/>
      <c r="AV738" s="14"/>
      <c r="AW738" s="14"/>
    </row>
    <row r="739" spans="1:49" ht="13">
      <c r="A739" s="176">
        <v>2021</v>
      </c>
      <c r="B739" s="53" t="s">
        <v>58</v>
      </c>
      <c r="C739" s="50" t="s">
        <v>379</v>
      </c>
      <c r="D739" s="50" t="s">
        <v>465</v>
      </c>
      <c r="E739" s="50" t="s">
        <v>379</v>
      </c>
      <c r="F739" s="50" t="s">
        <v>1010</v>
      </c>
      <c r="G739" s="99">
        <v>1</v>
      </c>
      <c r="H739" s="50" t="s">
        <v>3388</v>
      </c>
      <c r="I739" s="178" t="s">
        <v>3389</v>
      </c>
      <c r="J739" s="50" t="s">
        <v>1629</v>
      </c>
      <c r="K739" s="50" t="s">
        <v>1629</v>
      </c>
      <c r="L739" s="50"/>
      <c r="M739" s="50"/>
      <c r="N739" s="50"/>
      <c r="O739" s="50"/>
      <c r="P739" s="50"/>
      <c r="Q739" s="50"/>
      <c r="R739" s="50"/>
      <c r="S739" s="50"/>
      <c r="T739" s="50"/>
      <c r="U739" s="50"/>
      <c r="V739" s="50"/>
      <c r="W739" s="50" t="s">
        <v>2829</v>
      </c>
      <c r="X739" s="50"/>
      <c r="Y739" s="50"/>
      <c r="Z739" s="50"/>
      <c r="AA739" s="50" t="s">
        <v>3390</v>
      </c>
      <c r="AB739" s="50" t="s">
        <v>2883</v>
      </c>
      <c r="AC739" s="50" t="s">
        <v>3391</v>
      </c>
      <c r="AD739" s="99">
        <v>317</v>
      </c>
      <c r="AE739" s="174">
        <v>154</v>
      </c>
      <c r="AF739" s="174" t="s">
        <v>2826</v>
      </c>
      <c r="AG739" s="50"/>
      <c r="AH739" s="50" t="s">
        <v>2819</v>
      </c>
      <c r="AI739" s="175">
        <v>128</v>
      </c>
      <c r="AJ739" s="178" t="s">
        <v>1011</v>
      </c>
      <c r="AK739" s="29"/>
      <c r="AL739" s="29"/>
      <c r="AM739" s="29"/>
      <c r="AN739" s="29"/>
      <c r="AO739" s="29"/>
      <c r="AP739" s="29"/>
      <c r="AQ739" s="29"/>
      <c r="AR739" s="29"/>
      <c r="AS739" s="29"/>
      <c r="AT739" s="29"/>
      <c r="AU739" s="29"/>
      <c r="AV739" s="29"/>
      <c r="AW739" s="29"/>
    </row>
    <row r="740" spans="1:49" ht="13">
      <c r="A740" s="176">
        <v>2021</v>
      </c>
      <c r="B740" s="53" t="s">
        <v>58</v>
      </c>
      <c r="C740" s="50" t="s">
        <v>365</v>
      </c>
      <c r="D740" s="50" t="s">
        <v>465</v>
      </c>
      <c r="E740" s="50" t="s">
        <v>365</v>
      </c>
      <c r="F740" s="50" t="s">
        <v>1012</v>
      </c>
      <c r="G740" s="99">
        <v>1</v>
      </c>
      <c r="H740" s="50" t="s">
        <v>3392</v>
      </c>
      <c r="I740" s="179" t="s">
        <v>3393</v>
      </c>
      <c r="J740" s="50" t="s">
        <v>1629</v>
      </c>
      <c r="K740" s="50" t="s">
        <v>1629</v>
      </c>
      <c r="L740" s="50"/>
      <c r="M740" s="50"/>
      <c r="N740" s="50"/>
      <c r="O740" s="50"/>
      <c r="P740" s="50"/>
      <c r="Q740" s="50"/>
      <c r="R740" s="50"/>
      <c r="S740" s="50"/>
      <c r="T740" s="50"/>
      <c r="U740" s="50"/>
      <c r="V740" s="50"/>
      <c r="W740" s="50" t="s">
        <v>2829</v>
      </c>
      <c r="X740" s="50"/>
      <c r="Y740" s="50"/>
      <c r="Z740" s="50"/>
      <c r="AA740" s="50"/>
      <c r="AB740" s="50" t="s">
        <v>2883</v>
      </c>
      <c r="AC740" s="50" t="s">
        <v>3394</v>
      </c>
      <c r="AD740" s="95">
        <v>318</v>
      </c>
      <c r="AE740" s="174">
        <v>155</v>
      </c>
      <c r="AF740" s="174" t="s">
        <v>2826</v>
      </c>
      <c r="AG740" s="50"/>
      <c r="AH740" s="50" t="s">
        <v>2819</v>
      </c>
      <c r="AI740" s="175">
        <v>129</v>
      </c>
      <c r="AJ740" s="179" t="s">
        <v>1013</v>
      </c>
      <c r="AK740" s="14"/>
      <c r="AL740" s="14"/>
      <c r="AM740" s="14"/>
      <c r="AN740" s="14"/>
      <c r="AO740" s="14"/>
      <c r="AP740" s="14"/>
      <c r="AQ740" s="14"/>
      <c r="AR740" s="14"/>
      <c r="AS740" s="14"/>
      <c r="AT740" s="14"/>
      <c r="AU740" s="14"/>
      <c r="AV740" s="14"/>
      <c r="AW740" s="14"/>
    </row>
    <row r="741" spans="1:49" ht="13">
      <c r="A741" s="176">
        <v>2024</v>
      </c>
      <c r="B741" s="53" t="s">
        <v>80</v>
      </c>
      <c r="C741" s="50" t="s">
        <v>462</v>
      </c>
      <c r="D741" s="50" t="s">
        <v>465</v>
      </c>
      <c r="E741" s="50" t="s">
        <v>462</v>
      </c>
      <c r="F741" s="50" t="s">
        <v>1014</v>
      </c>
      <c r="G741" s="99">
        <v>1</v>
      </c>
      <c r="H741" s="50" t="s">
        <v>3395</v>
      </c>
      <c r="I741" s="178" t="s">
        <v>3396</v>
      </c>
      <c r="J741" s="50" t="s">
        <v>1629</v>
      </c>
      <c r="K741" s="189" t="s">
        <v>2829</v>
      </c>
      <c r="L741" s="190"/>
      <c r="M741" s="190"/>
      <c r="N741" s="50"/>
      <c r="O741" s="50"/>
      <c r="P741" s="50"/>
      <c r="Q741" s="50"/>
      <c r="R741" s="50"/>
      <c r="S741" s="50"/>
      <c r="T741" s="50"/>
      <c r="U741" s="50"/>
      <c r="V741" s="50"/>
      <c r="W741" s="50" t="s">
        <v>2829</v>
      </c>
      <c r="X741" s="50"/>
      <c r="Y741" s="50"/>
      <c r="Z741" s="50"/>
      <c r="AA741" s="50" t="s">
        <v>3397</v>
      </c>
      <c r="AB741" s="50" t="s">
        <v>3398</v>
      </c>
      <c r="AC741" s="50" t="s">
        <v>3399</v>
      </c>
      <c r="AD741" s="99">
        <v>319</v>
      </c>
      <c r="AE741" s="174">
        <v>156</v>
      </c>
      <c r="AF741" s="174" t="s">
        <v>2826</v>
      </c>
      <c r="AG741" s="50"/>
      <c r="AH741" s="50" t="s">
        <v>2852</v>
      </c>
      <c r="AI741" s="175">
        <v>130</v>
      </c>
      <c r="AJ741" s="178" t="s">
        <v>1015</v>
      </c>
      <c r="AK741" s="29"/>
      <c r="AL741" s="29"/>
      <c r="AM741" s="29"/>
      <c r="AN741" s="29"/>
      <c r="AO741" s="29"/>
      <c r="AP741" s="29"/>
      <c r="AQ741" s="29"/>
      <c r="AR741" s="29"/>
      <c r="AS741" s="29"/>
      <c r="AT741" s="29"/>
      <c r="AU741" s="29"/>
      <c r="AV741" s="29"/>
      <c r="AW741" s="29"/>
    </row>
    <row r="742" spans="1:49" ht="13">
      <c r="A742" s="176">
        <v>2019</v>
      </c>
      <c r="B742" s="53" t="s">
        <v>80</v>
      </c>
      <c r="C742" s="50" t="s">
        <v>246</v>
      </c>
      <c r="D742" s="50" t="s">
        <v>465</v>
      </c>
      <c r="E742" s="50" t="s">
        <v>246</v>
      </c>
      <c r="F742" s="50" t="s">
        <v>1017</v>
      </c>
      <c r="G742" s="99">
        <v>1</v>
      </c>
      <c r="H742" s="50" t="s">
        <v>3400</v>
      </c>
      <c r="I742" s="179" t="s">
        <v>3401</v>
      </c>
      <c r="J742" s="50" t="s">
        <v>1629</v>
      </c>
      <c r="K742" s="189" t="s">
        <v>2829</v>
      </c>
      <c r="L742" s="190"/>
      <c r="M742" s="190"/>
      <c r="N742" s="50"/>
      <c r="O742" s="50"/>
      <c r="P742" s="50"/>
      <c r="Q742" s="50"/>
      <c r="R742" s="50"/>
      <c r="S742" s="50"/>
      <c r="T742" s="50"/>
      <c r="U742" s="50"/>
      <c r="V742" s="50"/>
      <c r="W742" s="50" t="s">
        <v>2829</v>
      </c>
      <c r="X742" s="50"/>
      <c r="Y742" s="50"/>
      <c r="Z742" s="50"/>
      <c r="AA742" s="50" t="s">
        <v>3402</v>
      </c>
      <c r="AB742" s="50" t="s">
        <v>3398</v>
      </c>
      <c r="AC742" s="50" t="s">
        <v>3403</v>
      </c>
      <c r="AD742" s="95">
        <v>320</v>
      </c>
      <c r="AE742" s="174">
        <v>157</v>
      </c>
      <c r="AF742" s="174" t="s">
        <v>2826</v>
      </c>
      <c r="AG742" s="50"/>
      <c r="AH742" s="50" t="s">
        <v>2852</v>
      </c>
      <c r="AI742" s="175">
        <v>131</v>
      </c>
      <c r="AJ742" s="179" t="s">
        <v>1019</v>
      </c>
      <c r="AK742" s="14"/>
      <c r="AL742" s="14"/>
      <c r="AM742" s="14"/>
      <c r="AN742" s="14"/>
      <c r="AO742" s="14"/>
      <c r="AP742" s="14"/>
      <c r="AQ742" s="14"/>
      <c r="AR742" s="14"/>
      <c r="AS742" s="14"/>
      <c r="AT742" s="14"/>
      <c r="AU742" s="14"/>
      <c r="AV742" s="14"/>
      <c r="AW742" s="14"/>
    </row>
    <row r="743" spans="1:49" ht="13">
      <c r="A743" s="176">
        <v>2024</v>
      </c>
      <c r="B743" s="53" t="s">
        <v>58</v>
      </c>
      <c r="C743" s="50" t="s">
        <v>349</v>
      </c>
      <c r="D743" s="50" t="s">
        <v>465</v>
      </c>
      <c r="E743" s="50" t="s">
        <v>349</v>
      </c>
      <c r="F743" s="50" t="s">
        <v>1024</v>
      </c>
      <c r="G743" s="99">
        <v>1</v>
      </c>
      <c r="H743" s="50" t="s">
        <v>3404</v>
      </c>
      <c r="I743" s="178" t="s">
        <v>3405</v>
      </c>
      <c r="J743" s="50" t="s">
        <v>1629</v>
      </c>
      <c r="K743" s="50" t="s">
        <v>1629</v>
      </c>
      <c r="L743" s="50"/>
      <c r="M743" s="50"/>
      <c r="N743" s="50"/>
      <c r="O743" s="50"/>
      <c r="P743" s="50"/>
      <c r="Q743" s="50"/>
      <c r="R743" s="50"/>
      <c r="S743" s="50"/>
      <c r="T743" s="50"/>
      <c r="U743" s="50"/>
      <c r="V743" s="50"/>
      <c r="W743" s="50" t="s">
        <v>1629</v>
      </c>
      <c r="X743" s="50"/>
      <c r="Y743" s="50"/>
      <c r="Z743" s="50"/>
      <c r="AA743" s="50" t="s">
        <v>3406</v>
      </c>
      <c r="AB743" s="50" t="s">
        <v>3398</v>
      </c>
      <c r="AC743" s="50" t="s">
        <v>3407</v>
      </c>
      <c r="AD743" s="99">
        <v>321</v>
      </c>
      <c r="AE743" s="174">
        <v>158</v>
      </c>
      <c r="AF743" s="174" t="s">
        <v>2826</v>
      </c>
      <c r="AG743" s="50"/>
      <c r="AH743" s="50" t="s">
        <v>2852</v>
      </c>
      <c r="AI743" s="175">
        <v>132</v>
      </c>
      <c r="AJ743" s="178" t="s">
        <v>1025</v>
      </c>
      <c r="AK743" s="29"/>
      <c r="AL743" s="29"/>
      <c r="AM743" s="29"/>
      <c r="AN743" s="29"/>
      <c r="AO743" s="29"/>
      <c r="AP743" s="29"/>
      <c r="AQ743" s="29"/>
      <c r="AR743" s="29"/>
      <c r="AS743" s="29"/>
      <c r="AT743" s="29"/>
      <c r="AU743" s="29"/>
      <c r="AV743" s="29"/>
      <c r="AW743" s="29"/>
    </row>
    <row r="744" spans="1:49" ht="13">
      <c r="A744" s="176">
        <v>2019</v>
      </c>
      <c r="B744" s="53" t="s">
        <v>80</v>
      </c>
      <c r="C744" s="50" t="s">
        <v>331</v>
      </c>
      <c r="D744" s="50" t="s">
        <v>246</v>
      </c>
      <c r="E744" s="50" t="s">
        <v>331</v>
      </c>
      <c r="F744" s="50" t="s">
        <v>1027</v>
      </c>
      <c r="G744" s="99">
        <v>1</v>
      </c>
      <c r="H744" s="50" t="s">
        <v>3408</v>
      </c>
      <c r="I744" s="179" t="s">
        <v>3409</v>
      </c>
      <c r="J744" s="50" t="s">
        <v>1629</v>
      </c>
      <c r="K744" s="50" t="s">
        <v>1629</v>
      </c>
      <c r="L744" s="50"/>
      <c r="M744" s="50"/>
      <c r="N744" s="50"/>
      <c r="O744" s="50"/>
      <c r="P744" s="50"/>
      <c r="Q744" s="50"/>
      <c r="R744" s="50"/>
      <c r="S744" s="50"/>
      <c r="T744" s="50"/>
      <c r="U744" s="50"/>
      <c r="V744" s="50"/>
      <c r="W744" s="50" t="s">
        <v>1629</v>
      </c>
      <c r="X744" s="50"/>
      <c r="Y744" s="50"/>
      <c r="Z744" s="50"/>
      <c r="AA744" s="50" t="s">
        <v>3410</v>
      </c>
      <c r="AB744" s="50" t="s">
        <v>3398</v>
      </c>
      <c r="AC744" s="50" t="s">
        <v>3411</v>
      </c>
      <c r="AD744" s="95">
        <v>322</v>
      </c>
      <c r="AE744" s="174">
        <v>159</v>
      </c>
      <c r="AF744" s="174">
        <v>148</v>
      </c>
      <c r="AG744" s="50"/>
      <c r="AH744" s="50" t="s">
        <v>2852</v>
      </c>
      <c r="AI744" s="175">
        <v>133</v>
      </c>
      <c r="AJ744" s="179" t="s">
        <v>1028</v>
      </c>
      <c r="AK744" s="14"/>
      <c r="AL744" s="14"/>
      <c r="AM744" s="14"/>
      <c r="AN744" s="14"/>
      <c r="AO744" s="14"/>
      <c r="AP744" s="14"/>
      <c r="AQ744" s="14"/>
      <c r="AR744" s="14"/>
      <c r="AS744" s="14"/>
      <c r="AT744" s="14"/>
      <c r="AU744" s="14"/>
      <c r="AV744" s="14"/>
      <c r="AW744" s="14"/>
    </row>
    <row r="745" spans="1:49" ht="13">
      <c r="A745" s="176">
        <v>2024</v>
      </c>
      <c r="B745" s="53" t="s">
        <v>80</v>
      </c>
      <c r="C745" s="50" t="s">
        <v>314</v>
      </c>
      <c r="D745" s="50" t="s">
        <v>314</v>
      </c>
      <c r="E745" s="50" t="s">
        <v>314</v>
      </c>
      <c r="F745" s="50" t="s">
        <v>1029</v>
      </c>
      <c r="G745" s="99">
        <v>1</v>
      </c>
      <c r="H745" s="50" t="s">
        <v>3412</v>
      </c>
      <c r="I745" s="178" t="s">
        <v>3413</v>
      </c>
      <c r="J745" s="50" t="s">
        <v>1629</v>
      </c>
      <c r="K745" s="50" t="s">
        <v>1629</v>
      </c>
      <c r="L745" s="50"/>
      <c r="M745" s="50"/>
      <c r="N745" s="50"/>
      <c r="O745" s="50"/>
      <c r="P745" s="50"/>
      <c r="Q745" s="50"/>
      <c r="R745" s="50"/>
      <c r="S745" s="50"/>
      <c r="T745" s="50"/>
      <c r="U745" s="50"/>
      <c r="V745" s="50"/>
      <c r="W745" s="50" t="s">
        <v>1629</v>
      </c>
      <c r="X745" s="50"/>
      <c r="Y745" s="50"/>
      <c r="Z745" s="50"/>
      <c r="AA745" s="50" t="s">
        <v>3414</v>
      </c>
      <c r="AB745" s="50" t="s">
        <v>3398</v>
      </c>
      <c r="AC745" s="50" t="s">
        <v>3415</v>
      </c>
      <c r="AD745" s="99">
        <v>323</v>
      </c>
      <c r="AE745" s="174">
        <v>160</v>
      </c>
      <c r="AF745" s="174">
        <v>159</v>
      </c>
      <c r="AG745" s="50"/>
      <c r="AH745" s="50" t="s">
        <v>2852</v>
      </c>
      <c r="AI745" s="175">
        <v>134</v>
      </c>
      <c r="AJ745" s="178" t="s">
        <v>1030</v>
      </c>
      <c r="AK745" s="29"/>
      <c r="AL745" s="29"/>
      <c r="AM745" s="29"/>
      <c r="AN745" s="29"/>
      <c r="AO745" s="29"/>
      <c r="AP745" s="29"/>
      <c r="AQ745" s="29"/>
      <c r="AR745" s="29"/>
      <c r="AS745" s="29"/>
      <c r="AT745" s="29"/>
      <c r="AU745" s="29"/>
      <c r="AV745" s="29"/>
      <c r="AW745" s="29"/>
    </row>
    <row r="746" spans="1:49" ht="13">
      <c r="A746" s="176">
        <v>2019</v>
      </c>
      <c r="B746" s="53" t="s">
        <v>58</v>
      </c>
      <c r="C746" s="50" t="s">
        <v>331</v>
      </c>
      <c r="D746" s="50" t="s">
        <v>331</v>
      </c>
      <c r="E746" s="50" t="s">
        <v>331</v>
      </c>
      <c r="F746" s="50" t="s">
        <v>1033</v>
      </c>
      <c r="G746" s="99">
        <v>1</v>
      </c>
      <c r="H746" s="50" t="s">
        <v>3416</v>
      </c>
      <c r="I746" s="179" t="s">
        <v>3417</v>
      </c>
      <c r="J746" s="50" t="s">
        <v>1629</v>
      </c>
      <c r="K746" s="50" t="s">
        <v>1629</v>
      </c>
      <c r="L746" s="50"/>
      <c r="M746" s="50"/>
      <c r="N746" s="50"/>
      <c r="O746" s="50"/>
      <c r="P746" s="50"/>
      <c r="Q746" s="50"/>
      <c r="R746" s="50"/>
      <c r="S746" s="50"/>
      <c r="T746" s="50"/>
      <c r="U746" s="50"/>
      <c r="V746" s="50"/>
      <c r="W746" s="50" t="s">
        <v>1629</v>
      </c>
      <c r="X746" s="50"/>
      <c r="Y746" s="50"/>
      <c r="Z746" s="50"/>
      <c r="AA746" s="50" t="s">
        <v>3418</v>
      </c>
      <c r="AB746" s="50" t="s">
        <v>3398</v>
      </c>
      <c r="AC746" s="50" t="s">
        <v>3419</v>
      </c>
      <c r="AD746" s="95">
        <v>324</v>
      </c>
      <c r="AE746" s="174">
        <v>161</v>
      </c>
      <c r="AF746" s="174" t="s">
        <v>2826</v>
      </c>
      <c r="AG746" s="50"/>
      <c r="AH746" s="50" t="s">
        <v>2852</v>
      </c>
      <c r="AI746" s="175">
        <v>135</v>
      </c>
      <c r="AJ746" s="179" t="s">
        <v>1034</v>
      </c>
      <c r="AK746" s="14"/>
      <c r="AL746" s="14"/>
      <c r="AM746" s="14"/>
      <c r="AN746" s="14"/>
      <c r="AO746" s="14"/>
      <c r="AP746" s="14"/>
      <c r="AQ746" s="14"/>
      <c r="AR746" s="14"/>
      <c r="AS746" s="14"/>
      <c r="AT746" s="14"/>
      <c r="AU746" s="14"/>
      <c r="AV746" s="14"/>
      <c r="AW746" s="14"/>
    </row>
    <row r="747" spans="1:49" ht="13">
      <c r="A747" s="176">
        <v>2021</v>
      </c>
      <c r="B747" s="12" t="s">
        <v>64</v>
      </c>
      <c r="C747" s="50" t="s">
        <v>455</v>
      </c>
      <c r="D747" s="50" t="s">
        <v>465</v>
      </c>
      <c r="E747" s="50" t="s">
        <v>455</v>
      </c>
      <c r="F747" s="50" t="s">
        <v>1036</v>
      </c>
      <c r="G747" s="99">
        <v>1</v>
      </c>
      <c r="H747" s="50" t="s">
        <v>3420</v>
      </c>
      <c r="I747" s="178" t="s">
        <v>3421</v>
      </c>
      <c r="J747" s="50" t="s">
        <v>1629</v>
      </c>
      <c r="K747" s="50" t="s">
        <v>1629</v>
      </c>
      <c r="L747" s="50"/>
      <c r="M747" s="50"/>
      <c r="N747" s="50"/>
      <c r="O747" s="50"/>
      <c r="P747" s="50"/>
      <c r="Q747" s="50"/>
      <c r="R747" s="50"/>
      <c r="S747" s="50"/>
      <c r="T747" s="50"/>
      <c r="U747" s="50"/>
      <c r="V747" s="50"/>
      <c r="W747" s="50" t="s">
        <v>1629</v>
      </c>
      <c r="X747" s="50"/>
      <c r="Y747" s="50"/>
      <c r="Z747" s="50"/>
      <c r="AA747" s="50" t="s">
        <v>3422</v>
      </c>
      <c r="AB747" s="50" t="s">
        <v>352</v>
      </c>
      <c r="AC747" s="50" t="s">
        <v>3423</v>
      </c>
      <c r="AD747" s="99">
        <v>325</v>
      </c>
      <c r="AE747" s="174">
        <v>162</v>
      </c>
      <c r="AF747" s="174" t="s">
        <v>2826</v>
      </c>
      <c r="AG747" s="50"/>
      <c r="AH747" s="50" t="s">
        <v>2819</v>
      </c>
      <c r="AI747" s="175">
        <v>136</v>
      </c>
      <c r="AJ747" s="178" t="s">
        <v>1037</v>
      </c>
      <c r="AK747" s="29"/>
      <c r="AL747" s="29"/>
      <c r="AM747" s="29"/>
      <c r="AN747" s="29"/>
      <c r="AO747" s="29"/>
      <c r="AP747" s="29"/>
      <c r="AQ747" s="29"/>
      <c r="AR747" s="29"/>
      <c r="AS747" s="29"/>
      <c r="AT747" s="29"/>
      <c r="AU747" s="29"/>
      <c r="AV747" s="29"/>
      <c r="AW747" s="29"/>
    </row>
    <row r="748" spans="1:49" ht="13">
      <c r="A748" s="176">
        <v>2019</v>
      </c>
      <c r="B748" s="12" t="s">
        <v>64</v>
      </c>
      <c r="C748" s="50" t="s">
        <v>455</v>
      </c>
      <c r="D748" s="50" t="s">
        <v>465</v>
      </c>
      <c r="E748" s="50" t="s">
        <v>455</v>
      </c>
      <c r="F748" s="50" t="s">
        <v>3424</v>
      </c>
      <c r="G748" s="177">
        <v>0</v>
      </c>
      <c r="H748" s="50" t="s">
        <v>3425</v>
      </c>
      <c r="I748" s="179" t="s">
        <v>3426</v>
      </c>
      <c r="J748" s="50" t="s">
        <v>1629</v>
      </c>
      <c r="K748" s="50" t="s">
        <v>1629</v>
      </c>
      <c r="L748" s="50"/>
      <c r="M748" s="50"/>
      <c r="N748" s="50"/>
      <c r="O748" s="50"/>
      <c r="P748" s="50"/>
      <c r="Q748" s="50"/>
      <c r="R748" s="50"/>
      <c r="S748" s="50"/>
      <c r="T748" s="50"/>
      <c r="U748" s="50"/>
      <c r="V748" s="50"/>
      <c r="W748" s="50" t="s">
        <v>1629</v>
      </c>
      <c r="X748" s="50"/>
      <c r="Y748" s="50"/>
      <c r="Z748" s="50"/>
      <c r="AA748" s="50" t="s">
        <v>3427</v>
      </c>
      <c r="AB748" s="50" t="s">
        <v>352</v>
      </c>
      <c r="AC748" s="50" t="s">
        <v>3428</v>
      </c>
      <c r="AD748" s="95">
        <v>326</v>
      </c>
      <c r="AE748" s="174">
        <v>134</v>
      </c>
      <c r="AF748" s="174" t="s">
        <v>2826</v>
      </c>
      <c r="AG748" s="50"/>
      <c r="AH748" s="50" t="s">
        <v>2819</v>
      </c>
      <c r="AI748" s="175">
        <v>137</v>
      </c>
      <c r="AJ748" s="179" t="s">
        <v>956</v>
      </c>
      <c r="AK748" s="14"/>
      <c r="AL748" s="14"/>
      <c r="AM748" s="14"/>
      <c r="AN748" s="14"/>
      <c r="AO748" s="14"/>
      <c r="AP748" s="14"/>
      <c r="AQ748" s="14"/>
      <c r="AR748" s="14"/>
      <c r="AS748" s="14"/>
      <c r="AT748" s="14"/>
      <c r="AU748" s="14"/>
      <c r="AV748" s="14"/>
      <c r="AW748" s="14"/>
    </row>
    <row r="749" spans="1:49" ht="13">
      <c r="A749" s="176">
        <v>2019</v>
      </c>
      <c r="B749" s="53" t="s">
        <v>80</v>
      </c>
      <c r="C749" s="50" t="s">
        <v>246</v>
      </c>
      <c r="D749" s="50" t="s">
        <v>465</v>
      </c>
      <c r="E749" s="50" t="s">
        <v>246</v>
      </c>
      <c r="F749" s="50" t="s">
        <v>1038</v>
      </c>
      <c r="G749" s="99">
        <v>1</v>
      </c>
      <c r="H749" s="50" t="s">
        <v>3429</v>
      </c>
      <c r="I749" s="178" t="s">
        <v>3430</v>
      </c>
      <c r="J749" s="50" t="s">
        <v>1629</v>
      </c>
      <c r="K749" s="50" t="s">
        <v>1629</v>
      </c>
      <c r="L749" s="50"/>
      <c r="M749" s="50"/>
      <c r="N749" s="50"/>
      <c r="O749" s="50"/>
      <c r="P749" s="50"/>
      <c r="Q749" s="50"/>
      <c r="R749" s="50"/>
      <c r="S749" s="50"/>
      <c r="T749" s="50"/>
      <c r="U749" s="50"/>
      <c r="V749" s="50"/>
      <c r="W749" s="50" t="s">
        <v>1629</v>
      </c>
      <c r="X749" s="50"/>
      <c r="Y749" s="50"/>
      <c r="Z749" s="50"/>
      <c r="AA749" s="50" t="s">
        <v>3431</v>
      </c>
      <c r="AB749" s="50" t="s">
        <v>3398</v>
      </c>
      <c r="AC749" s="50" t="s">
        <v>3432</v>
      </c>
      <c r="AD749" s="99">
        <v>327</v>
      </c>
      <c r="AE749" s="174">
        <v>163</v>
      </c>
      <c r="AF749" s="174" t="s">
        <v>2826</v>
      </c>
      <c r="AG749" s="50"/>
      <c r="AH749" s="50" t="s">
        <v>2852</v>
      </c>
      <c r="AI749" s="175">
        <v>138</v>
      </c>
      <c r="AJ749" s="178" t="s">
        <v>1039</v>
      </c>
      <c r="AK749" s="29"/>
      <c r="AL749" s="29"/>
      <c r="AM749" s="29"/>
      <c r="AN749" s="29"/>
      <c r="AO749" s="29"/>
      <c r="AP749" s="29"/>
      <c r="AQ749" s="29"/>
      <c r="AR749" s="29"/>
      <c r="AS749" s="29"/>
      <c r="AT749" s="29"/>
      <c r="AU749" s="29"/>
      <c r="AV749" s="29"/>
      <c r="AW749" s="29"/>
    </row>
    <row r="750" spans="1:49" ht="13">
      <c r="A750" s="176">
        <v>2019</v>
      </c>
      <c r="B750" s="53" t="s">
        <v>80</v>
      </c>
      <c r="C750" s="50" t="s">
        <v>246</v>
      </c>
      <c r="D750" s="50" t="s">
        <v>246</v>
      </c>
      <c r="E750" s="50" t="s">
        <v>246</v>
      </c>
      <c r="F750" s="50" t="s">
        <v>1043</v>
      </c>
      <c r="G750" s="99">
        <v>1</v>
      </c>
      <c r="H750" s="50" t="s">
        <v>3433</v>
      </c>
      <c r="I750" s="179" t="s">
        <v>3434</v>
      </c>
      <c r="J750" s="50" t="s">
        <v>1629</v>
      </c>
      <c r="K750" s="189" t="s">
        <v>2829</v>
      </c>
      <c r="L750" s="190"/>
      <c r="M750" s="190"/>
      <c r="N750" s="50"/>
      <c r="O750" s="50"/>
      <c r="P750" s="50"/>
      <c r="Q750" s="50"/>
      <c r="R750" s="50"/>
      <c r="S750" s="50"/>
      <c r="T750" s="50"/>
      <c r="U750" s="50"/>
      <c r="V750" s="50"/>
      <c r="W750" s="50" t="s">
        <v>2829</v>
      </c>
      <c r="X750" s="50"/>
      <c r="Y750" s="50"/>
      <c r="Z750" s="50"/>
      <c r="AA750" s="50" t="s">
        <v>3435</v>
      </c>
      <c r="AB750" s="50" t="s">
        <v>3398</v>
      </c>
      <c r="AC750" s="50" t="s">
        <v>3436</v>
      </c>
      <c r="AD750" s="95">
        <v>328</v>
      </c>
      <c r="AE750" s="174">
        <v>164</v>
      </c>
      <c r="AF750" s="174">
        <v>148</v>
      </c>
      <c r="AG750" s="50"/>
      <c r="AH750" s="50" t="s">
        <v>2852</v>
      </c>
      <c r="AI750" s="175">
        <v>139</v>
      </c>
      <c r="AJ750" s="179" t="s">
        <v>1046</v>
      </c>
      <c r="AK750" s="14"/>
      <c r="AL750" s="14"/>
      <c r="AM750" s="14"/>
      <c r="AN750" s="14"/>
      <c r="AO750" s="14"/>
      <c r="AP750" s="14"/>
      <c r="AQ750" s="14"/>
      <c r="AR750" s="14"/>
      <c r="AS750" s="14"/>
      <c r="AT750" s="14"/>
      <c r="AU750" s="14"/>
      <c r="AV750" s="14"/>
      <c r="AW750" s="14"/>
    </row>
    <row r="751" spans="1:49" ht="13">
      <c r="A751" s="176">
        <v>2019</v>
      </c>
      <c r="B751" s="53" t="s">
        <v>80</v>
      </c>
      <c r="C751" s="50" t="s">
        <v>246</v>
      </c>
      <c r="D751" s="50" t="s">
        <v>246</v>
      </c>
      <c r="E751" s="50" t="s">
        <v>246</v>
      </c>
      <c r="F751" s="50" t="s">
        <v>1049</v>
      </c>
      <c r="G751" s="99">
        <v>1</v>
      </c>
      <c r="H751" s="50" t="s">
        <v>3437</v>
      </c>
      <c r="I751" s="178" t="s">
        <v>3438</v>
      </c>
      <c r="J751" s="50" t="s">
        <v>1629</v>
      </c>
      <c r="K751" s="50" t="s">
        <v>1629</v>
      </c>
      <c r="L751" s="50"/>
      <c r="M751" s="50"/>
      <c r="N751" s="50"/>
      <c r="O751" s="50"/>
      <c r="P751" s="50"/>
      <c r="Q751" s="50"/>
      <c r="R751" s="50"/>
      <c r="S751" s="50"/>
      <c r="T751" s="50"/>
      <c r="U751" s="50"/>
      <c r="V751" s="50"/>
      <c r="W751" s="50" t="s">
        <v>1629</v>
      </c>
      <c r="X751" s="50"/>
      <c r="Y751" s="50"/>
      <c r="Z751" s="50"/>
      <c r="AA751" s="50" t="s">
        <v>3439</v>
      </c>
      <c r="AB751" s="50" t="s">
        <v>3398</v>
      </c>
      <c r="AC751" s="50" t="s">
        <v>3440</v>
      </c>
      <c r="AD751" s="99">
        <v>329</v>
      </c>
      <c r="AE751" s="174">
        <v>165</v>
      </c>
      <c r="AF751" s="174">
        <v>148</v>
      </c>
      <c r="AG751" s="50"/>
      <c r="AH751" s="50" t="s">
        <v>2852</v>
      </c>
      <c r="AI751" s="175">
        <v>140</v>
      </c>
      <c r="AJ751" s="178" t="s">
        <v>1051</v>
      </c>
      <c r="AK751" s="29"/>
      <c r="AL751" s="29"/>
      <c r="AM751" s="29"/>
      <c r="AN751" s="29"/>
      <c r="AO751" s="29"/>
      <c r="AP751" s="29"/>
      <c r="AQ751" s="29"/>
      <c r="AR751" s="29"/>
      <c r="AS751" s="29"/>
      <c r="AT751" s="29"/>
      <c r="AU751" s="29"/>
      <c r="AV751" s="29"/>
      <c r="AW751" s="29"/>
    </row>
    <row r="752" spans="1:49" ht="13">
      <c r="A752" s="176">
        <v>2005</v>
      </c>
      <c r="B752" s="53" t="s">
        <v>58</v>
      </c>
      <c r="C752" s="50" t="s">
        <v>1374</v>
      </c>
      <c r="D752" s="50" t="s">
        <v>465</v>
      </c>
      <c r="E752" s="50" t="s">
        <v>1374</v>
      </c>
      <c r="F752" s="50" t="s">
        <v>3441</v>
      </c>
      <c r="G752" s="177">
        <v>0</v>
      </c>
      <c r="H752" s="50" t="s">
        <v>3442</v>
      </c>
      <c r="I752" s="179" t="s">
        <v>3443</v>
      </c>
      <c r="J752" s="50" t="s">
        <v>1629</v>
      </c>
      <c r="K752" s="50" t="s">
        <v>1629</v>
      </c>
      <c r="L752" s="50"/>
      <c r="M752" s="50"/>
      <c r="N752" s="50"/>
      <c r="O752" s="50"/>
      <c r="P752" s="50"/>
      <c r="Q752" s="50"/>
      <c r="R752" s="50"/>
      <c r="S752" s="50"/>
      <c r="T752" s="50"/>
      <c r="U752" s="50"/>
      <c r="V752" s="50"/>
      <c r="W752" s="50" t="s">
        <v>1629</v>
      </c>
      <c r="X752" s="50"/>
      <c r="Y752" s="50"/>
      <c r="Z752" s="50"/>
      <c r="AA752" s="50"/>
      <c r="AB752" s="50" t="s">
        <v>3091</v>
      </c>
      <c r="AC752" s="50" t="s">
        <v>3444</v>
      </c>
      <c r="AD752" s="95">
        <v>330</v>
      </c>
      <c r="AE752" s="174" t="s">
        <v>2826</v>
      </c>
      <c r="AF752" s="174" t="s">
        <v>2826</v>
      </c>
      <c r="AG752" s="50"/>
      <c r="AH752" s="50" t="s">
        <v>2819</v>
      </c>
      <c r="AI752" s="175">
        <v>141</v>
      </c>
      <c r="AJ752" s="53" t="s">
        <v>462</v>
      </c>
      <c r="AK752" s="14"/>
      <c r="AL752" s="14"/>
      <c r="AM752" s="14"/>
      <c r="AN752" s="14"/>
      <c r="AO752" s="14"/>
      <c r="AP752" s="14"/>
      <c r="AQ752" s="14"/>
      <c r="AR752" s="14"/>
      <c r="AS752" s="14"/>
      <c r="AT752" s="14"/>
      <c r="AU752" s="14"/>
      <c r="AV752" s="14"/>
      <c r="AW752" s="14"/>
    </row>
    <row r="753" spans="1:49" ht="13">
      <c r="A753" s="176">
        <v>2023</v>
      </c>
      <c r="B753" s="53" t="s">
        <v>58</v>
      </c>
      <c r="C753" s="50" t="s">
        <v>393</v>
      </c>
      <c r="D753" s="50" t="s">
        <v>393</v>
      </c>
      <c r="E753" s="50" t="s">
        <v>393</v>
      </c>
      <c r="F753" s="50" t="s">
        <v>936</v>
      </c>
      <c r="G753" s="99">
        <v>2</v>
      </c>
      <c r="H753" s="50" t="s">
        <v>3445</v>
      </c>
      <c r="I753" s="178" t="s">
        <v>3446</v>
      </c>
      <c r="J753" s="50" t="s">
        <v>1629</v>
      </c>
      <c r="K753" s="50" t="s">
        <v>1629</v>
      </c>
      <c r="L753" s="50"/>
      <c r="M753" s="50"/>
      <c r="N753" s="50"/>
      <c r="O753" s="50"/>
      <c r="P753" s="50"/>
      <c r="Q753" s="50"/>
      <c r="R753" s="50"/>
      <c r="S753" s="50"/>
      <c r="T753" s="50"/>
      <c r="U753" s="50"/>
      <c r="V753" s="50"/>
      <c r="W753" s="50" t="s">
        <v>1635</v>
      </c>
      <c r="X753" s="50"/>
      <c r="Y753" s="50"/>
      <c r="Z753" s="50"/>
      <c r="AA753" s="50" t="s">
        <v>3447</v>
      </c>
      <c r="AB753" s="50" t="s">
        <v>3091</v>
      </c>
      <c r="AC753" s="50" t="s">
        <v>3448</v>
      </c>
      <c r="AD753" s="99">
        <v>331</v>
      </c>
      <c r="AE753" s="174" t="s">
        <v>2826</v>
      </c>
      <c r="AF753" s="174">
        <v>225</v>
      </c>
      <c r="AG753" s="50"/>
      <c r="AH753" s="50" t="s">
        <v>2819</v>
      </c>
      <c r="AI753" s="175">
        <v>142</v>
      </c>
      <c r="AJ753" s="181" t="s">
        <v>462</v>
      </c>
      <c r="AK753" s="29"/>
      <c r="AL753" s="29"/>
      <c r="AM753" s="29"/>
      <c r="AN753" s="29"/>
      <c r="AO753" s="29"/>
      <c r="AP753" s="29"/>
      <c r="AQ753" s="29"/>
      <c r="AR753" s="29"/>
      <c r="AS753" s="29"/>
      <c r="AT753" s="29"/>
      <c r="AU753" s="29"/>
      <c r="AV753" s="29"/>
      <c r="AW753" s="29"/>
    </row>
    <row r="754" spans="1:49" ht="13">
      <c r="A754" s="176">
        <v>2019</v>
      </c>
      <c r="B754" s="53" t="s">
        <v>58</v>
      </c>
      <c r="C754" s="50" t="s">
        <v>331</v>
      </c>
      <c r="D754" s="50" t="s">
        <v>310</v>
      </c>
      <c r="E754" s="50" t="s">
        <v>331</v>
      </c>
      <c r="F754" s="50" t="s">
        <v>1056</v>
      </c>
      <c r="G754" s="99">
        <v>1</v>
      </c>
      <c r="H754" s="50" t="s">
        <v>3449</v>
      </c>
      <c r="I754" s="179" t="s">
        <v>3450</v>
      </c>
      <c r="J754" s="50" t="s">
        <v>1629</v>
      </c>
      <c r="K754" s="189" t="s">
        <v>2829</v>
      </c>
      <c r="L754" s="190"/>
      <c r="M754" s="190"/>
      <c r="N754" s="50"/>
      <c r="O754" s="50"/>
      <c r="P754" s="50"/>
      <c r="Q754" s="50"/>
      <c r="R754" s="50"/>
      <c r="S754" s="50"/>
      <c r="T754" s="50"/>
      <c r="U754" s="50"/>
      <c r="V754" s="50"/>
      <c r="W754" s="50" t="s">
        <v>2829</v>
      </c>
      <c r="X754" s="50"/>
      <c r="Y754" s="50"/>
      <c r="Z754" s="50"/>
      <c r="AA754" s="50" t="s">
        <v>3451</v>
      </c>
      <c r="AB754" s="50" t="s">
        <v>3398</v>
      </c>
      <c r="AC754" s="50" t="s">
        <v>3452</v>
      </c>
      <c r="AD754" s="95">
        <v>332</v>
      </c>
      <c r="AE754" s="174">
        <v>166</v>
      </c>
      <c r="AF754" s="174" t="s">
        <v>2826</v>
      </c>
      <c r="AG754" s="50"/>
      <c r="AH754" s="50" t="s">
        <v>2852</v>
      </c>
      <c r="AI754" s="175">
        <v>143</v>
      </c>
      <c r="AJ754" s="179" t="s">
        <v>1058</v>
      </c>
      <c r="AK754" s="14"/>
      <c r="AL754" s="14"/>
      <c r="AM754" s="14"/>
      <c r="AN754" s="14"/>
      <c r="AO754" s="14"/>
      <c r="AP754" s="14"/>
      <c r="AQ754" s="14"/>
      <c r="AR754" s="14"/>
      <c r="AS754" s="14"/>
      <c r="AT754" s="14"/>
      <c r="AU754" s="14"/>
      <c r="AV754" s="14"/>
      <c r="AW754" s="14"/>
    </row>
    <row r="755" spans="1:49" ht="13">
      <c r="A755" s="176">
        <v>2024</v>
      </c>
      <c r="B755" s="53" t="s">
        <v>58</v>
      </c>
      <c r="C755" s="50" t="s">
        <v>397</v>
      </c>
      <c r="D755" s="50" t="s">
        <v>465</v>
      </c>
      <c r="E755" s="50" t="s">
        <v>397</v>
      </c>
      <c r="F755" s="50" t="s">
        <v>1067</v>
      </c>
      <c r="G755" s="99">
        <v>1</v>
      </c>
      <c r="H755" s="50" t="s">
        <v>3453</v>
      </c>
      <c r="I755" s="178" t="s">
        <v>3454</v>
      </c>
      <c r="J755" s="50" t="s">
        <v>1629</v>
      </c>
      <c r="K755" s="50" t="s">
        <v>1629</v>
      </c>
      <c r="L755" s="50"/>
      <c r="M755" s="50"/>
      <c r="N755" s="50"/>
      <c r="O755" s="50"/>
      <c r="P755" s="50"/>
      <c r="Q755" s="50"/>
      <c r="R755" s="50"/>
      <c r="S755" s="50"/>
      <c r="T755" s="50"/>
      <c r="U755" s="50"/>
      <c r="V755" s="50"/>
      <c r="W755" s="50" t="s">
        <v>1629</v>
      </c>
      <c r="X755" s="50"/>
      <c r="Y755" s="50"/>
      <c r="Z755" s="50"/>
      <c r="AA755" s="50" t="s">
        <v>3455</v>
      </c>
      <c r="AB755" s="50" t="s">
        <v>3398</v>
      </c>
      <c r="AC755" s="50" t="s">
        <v>3456</v>
      </c>
      <c r="AD755" s="99">
        <v>333</v>
      </c>
      <c r="AE755" s="174">
        <v>167</v>
      </c>
      <c r="AF755" s="174" t="s">
        <v>2826</v>
      </c>
      <c r="AG755" s="50"/>
      <c r="AH755" s="50" t="s">
        <v>2852</v>
      </c>
      <c r="AI755" s="175">
        <v>144</v>
      </c>
      <c r="AJ755" s="178" t="s">
        <v>1070</v>
      </c>
      <c r="AK755" s="29"/>
      <c r="AL755" s="29"/>
      <c r="AM755" s="29"/>
      <c r="AN755" s="29"/>
      <c r="AO755" s="29"/>
      <c r="AP755" s="29"/>
      <c r="AQ755" s="29"/>
      <c r="AR755" s="29"/>
      <c r="AS755" s="29"/>
      <c r="AT755" s="29"/>
      <c r="AU755" s="29"/>
      <c r="AV755" s="29"/>
      <c r="AW755" s="29"/>
    </row>
    <row r="756" spans="1:49" ht="13">
      <c r="A756" s="176">
        <v>2022</v>
      </c>
      <c r="B756" s="53" t="s">
        <v>58</v>
      </c>
      <c r="C756" s="50" t="s">
        <v>383</v>
      </c>
      <c r="D756" s="50" t="s">
        <v>383</v>
      </c>
      <c r="E756" s="50" t="s">
        <v>383</v>
      </c>
      <c r="F756" s="50" t="s">
        <v>1075</v>
      </c>
      <c r="G756" s="99">
        <v>1</v>
      </c>
      <c r="H756" s="50" t="s">
        <v>3457</v>
      </c>
      <c r="I756" s="179" t="s">
        <v>3458</v>
      </c>
      <c r="J756" s="50" t="s">
        <v>1629</v>
      </c>
      <c r="K756" s="50" t="s">
        <v>1629</v>
      </c>
      <c r="L756" s="50"/>
      <c r="M756" s="50"/>
      <c r="N756" s="50"/>
      <c r="O756" s="50"/>
      <c r="P756" s="50"/>
      <c r="Q756" s="50"/>
      <c r="R756" s="50"/>
      <c r="S756" s="50"/>
      <c r="T756" s="50"/>
      <c r="U756" s="50"/>
      <c r="V756" s="50"/>
      <c r="W756" s="50" t="s">
        <v>1635</v>
      </c>
      <c r="X756" s="50"/>
      <c r="Y756" s="50"/>
      <c r="Z756" s="50"/>
      <c r="AA756" s="50" t="s">
        <v>3459</v>
      </c>
      <c r="AB756" s="50" t="s">
        <v>2841</v>
      </c>
      <c r="AC756" s="50" t="s">
        <v>3460</v>
      </c>
      <c r="AD756" s="95">
        <v>334</v>
      </c>
      <c r="AE756" s="174">
        <v>168</v>
      </c>
      <c r="AF756" s="174">
        <v>218</v>
      </c>
      <c r="AG756" s="50"/>
      <c r="AH756" s="50" t="s">
        <v>2837</v>
      </c>
      <c r="AI756" s="175">
        <v>145</v>
      </c>
      <c r="AJ756" s="179" t="s">
        <v>1077</v>
      </c>
      <c r="AK756" s="14"/>
      <c r="AL756" s="14"/>
      <c r="AM756" s="14"/>
      <c r="AN756" s="14"/>
      <c r="AO756" s="14"/>
      <c r="AP756" s="14"/>
      <c r="AQ756" s="14"/>
      <c r="AR756" s="14"/>
      <c r="AS756" s="14"/>
      <c r="AT756" s="14"/>
      <c r="AU756" s="14"/>
      <c r="AV756" s="14"/>
      <c r="AW756" s="14"/>
    </row>
    <row r="757" spans="1:49" ht="13">
      <c r="A757" s="176">
        <v>2017</v>
      </c>
      <c r="B757" s="53" t="s">
        <v>56</v>
      </c>
      <c r="C757" s="50" t="s">
        <v>56</v>
      </c>
      <c r="D757" s="50" t="s">
        <v>465</v>
      </c>
      <c r="E757" s="50" t="s">
        <v>56</v>
      </c>
      <c r="F757" s="50" t="s">
        <v>920</v>
      </c>
      <c r="G757" s="99">
        <v>1</v>
      </c>
      <c r="H757" s="50" t="s">
        <v>3461</v>
      </c>
      <c r="I757" s="178" t="s">
        <v>3462</v>
      </c>
      <c r="J757" s="50" t="s">
        <v>1629</v>
      </c>
      <c r="K757" s="50" t="s">
        <v>1629</v>
      </c>
      <c r="L757" s="50"/>
      <c r="M757" s="50"/>
      <c r="N757" s="50"/>
      <c r="O757" s="50"/>
      <c r="P757" s="50"/>
      <c r="Q757" s="50"/>
      <c r="R757" s="50"/>
      <c r="S757" s="50"/>
      <c r="T757" s="50"/>
      <c r="U757" s="50"/>
      <c r="V757" s="50"/>
      <c r="W757" s="50" t="s">
        <v>2829</v>
      </c>
      <c r="X757" s="50"/>
      <c r="Y757" s="50"/>
      <c r="Z757" s="50"/>
      <c r="AA757" s="50" t="s">
        <v>3463</v>
      </c>
      <c r="AB757" s="50" t="s">
        <v>2841</v>
      </c>
      <c r="AC757" s="50" t="s">
        <v>3464</v>
      </c>
      <c r="AD757" s="99">
        <v>335</v>
      </c>
      <c r="AE757" s="174" t="s">
        <v>2826</v>
      </c>
      <c r="AF757" s="174" t="s">
        <v>2826</v>
      </c>
      <c r="AG757" s="50"/>
      <c r="AH757" s="50" t="s">
        <v>2819</v>
      </c>
      <c r="AI757" s="175">
        <v>146</v>
      </c>
      <c r="AJ757" s="178" t="s">
        <v>3270</v>
      </c>
      <c r="AK757" s="29"/>
      <c r="AL757" s="29"/>
      <c r="AM757" s="29"/>
      <c r="AN757" s="29"/>
      <c r="AO757" s="29"/>
      <c r="AP757" s="29"/>
      <c r="AQ757" s="29"/>
      <c r="AR757" s="29"/>
      <c r="AS757" s="29"/>
      <c r="AT757" s="29"/>
      <c r="AU757" s="29"/>
      <c r="AV757" s="29"/>
      <c r="AW757" s="29"/>
    </row>
    <row r="758" spans="1:49" ht="13">
      <c r="A758" s="176">
        <v>2020</v>
      </c>
      <c r="B758" s="53" t="s">
        <v>56</v>
      </c>
      <c r="C758" s="50" t="s">
        <v>56</v>
      </c>
      <c r="D758" s="50" t="s">
        <v>465</v>
      </c>
      <c r="E758" s="50" t="s">
        <v>56</v>
      </c>
      <c r="F758" s="50" t="s">
        <v>920</v>
      </c>
      <c r="G758" s="99">
        <v>1</v>
      </c>
      <c r="H758" s="50" t="s">
        <v>3465</v>
      </c>
      <c r="I758" s="179" t="s">
        <v>3466</v>
      </c>
      <c r="J758" s="50" t="s">
        <v>1629</v>
      </c>
      <c r="K758" s="50" t="s">
        <v>1629</v>
      </c>
      <c r="L758" s="50"/>
      <c r="M758" s="50"/>
      <c r="N758" s="50"/>
      <c r="O758" s="50"/>
      <c r="P758" s="50"/>
      <c r="Q758" s="50"/>
      <c r="R758" s="50"/>
      <c r="S758" s="50"/>
      <c r="T758" s="50"/>
      <c r="U758" s="50"/>
      <c r="V758" s="50"/>
      <c r="W758" s="50" t="s">
        <v>1629</v>
      </c>
      <c r="X758" s="50"/>
      <c r="Y758" s="50"/>
      <c r="Z758" s="50"/>
      <c r="AA758" s="50" t="s">
        <v>3467</v>
      </c>
      <c r="AB758" s="50" t="s">
        <v>2841</v>
      </c>
      <c r="AC758" s="50" t="s">
        <v>3468</v>
      </c>
      <c r="AD758" s="95">
        <v>336</v>
      </c>
      <c r="AE758" s="174" t="s">
        <v>2826</v>
      </c>
      <c r="AF758" s="174" t="s">
        <v>2826</v>
      </c>
      <c r="AG758" s="50"/>
      <c r="AH758" s="50" t="s">
        <v>2819</v>
      </c>
      <c r="AI758" s="175">
        <v>147</v>
      </c>
      <c r="AJ758" s="179" t="s">
        <v>3270</v>
      </c>
      <c r="AK758" s="14"/>
      <c r="AL758" s="14"/>
      <c r="AM758" s="14"/>
      <c r="AN758" s="14"/>
      <c r="AO758" s="14"/>
      <c r="AP758" s="14"/>
      <c r="AQ758" s="14"/>
      <c r="AR758" s="14"/>
      <c r="AS758" s="14"/>
      <c r="AT758" s="14"/>
      <c r="AU758" s="14"/>
      <c r="AV758" s="14"/>
      <c r="AW758" s="14"/>
    </row>
    <row r="759" spans="1:49" ht="13">
      <c r="A759" s="176">
        <v>2021</v>
      </c>
      <c r="B759" s="53" t="s">
        <v>58</v>
      </c>
      <c r="C759" s="50" t="s">
        <v>349</v>
      </c>
      <c r="D759" s="50" t="s">
        <v>383</v>
      </c>
      <c r="E759" s="50" t="s">
        <v>349</v>
      </c>
      <c r="F759" s="50" t="s">
        <v>1082</v>
      </c>
      <c r="G759" s="99">
        <v>1</v>
      </c>
      <c r="H759" s="50" t="s">
        <v>1082</v>
      </c>
      <c r="I759" s="178" t="s">
        <v>3469</v>
      </c>
      <c r="J759" s="50" t="s">
        <v>1629</v>
      </c>
      <c r="K759" s="50" t="s">
        <v>1629</v>
      </c>
      <c r="L759" s="50"/>
      <c r="M759" s="50"/>
      <c r="N759" s="50"/>
      <c r="O759" s="50"/>
      <c r="P759" s="50"/>
      <c r="Q759" s="50"/>
      <c r="R759" s="50"/>
      <c r="S759" s="50"/>
      <c r="T759" s="50"/>
      <c r="U759" s="50"/>
      <c r="V759" s="50"/>
      <c r="W759" s="50" t="s">
        <v>1635</v>
      </c>
      <c r="X759" s="50"/>
      <c r="Y759" s="50"/>
      <c r="Z759" s="50"/>
      <c r="AA759" s="50" t="s">
        <v>3470</v>
      </c>
      <c r="AB759" s="50" t="s">
        <v>2841</v>
      </c>
      <c r="AC759" s="50" t="s">
        <v>3471</v>
      </c>
      <c r="AD759" s="99">
        <v>337</v>
      </c>
      <c r="AE759" s="174" t="s">
        <v>2826</v>
      </c>
      <c r="AF759" s="174">
        <v>218</v>
      </c>
      <c r="AG759" s="50"/>
      <c r="AH759" s="50" t="s">
        <v>2819</v>
      </c>
      <c r="AI759" s="175">
        <v>148</v>
      </c>
      <c r="AJ759" s="178" t="s">
        <v>3472</v>
      </c>
      <c r="AK759" s="29"/>
      <c r="AL759" s="29"/>
      <c r="AM759" s="29"/>
      <c r="AN759" s="29"/>
      <c r="AO759" s="29"/>
      <c r="AP759" s="29"/>
      <c r="AQ759" s="29"/>
      <c r="AR759" s="29"/>
      <c r="AS759" s="29"/>
      <c r="AT759" s="29"/>
      <c r="AU759" s="29"/>
      <c r="AV759" s="29"/>
      <c r="AW759" s="29"/>
    </row>
    <row r="760" spans="1:49" ht="13">
      <c r="A760" s="176">
        <v>2024</v>
      </c>
      <c r="B760" s="53" t="s">
        <v>58</v>
      </c>
      <c r="C760" s="50" t="s">
        <v>455</v>
      </c>
      <c r="D760" s="50" t="s">
        <v>465</v>
      </c>
      <c r="E760" s="50" t="s">
        <v>455</v>
      </c>
      <c r="F760" s="50" t="s">
        <v>3473</v>
      </c>
      <c r="G760" s="177">
        <v>0</v>
      </c>
      <c r="H760" s="50" t="s">
        <v>3474</v>
      </c>
      <c r="I760" s="179" t="s">
        <v>3475</v>
      </c>
      <c r="J760" s="50" t="s">
        <v>1629</v>
      </c>
      <c r="K760" s="50" t="s">
        <v>1629</v>
      </c>
      <c r="L760" s="50"/>
      <c r="M760" s="50"/>
      <c r="N760" s="50"/>
      <c r="O760" s="50"/>
      <c r="P760" s="50"/>
      <c r="Q760" s="50"/>
      <c r="R760" s="50"/>
      <c r="S760" s="50"/>
      <c r="T760" s="50"/>
      <c r="U760" s="50"/>
      <c r="V760" s="50"/>
      <c r="W760" s="50" t="s">
        <v>2829</v>
      </c>
      <c r="X760" s="50"/>
      <c r="Y760" s="50"/>
      <c r="Z760" s="50"/>
      <c r="AA760" s="50" t="s">
        <v>3476</v>
      </c>
      <c r="AB760" s="50" t="s">
        <v>2841</v>
      </c>
      <c r="AC760" s="50" t="s">
        <v>3477</v>
      </c>
      <c r="AD760" s="95">
        <v>338</v>
      </c>
      <c r="AE760" s="174" t="s">
        <v>2826</v>
      </c>
      <c r="AF760" s="174" t="s">
        <v>2826</v>
      </c>
      <c r="AG760" s="50"/>
      <c r="AH760" s="50" t="s">
        <v>2819</v>
      </c>
      <c r="AI760" s="175">
        <v>149</v>
      </c>
      <c r="AJ760" s="179" t="s">
        <v>3478</v>
      </c>
      <c r="AK760" s="14"/>
      <c r="AL760" s="14"/>
      <c r="AM760" s="14"/>
      <c r="AN760" s="14"/>
      <c r="AO760" s="14"/>
      <c r="AP760" s="14"/>
      <c r="AQ760" s="14"/>
      <c r="AR760" s="14"/>
      <c r="AS760" s="14"/>
      <c r="AT760" s="14"/>
      <c r="AU760" s="14"/>
      <c r="AV760" s="14"/>
      <c r="AW760" s="14"/>
    </row>
    <row r="761" spans="1:49" ht="13">
      <c r="A761" s="176">
        <v>2024</v>
      </c>
      <c r="B761" s="53" t="s">
        <v>80</v>
      </c>
      <c r="C761" s="50" t="s">
        <v>163</v>
      </c>
      <c r="D761" s="50" t="s">
        <v>465</v>
      </c>
      <c r="E761" s="50" t="s">
        <v>163</v>
      </c>
      <c r="F761" s="50" t="s">
        <v>1114</v>
      </c>
      <c r="G761" s="99">
        <v>1</v>
      </c>
      <c r="H761" s="50" t="s">
        <v>3479</v>
      </c>
      <c r="I761" s="178" t="s">
        <v>3480</v>
      </c>
      <c r="J761" s="50" t="s">
        <v>1629</v>
      </c>
      <c r="K761" s="50" t="s">
        <v>1635</v>
      </c>
      <c r="L761" s="50"/>
      <c r="M761" s="50"/>
      <c r="N761" s="50"/>
      <c r="O761" s="50"/>
      <c r="P761" s="50"/>
      <c r="Q761" s="50"/>
      <c r="R761" s="50"/>
      <c r="S761" s="50"/>
      <c r="T761" s="50"/>
      <c r="U761" s="50"/>
      <c r="V761" s="50"/>
      <c r="W761" s="50" t="s">
        <v>1635</v>
      </c>
      <c r="X761" s="50"/>
      <c r="Y761" s="50"/>
      <c r="Z761" s="50"/>
      <c r="AA761" s="50" t="s">
        <v>3481</v>
      </c>
      <c r="AB761" s="50" t="s">
        <v>3398</v>
      </c>
      <c r="AC761" s="50" t="s">
        <v>3482</v>
      </c>
      <c r="AD761" s="99">
        <v>339</v>
      </c>
      <c r="AE761" s="174">
        <v>171</v>
      </c>
      <c r="AF761" s="174" t="s">
        <v>2826</v>
      </c>
      <c r="AG761" s="50"/>
      <c r="AH761" s="50" t="s">
        <v>2852</v>
      </c>
      <c r="AI761" s="175">
        <v>150</v>
      </c>
      <c r="AJ761" s="178" t="s">
        <v>1117</v>
      </c>
      <c r="AK761" s="29"/>
      <c r="AL761" s="29"/>
      <c r="AM761" s="29"/>
      <c r="AN761" s="29"/>
      <c r="AO761" s="29"/>
      <c r="AP761" s="29"/>
      <c r="AQ761" s="29"/>
      <c r="AR761" s="29"/>
      <c r="AS761" s="29"/>
      <c r="AT761" s="29"/>
      <c r="AU761" s="29"/>
      <c r="AV761" s="29"/>
      <c r="AW761" s="29"/>
    </row>
    <row r="762" spans="1:49" ht="13">
      <c r="A762" s="176">
        <v>2024</v>
      </c>
      <c r="B762" s="53" t="s">
        <v>58</v>
      </c>
      <c r="C762" s="50" t="s">
        <v>383</v>
      </c>
      <c r="D762" s="50" t="s">
        <v>383</v>
      </c>
      <c r="E762" s="50" t="s">
        <v>383</v>
      </c>
      <c r="F762" s="50" t="s">
        <v>1128</v>
      </c>
      <c r="G762" s="99">
        <v>1</v>
      </c>
      <c r="H762" s="50" t="s">
        <v>3483</v>
      </c>
      <c r="I762" s="179" t="s">
        <v>3484</v>
      </c>
      <c r="J762" s="50" t="s">
        <v>1629</v>
      </c>
      <c r="K762" s="50" t="s">
        <v>1629</v>
      </c>
      <c r="L762" s="50"/>
      <c r="M762" s="50"/>
      <c r="N762" s="50"/>
      <c r="O762" s="50"/>
      <c r="P762" s="50"/>
      <c r="Q762" s="50"/>
      <c r="R762" s="50"/>
      <c r="S762" s="50"/>
      <c r="T762" s="50"/>
      <c r="U762" s="50"/>
      <c r="V762" s="50"/>
      <c r="W762" s="50" t="s">
        <v>2829</v>
      </c>
      <c r="X762" s="50"/>
      <c r="Y762" s="50"/>
      <c r="Z762" s="50"/>
      <c r="AA762" s="50" t="s">
        <v>3485</v>
      </c>
      <c r="AB762" s="50" t="s">
        <v>2841</v>
      </c>
      <c r="AC762" s="50" t="s">
        <v>3486</v>
      </c>
      <c r="AD762" s="95">
        <v>340</v>
      </c>
      <c r="AE762" s="174">
        <v>172</v>
      </c>
      <c r="AF762" s="174">
        <v>218</v>
      </c>
      <c r="AG762" s="50"/>
      <c r="AH762" s="50" t="s">
        <v>2819</v>
      </c>
      <c r="AI762" s="175">
        <v>151</v>
      </c>
      <c r="AJ762" s="179" t="s">
        <v>1129</v>
      </c>
      <c r="AK762" s="14"/>
      <c r="AL762" s="14"/>
      <c r="AM762" s="14"/>
      <c r="AN762" s="14"/>
      <c r="AO762" s="14"/>
      <c r="AP762" s="14"/>
      <c r="AQ762" s="14"/>
      <c r="AR762" s="14"/>
      <c r="AS762" s="14"/>
      <c r="AT762" s="14"/>
      <c r="AU762" s="14"/>
      <c r="AV762" s="14"/>
      <c r="AW762" s="14"/>
    </row>
    <row r="763" spans="1:49" ht="13">
      <c r="A763" s="176">
        <v>2024</v>
      </c>
      <c r="B763" s="53" t="s">
        <v>58</v>
      </c>
      <c r="C763" s="50" t="s">
        <v>462</v>
      </c>
      <c r="D763" s="50" t="s">
        <v>465</v>
      </c>
      <c r="E763" s="50" t="s">
        <v>462</v>
      </c>
      <c r="F763" s="50" t="s">
        <v>1137</v>
      </c>
      <c r="G763" s="99">
        <v>1</v>
      </c>
      <c r="H763" s="50" t="s">
        <v>3487</v>
      </c>
      <c r="I763" s="178" t="s">
        <v>3488</v>
      </c>
      <c r="J763" s="50" t="s">
        <v>1629</v>
      </c>
      <c r="K763" s="189" t="s">
        <v>2829</v>
      </c>
      <c r="L763" s="190"/>
      <c r="M763" s="190"/>
      <c r="N763" s="50"/>
      <c r="O763" s="50"/>
      <c r="P763" s="50"/>
      <c r="Q763" s="50"/>
      <c r="R763" s="50"/>
      <c r="S763" s="50"/>
      <c r="T763" s="50"/>
      <c r="U763" s="50"/>
      <c r="V763" s="50"/>
      <c r="W763" s="50" t="s">
        <v>2829</v>
      </c>
      <c r="X763" s="50"/>
      <c r="Y763" s="50"/>
      <c r="Z763" s="50"/>
      <c r="AA763" s="50" t="s">
        <v>3489</v>
      </c>
      <c r="AB763" s="50" t="s">
        <v>3398</v>
      </c>
      <c r="AC763" s="50" t="s">
        <v>3490</v>
      </c>
      <c r="AD763" s="99">
        <v>341</v>
      </c>
      <c r="AE763" s="174">
        <v>173</v>
      </c>
      <c r="AF763" s="174" t="s">
        <v>2826</v>
      </c>
      <c r="AG763" s="50"/>
      <c r="AH763" s="50" t="s">
        <v>2852</v>
      </c>
      <c r="AI763" s="175">
        <v>152</v>
      </c>
      <c r="AJ763" s="178" t="s">
        <v>1140</v>
      </c>
      <c r="AK763" s="29"/>
      <c r="AL763" s="29"/>
      <c r="AM763" s="29"/>
      <c r="AN763" s="29"/>
      <c r="AO763" s="29"/>
      <c r="AP763" s="29"/>
      <c r="AQ763" s="29"/>
      <c r="AR763" s="29"/>
      <c r="AS763" s="29"/>
      <c r="AT763" s="29"/>
      <c r="AU763" s="29"/>
      <c r="AV763" s="29"/>
      <c r="AW763" s="29"/>
    </row>
    <row r="764" spans="1:49" ht="13">
      <c r="A764" s="176">
        <v>2020</v>
      </c>
      <c r="B764" s="53" t="s">
        <v>58</v>
      </c>
      <c r="C764" s="50" t="s">
        <v>383</v>
      </c>
      <c r="D764" s="50" t="s">
        <v>383</v>
      </c>
      <c r="E764" s="50" t="s">
        <v>383</v>
      </c>
      <c r="F764" s="50" t="s">
        <v>1149</v>
      </c>
      <c r="G764" s="99">
        <v>1</v>
      </c>
      <c r="H764" s="50" t="s">
        <v>3491</v>
      </c>
      <c r="I764" s="179" t="s">
        <v>3492</v>
      </c>
      <c r="J764" s="50" t="s">
        <v>1629</v>
      </c>
      <c r="K764" s="50" t="s">
        <v>1629</v>
      </c>
      <c r="L764" s="50"/>
      <c r="M764" s="50"/>
      <c r="N764" s="50"/>
      <c r="O764" s="50"/>
      <c r="P764" s="50"/>
      <c r="Q764" s="50"/>
      <c r="R764" s="50"/>
      <c r="S764" s="50"/>
      <c r="T764" s="50"/>
      <c r="U764" s="50"/>
      <c r="V764" s="50"/>
      <c r="W764" s="50" t="s">
        <v>1629</v>
      </c>
      <c r="X764" s="50"/>
      <c r="Y764" s="50"/>
      <c r="Z764" s="50"/>
      <c r="AA764" s="50" t="s">
        <v>3493</v>
      </c>
      <c r="AB764" s="50" t="s">
        <v>2841</v>
      </c>
      <c r="AC764" s="50" t="s">
        <v>3494</v>
      </c>
      <c r="AD764" s="95">
        <v>342</v>
      </c>
      <c r="AE764" s="174" t="s">
        <v>2826</v>
      </c>
      <c r="AF764" s="174">
        <v>218</v>
      </c>
      <c r="AG764" s="50"/>
      <c r="AH764" s="50" t="s">
        <v>2819</v>
      </c>
      <c r="AI764" s="175">
        <v>153</v>
      </c>
      <c r="AJ764" s="179" t="s">
        <v>3495</v>
      </c>
      <c r="AK764" s="14"/>
      <c r="AL764" s="14"/>
      <c r="AM764" s="14"/>
      <c r="AN764" s="14"/>
      <c r="AO764" s="14"/>
      <c r="AP764" s="14"/>
      <c r="AQ764" s="14"/>
      <c r="AR764" s="14"/>
      <c r="AS764" s="14"/>
      <c r="AT764" s="14"/>
      <c r="AU764" s="14"/>
      <c r="AV764" s="14"/>
      <c r="AW764" s="14"/>
    </row>
    <row r="765" spans="1:49" ht="13">
      <c r="A765" s="176">
        <v>2019</v>
      </c>
      <c r="B765" s="53" t="s">
        <v>58</v>
      </c>
      <c r="C765" s="50" t="s">
        <v>462</v>
      </c>
      <c r="D765" s="50" t="s">
        <v>465</v>
      </c>
      <c r="E765" s="50" t="s">
        <v>462</v>
      </c>
      <c r="F765" s="50" t="s">
        <v>1158</v>
      </c>
      <c r="G765" s="99">
        <v>1</v>
      </c>
      <c r="H765" s="50" t="s">
        <v>3496</v>
      </c>
      <c r="I765" s="178" t="s">
        <v>3497</v>
      </c>
      <c r="J765" s="50" t="s">
        <v>1629</v>
      </c>
      <c r="K765" s="189" t="s">
        <v>2829</v>
      </c>
      <c r="L765" s="190"/>
      <c r="M765" s="190"/>
      <c r="N765" s="50"/>
      <c r="O765" s="50"/>
      <c r="P765" s="50"/>
      <c r="Q765" s="50"/>
      <c r="R765" s="50"/>
      <c r="S765" s="50"/>
      <c r="T765" s="50"/>
      <c r="U765" s="50"/>
      <c r="V765" s="50"/>
      <c r="W765" s="50" t="s">
        <v>2829</v>
      </c>
      <c r="X765" s="50"/>
      <c r="Y765" s="50"/>
      <c r="Z765" s="50"/>
      <c r="AA765" s="50" t="s">
        <v>3498</v>
      </c>
      <c r="AB765" s="50" t="s">
        <v>3398</v>
      </c>
      <c r="AC765" s="50" t="s">
        <v>3499</v>
      </c>
      <c r="AD765" s="99">
        <v>343</v>
      </c>
      <c r="AE765" s="174">
        <v>175</v>
      </c>
      <c r="AF765" s="174" t="s">
        <v>2826</v>
      </c>
      <c r="AG765" s="50"/>
      <c r="AH765" s="50" t="s">
        <v>2852</v>
      </c>
      <c r="AI765" s="175">
        <v>154</v>
      </c>
      <c r="AJ765" s="178" t="s">
        <v>1162</v>
      </c>
      <c r="AK765" s="29"/>
      <c r="AL765" s="29"/>
      <c r="AM765" s="29"/>
      <c r="AN765" s="29"/>
      <c r="AO765" s="29"/>
      <c r="AP765" s="29"/>
      <c r="AQ765" s="29"/>
      <c r="AR765" s="29"/>
      <c r="AS765" s="29"/>
      <c r="AT765" s="29"/>
      <c r="AU765" s="29"/>
      <c r="AV765" s="29"/>
      <c r="AW765" s="29"/>
    </row>
    <row r="766" spans="1:49" ht="13">
      <c r="A766" s="176">
        <v>2019</v>
      </c>
      <c r="B766" s="53" t="s">
        <v>80</v>
      </c>
      <c r="C766" s="50" t="s">
        <v>311</v>
      </c>
      <c r="D766" s="50" t="s">
        <v>311</v>
      </c>
      <c r="E766" s="50" t="s">
        <v>311</v>
      </c>
      <c r="F766" s="50" t="s">
        <v>1167</v>
      </c>
      <c r="G766" s="99">
        <v>1</v>
      </c>
      <c r="H766" s="50" t="s">
        <v>3500</v>
      </c>
      <c r="I766" s="179" t="s">
        <v>3501</v>
      </c>
      <c r="J766" s="50" t="s">
        <v>1629</v>
      </c>
      <c r="K766" s="189" t="s">
        <v>2829</v>
      </c>
      <c r="L766" s="190"/>
      <c r="M766" s="190"/>
      <c r="N766" s="50"/>
      <c r="O766" s="50"/>
      <c r="P766" s="50"/>
      <c r="Q766" s="50"/>
      <c r="R766" s="50"/>
      <c r="S766" s="50"/>
      <c r="T766" s="50"/>
      <c r="U766" s="50"/>
      <c r="V766" s="50"/>
      <c r="W766" s="50" t="s">
        <v>2829</v>
      </c>
      <c r="X766" s="50"/>
      <c r="Y766" s="50"/>
      <c r="Z766" s="50"/>
      <c r="AA766" s="50" t="s">
        <v>3502</v>
      </c>
      <c r="AB766" s="50" t="s">
        <v>3398</v>
      </c>
      <c r="AC766" s="50" t="s">
        <v>3503</v>
      </c>
      <c r="AD766" s="95">
        <v>344</v>
      </c>
      <c r="AE766" s="174">
        <v>176</v>
      </c>
      <c r="AF766" s="174">
        <v>155</v>
      </c>
      <c r="AG766" s="50"/>
      <c r="AH766" s="50" t="s">
        <v>2852</v>
      </c>
      <c r="AI766" s="175">
        <v>155</v>
      </c>
      <c r="AJ766" s="179" t="s">
        <v>1169</v>
      </c>
      <c r="AK766" s="14"/>
      <c r="AL766" s="14"/>
      <c r="AM766" s="14"/>
      <c r="AN766" s="14"/>
      <c r="AO766" s="14"/>
      <c r="AP766" s="14"/>
      <c r="AQ766" s="14"/>
      <c r="AR766" s="14"/>
      <c r="AS766" s="14"/>
      <c r="AT766" s="14"/>
      <c r="AU766" s="14"/>
      <c r="AV766" s="14"/>
      <c r="AW766" s="14"/>
    </row>
    <row r="767" spans="1:49" ht="13">
      <c r="A767" s="176">
        <v>2019</v>
      </c>
      <c r="B767" s="12" t="s">
        <v>64</v>
      </c>
      <c r="C767" s="50" t="s">
        <v>455</v>
      </c>
      <c r="D767" s="50" t="s">
        <v>465</v>
      </c>
      <c r="E767" s="50" t="s">
        <v>455</v>
      </c>
      <c r="F767" s="50" t="s">
        <v>1176</v>
      </c>
      <c r="G767" s="99">
        <v>1</v>
      </c>
      <c r="H767" s="50" t="s">
        <v>3504</v>
      </c>
      <c r="I767" s="178" t="s">
        <v>3505</v>
      </c>
      <c r="J767" s="50" t="s">
        <v>1629</v>
      </c>
      <c r="K767" s="50" t="s">
        <v>1629</v>
      </c>
      <c r="L767" s="50"/>
      <c r="M767" s="50"/>
      <c r="N767" s="50"/>
      <c r="O767" s="50"/>
      <c r="P767" s="50"/>
      <c r="Q767" s="50"/>
      <c r="R767" s="50"/>
      <c r="S767" s="50"/>
      <c r="T767" s="50"/>
      <c r="U767" s="50"/>
      <c r="V767" s="50"/>
      <c r="W767" s="50" t="s">
        <v>2829</v>
      </c>
      <c r="X767" s="50"/>
      <c r="Y767" s="50"/>
      <c r="Z767" s="50"/>
      <c r="AA767" s="50" t="s">
        <v>3506</v>
      </c>
      <c r="AB767" s="50" t="s">
        <v>2841</v>
      </c>
      <c r="AC767" s="50" t="s">
        <v>3507</v>
      </c>
      <c r="AD767" s="99">
        <v>345</v>
      </c>
      <c r="AE767" s="174">
        <v>177</v>
      </c>
      <c r="AF767" s="174" t="s">
        <v>2826</v>
      </c>
      <c r="AG767" s="50"/>
      <c r="AH767" s="50" t="s">
        <v>2819</v>
      </c>
      <c r="AI767" s="175">
        <v>156</v>
      </c>
      <c r="AJ767" s="178" t="s">
        <v>1178</v>
      </c>
      <c r="AK767" s="29"/>
      <c r="AL767" s="29"/>
      <c r="AM767" s="29"/>
      <c r="AN767" s="29"/>
      <c r="AO767" s="29"/>
      <c r="AP767" s="29"/>
      <c r="AQ767" s="29"/>
      <c r="AR767" s="29"/>
      <c r="AS767" s="29"/>
      <c r="AT767" s="29"/>
      <c r="AU767" s="29"/>
      <c r="AV767" s="29"/>
      <c r="AW767" s="29"/>
    </row>
    <row r="768" spans="1:49" ht="13">
      <c r="A768" s="176">
        <v>2022</v>
      </c>
      <c r="B768" s="12" t="s">
        <v>64</v>
      </c>
      <c r="C768" s="50" t="s">
        <v>455</v>
      </c>
      <c r="D768" s="50" t="s">
        <v>383</v>
      </c>
      <c r="E768" s="50" t="s">
        <v>455</v>
      </c>
      <c r="F768" s="50" t="s">
        <v>3508</v>
      </c>
      <c r="G768" s="177">
        <v>0</v>
      </c>
      <c r="H768" s="50" t="s">
        <v>3509</v>
      </c>
      <c r="I768" s="179" t="s">
        <v>3510</v>
      </c>
      <c r="J768" s="50" t="s">
        <v>1629</v>
      </c>
      <c r="K768" s="50" t="s">
        <v>1629</v>
      </c>
      <c r="L768" s="50"/>
      <c r="M768" s="50"/>
      <c r="N768" s="50"/>
      <c r="O768" s="50"/>
      <c r="P768" s="50"/>
      <c r="Q768" s="50"/>
      <c r="R768" s="50"/>
      <c r="S768" s="50"/>
      <c r="T768" s="50"/>
      <c r="U768" s="50"/>
      <c r="V768" s="50"/>
      <c r="W768" s="50" t="s">
        <v>1635</v>
      </c>
      <c r="X768" s="50"/>
      <c r="Y768" s="50"/>
      <c r="Z768" s="50"/>
      <c r="AA768" s="50" t="s">
        <v>3511</v>
      </c>
      <c r="AB768" s="50" t="s">
        <v>2841</v>
      </c>
      <c r="AC768" s="50" t="s">
        <v>3512</v>
      </c>
      <c r="AD768" s="95">
        <v>346</v>
      </c>
      <c r="AE768" s="174" t="s">
        <v>2826</v>
      </c>
      <c r="AF768" s="174" t="s">
        <v>2826</v>
      </c>
      <c r="AG768" s="50"/>
      <c r="AH768" s="50" t="s">
        <v>2819</v>
      </c>
      <c r="AI768" s="175">
        <v>157</v>
      </c>
      <c r="AJ768" s="179" t="s">
        <v>3275</v>
      </c>
      <c r="AK768" s="14"/>
      <c r="AL768" s="14"/>
      <c r="AM768" s="14"/>
      <c r="AN768" s="14"/>
      <c r="AO768" s="14"/>
      <c r="AP768" s="14"/>
      <c r="AQ768" s="14"/>
      <c r="AR768" s="14"/>
      <c r="AS768" s="14"/>
      <c r="AT768" s="14"/>
      <c r="AU768" s="14"/>
      <c r="AV768" s="14"/>
      <c r="AW768" s="14"/>
    </row>
    <row r="769" spans="1:49" ht="13">
      <c r="A769" s="176">
        <v>2022</v>
      </c>
      <c r="B769" s="53" t="s">
        <v>58</v>
      </c>
      <c r="C769" s="50" t="s">
        <v>368</v>
      </c>
      <c r="D769" s="50" t="s">
        <v>465</v>
      </c>
      <c r="E769" s="50" t="s">
        <v>368</v>
      </c>
      <c r="F769" s="50" t="s">
        <v>3513</v>
      </c>
      <c r="G769" s="177">
        <v>0</v>
      </c>
      <c r="H769" s="50" t="s">
        <v>3514</v>
      </c>
      <c r="I769" s="178" t="s">
        <v>3515</v>
      </c>
      <c r="J769" s="50" t="s">
        <v>1629</v>
      </c>
      <c r="K769" s="50" t="s">
        <v>1635</v>
      </c>
      <c r="L769" s="50"/>
      <c r="M769" s="50"/>
      <c r="N769" s="50"/>
      <c r="O769" s="50"/>
      <c r="P769" s="50"/>
      <c r="Q769" s="50"/>
      <c r="R769" s="50"/>
      <c r="S769" s="50"/>
      <c r="T769" s="50"/>
      <c r="U769" s="50"/>
      <c r="V769" s="50"/>
      <c r="W769" s="50" t="s">
        <v>1629</v>
      </c>
      <c r="X769" s="50"/>
      <c r="Y769" s="50"/>
      <c r="Z769" s="50"/>
      <c r="AA769" s="50" t="s">
        <v>3516</v>
      </c>
      <c r="AB769" s="50" t="s">
        <v>352</v>
      </c>
      <c r="AC769" s="50" t="s">
        <v>3517</v>
      </c>
      <c r="AD769" s="99">
        <v>347</v>
      </c>
      <c r="AE769" s="174" t="s">
        <v>2826</v>
      </c>
      <c r="AF769" s="174" t="s">
        <v>2826</v>
      </c>
      <c r="AG769" s="50"/>
      <c r="AH769" s="50" t="s">
        <v>2852</v>
      </c>
      <c r="AI769" s="175">
        <v>158</v>
      </c>
      <c r="AJ769" s="178" t="s">
        <v>3518</v>
      </c>
      <c r="AK769" s="29"/>
      <c r="AL769" s="29"/>
      <c r="AM769" s="29"/>
      <c r="AN769" s="29"/>
      <c r="AO769" s="29"/>
      <c r="AP769" s="29"/>
      <c r="AQ769" s="29"/>
      <c r="AR769" s="29"/>
      <c r="AS769" s="29"/>
      <c r="AT769" s="29"/>
      <c r="AU769" s="29"/>
      <c r="AV769" s="29"/>
      <c r="AW769" s="29"/>
    </row>
    <row r="770" spans="1:49" ht="13">
      <c r="A770" s="176">
        <v>2022</v>
      </c>
      <c r="B770" s="53" t="s">
        <v>58</v>
      </c>
      <c r="C770" s="50" t="s">
        <v>397</v>
      </c>
      <c r="D770" s="50" t="s">
        <v>465</v>
      </c>
      <c r="E770" s="50" t="s">
        <v>397</v>
      </c>
      <c r="F770" s="50" t="s">
        <v>3519</v>
      </c>
      <c r="G770" s="177">
        <v>0</v>
      </c>
      <c r="H770" s="50" t="s">
        <v>3520</v>
      </c>
      <c r="I770" s="179" t="s">
        <v>3521</v>
      </c>
      <c r="J770" s="50" t="s">
        <v>1629</v>
      </c>
      <c r="K770" s="50" t="s">
        <v>1629</v>
      </c>
      <c r="L770" s="50"/>
      <c r="M770" s="50"/>
      <c r="N770" s="50"/>
      <c r="O770" s="50"/>
      <c r="P770" s="50"/>
      <c r="Q770" s="50"/>
      <c r="R770" s="50"/>
      <c r="S770" s="50"/>
      <c r="T770" s="50"/>
      <c r="U770" s="50"/>
      <c r="V770" s="50"/>
      <c r="W770" s="50" t="s">
        <v>1629</v>
      </c>
      <c r="X770" s="50"/>
      <c r="Y770" s="50"/>
      <c r="Z770" s="50"/>
      <c r="AA770" s="50" t="s">
        <v>3522</v>
      </c>
      <c r="AB770" s="50" t="s">
        <v>352</v>
      </c>
      <c r="AC770" s="50" t="s">
        <v>3523</v>
      </c>
      <c r="AD770" s="95">
        <v>348</v>
      </c>
      <c r="AE770" s="174" t="s">
        <v>2826</v>
      </c>
      <c r="AF770" s="174" t="s">
        <v>2826</v>
      </c>
      <c r="AG770" s="50"/>
      <c r="AH770" s="50" t="s">
        <v>2819</v>
      </c>
      <c r="AI770" s="175">
        <v>159</v>
      </c>
      <c r="AJ770" s="53" t="s">
        <v>462</v>
      </c>
      <c r="AK770" s="14"/>
      <c r="AL770" s="14"/>
      <c r="AM770" s="14"/>
      <c r="AN770" s="14"/>
      <c r="AO770" s="14"/>
      <c r="AP770" s="14"/>
      <c r="AQ770" s="14"/>
      <c r="AR770" s="14"/>
      <c r="AS770" s="14"/>
      <c r="AT770" s="14"/>
      <c r="AU770" s="14"/>
      <c r="AV770" s="14"/>
      <c r="AW770" s="14"/>
    </row>
    <row r="771" spans="1:49" ht="13">
      <c r="A771" s="176">
        <v>2019</v>
      </c>
      <c r="B771" s="53" t="s">
        <v>58</v>
      </c>
      <c r="C771" s="50" t="s">
        <v>462</v>
      </c>
      <c r="D771" s="50" t="s">
        <v>135</v>
      </c>
      <c r="E771" s="50" t="s">
        <v>462</v>
      </c>
      <c r="F771" s="50" t="s">
        <v>1192</v>
      </c>
      <c r="G771" s="99">
        <v>1</v>
      </c>
      <c r="H771" s="50" t="s">
        <v>3524</v>
      </c>
      <c r="I771" s="178" t="s">
        <v>3525</v>
      </c>
      <c r="J771" s="50" t="s">
        <v>1629</v>
      </c>
      <c r="K771" s="189" t="s">
        <v>2829</v>
      </c>
      <c r="L771" s="190"/>
      <c r="M771" s="190"/>
      <c r="N771" s="50"/>
      <c r="O771" s="50"/>
      <c r="P771" s="50"/>
      <c r="Q771" s="50"/>
      <c r="R771" s="50"/>
      <c r="S771" s="50"/>
      <c r="T771" s="50"/>
      <c r="U771" s="50"/>
      <c r="V771" s="50"/>
      <c r="W771" s="50" t="s">
        <v>2829</v>
      </c>
      <c r="X771" s="50"/>
      <c r="Y771" s="50"/>
      <c r="Z771" s="50"/>
      <c r="AA771" s="50" t="s">
        <v>3526</v>
      </c>
      <c r="AB771" s="50" t="s">
        <v>3398</v>
      </c>
      <c r="AC771" s="50" t="s">
        <v>3527</v>
      </c>
      <c r="AD771" s="99">
        <v>349</v>
      </c>
      <c r="AE771" s="174">
        <v>179</v>
      </c>
      <c r="AF771" s="174" t="s">
        <v>2826</v>
      </c>
      <c r="AG771" s="50"/>
      <c r="AH771" s="50" t="s">
        <v>2852</v>
      </c>
      <c r="AI771" s="175">
        <v>160</v>
      </c>
      <c r="AJ771" s="178" t="s">
        <v>1193</v>
      </c>
      <c r="AK771" s="29"/>
      <c r="AL771" s="29"/>
      <c r="AM771" s="29"/>
      <c r="AN771" s="29"/>
      <c r="AO771" s="29"/>
      <c r="AP771" s="29"/>
      <c r="AQ771" s="29"/>
      <c r="AR771" s="29"/>
      <c r="AS771" s="29"/>
      <c r="AT771" s="29"/>
      <c r="AU771" s="29"/>
      <c r="AV771" s="29"/>
      <c r="AW771" s="29"/>
    </row>
    <row r="772" spans="1:49" ht="13">
      <c r="A772" s="176">
        <v>2024</v>
      </c>
      <c r="B772" s="53" t="s">
        <v>80</v>
      </c>
      <c r="C772" s="50" t="s">
        <v>462</v>
      </c>
      <c r="D772" s="50" t="s">
        <v>311</v>
      </c>
      <c r="E772" s="50" t="s">
        <v>462</v>
      </c>
      <c r="F772" s="50" t="s">
        <v>1196</v>
      </c>
      <c r="G772" s="99">
        <v>1</v>
      </c>
      <c r="H772" s="50" t="s">
        <v>3528</v>
      </c>
      <c r="I772" s="179" t="s">
        <v>3529</v>
      </c>
      <c r="J772" s="50" t="s">
        <v>1629</v>
      </c>
      <c r="K772" s="50" t="s">
        <v>1629</v>
      </c>
      <c r="L772" s="50"/>
      <c r="M772" s="50"/>
      <c r="N772" s="50"/>
      <c r="O772" s="50"/>
      <c r="P772" s="50"/>
      <c r="Q772" s="50"/>
      <c r="R772" s="50"/>
      <c r="S772" s="50"/>
      <c r="T772" s="50"/>
      <c r="U772" s="50"/>
      <c r="V772" s="50"/>
      <c r="W772" s="50" t="s">
        <v>1629</v>
      </c>
      <c r="X772" s="50"/>
      <c r="Y772" s="50"/>
      <c r="Z772" s="50"/>
      <c r="AA772" s="50" t="s">
        <v>3530</v>
      </c>
      <c r="AB772" s="50" t="s">
        <v>3398</v>
      </c>
      <c r="AC772" s="50" t="s">
        <v>3531</v>
      </c>
      <c r="AD772" s="95">
        <v>350</v>
      </c>
      <c r="AE772" s="174">
        <v>180</v>
      </c>
      <c r="AF772" s="174">
        <v>155</v>
      </c>
      <c r="AG772" s="50"/>
      <c r="AH772" s="50" t="s">
        <v>2852</v>
      </c>
      <c r="AI772" s="175">
        <v>161</v>
      </c>
      <c r="AJ772" s="179" t="s">
        <v>1198</v>
      </c>
      <c r="AK772" s="14"/>
      <c r="AL772" s="14"/>
      <c r="AM772" s="14"/>
      <c r="AN772" s="14"/>
      <c r="AO772" s="14"/>
      <c r="AP772" s="14"/>
      <c r="AQ772" s="14"/>
      <c r="AR772" s="14"/>
      <c r="AS772" s="14"/>
      <c r="AT772" s="14"/>
      <c r="AU772" s="14"/>
      <c r="AV772" s="14"/>
      <c r="AW772" s="14"/>
    </row>
    <row r="773" spans="1:49" ht="13">
      <c r="A773" s="176">
        <v>2022</v>
      </c>
      <c r="B773" s="53" t="s">
        <v>80</v>
      </c>
      <c r="C773" s="50" t="s">
        <v>412</v>
      </c>
      <c r="D773" s="50" t="s">
        <v>465</v>
      </c>
      <c r="E773" s="50" t="s">
        <v>412</v>
      </c>
      <c r="F773" s="50" t="s">
        <v>3532</v>
      </c>
      <c r="G773" s="177">
        <v>0</v>
      </c>
      <c r="H773" s="50" t="s">
        <v>3533</v>
      </c>
      <c r="I773" s="178" t="s">
        <v>3534</v>
      </c>
      <c r="J773" s="50" t="s">
        <v>1629</v>
      </c>
      <c r="K773" s="50" t="s">
        <v>1629</v>
      </c>
      <c r="L773" s="50"/>
      <c r="M773" s="50"/>
      <c r="N773" s="50"/>
      <c r="O773" s="50"/>
      <c r="P773" s="50"/>
      <c r="Q773" s="50"/>
      <c r="R773" s="50"/>
      <c r="S773" s="50"/>
      <c r="T773" s="50"/>
      <c r="U773" s="50"/>
      <c r="V773" s="50"/>
      <c r="W773" s="50" t="s">
        <v>1629</v>
      </c>
      <c r="X773" s="50"/>
      <c r="Y773" s="50"/>
      <c r="Z773" s="50"/>
      <c r="AA773" s="50" t="s">
        <v>3535</v>
      </c>
      <c r="AB773" s="50" t="s">
        <v>352</v>
      </c>
      <c r="AC773" s="50" t="s">
        <v>3536</v>
      </c>
      <c r="AD773" s="99">
        <v>351</v>
      </c>
      <c r="AE773" s="174" t="s">
        <v>2826</v>
      </c>
      <c r="AF773" s="174" t="s">
        <v>2826</v>
      </c>
      <c r="AG773" s="50"/>
      <c r="AH773" s="50" t="s">
        <v>2819</v>
      </c>
      <c r="AI773" s="175">
        <v>162</v>
      </c>
      <c r="AJ773" s="181" t="s">
        <v>462</v>
      </c>
      <c r="AK773" s="29"/>
      <c r="AL773" s="29"/>
      <c r="AM773" s="29"/>
      <c r="AN773" s="29"/>
      <c r="AO773" s="29"/>
      <c r="AP773" s="29"/>
      <c r="AQ773" s="29"/>
      <c r="AR773" s="29"/>
      <c r="AS773" s="29"/>
      <c r="AT773" s="29"/>
      <c r="AU773" s="29"/>
      <c r="AV773" s="29"/>
      <c r="AW773" s="29"/>
    </row>
    <row r="774" spans="1:49" ht="13">
      <c r="A774" s="176">
        <v>2022</v>
      </c>
      <c r="B774" s="12" t="s">
        <v>64</v>
      </c>
      <c r="C774" s="50" t="s">
        <v>455</v>
      </c>
      <c r="D774" s="50" t="s">
        <v>465</v>
      </c>
      <c r="E774" s="50" t="s">
        <v>455</v>
      </c>
      <c r="F774" s="50" t="s">
        <v>1205</v>
      </c>
      <c r="G774" s="99">
        <v>1</v>
      </c>
      <c r="H774" s="50" t="s">
        <v>3537</v>
      </c>
      <c r="I774" s="179" t="s">
        <v>3538</v>
      </c>
      <c r="J774" s="50" t="s">
        <v>1629</v>
      </c>
      <c r="K774" s="50" t="s">
        <v>1629</v>
      </c>
      <c r="L774" s="50"/>
      <c r="M774" s="50"/>
      <c r="N774" s="50"/>
      <c r="O774" s="50"/>
      <c r="P774" s="50"/>
      <c r="Q774" s="50"/>
      <c r="R774" s="50"/>
      <c r="S774" s="50"/>
      <c r="T774" s="50"/>
      <c r="U774" s="50"/>
      <c r="V774" s="50"/>
      <c r="W774" s="50" t="s">
        <v>1629</v>
      </c>
      <c r="X774" s="50"/>
      <c r="Y774" s="50"/>
      <c r="Z774" s="50"/>
      <c r="AA774" s="50" t="s">
        <v>3539</v>
      </c>
      <c r="AB774" s="50" t="s">
        <v>352</v>
      </c>
      <c r="AC774" s="50" t="s">
        <v>3540</v>
      </c>
      <c r="AD774" s="95">
        <v>352</v>
      </c>
      <c r="AE774" s="174">
        <v>181</v>
      </c>
      <c r="AF774" s="174" t="s">
        <v>2826</v>
      </c>
      <c r="AG774" s="50"/>
      <c r="AH774" s="50" t="s">
        <v>2819</v>
      </c>
      <c r="AI774" s="175">
        <v>163</v>
      </c>
      <c r="AJ774" s="179" t="s">
        <v>1206</v>
      </c>
      <c r="AK774" s="14"/>
      <c r="AL774" s="14"/>
      <c r="AM774" s="14"/>
      <c r="AN774" s="14"/>
      <c r="AO774" s="14"/>
      <c r="AP774" s="14"/>
      <c r="AQ774" s="14"/>
      <c r="AR774" s="14"/>
      <c r="AS774" s="14"/>
      <c r="AT774" s="14"/>
      <c r="AU774" s="14"/>
      <c r="AV774" s="14"/>
      <c r="AW774" s="14"/>
    </row>
    <row r="775" spans="1:49" ht="13">
      <c r="A775" s="176">
        <v>2022</v>
      </c>
      <c r="B775" s="53" t="s">
        <v>80</v>
      </c>
      <c r="C775" s="50" t="s">
        <v>462</v>
      </c>
      <c r="D775" s="50" t="s">
        <v>246</v>
      </c>
      <c r="E775" s="50" t="s">
        <v>462</v>
      </c>
      <c r="F775" s="50" t="s">
        <v>3541</v>
      </c>
      <c r="G775" s="177">
        <v>0</v>
      </c>
      <c r="H775" s="50" t="s">
        <v>3542</v>
      </c>
      <c r="I775" s="178" t="s">
        <v>3543</v>
      </c>
      <c r="J775" s="50" t="s">
        <v>1629</v>
      </c>
      <c r="K775" s="50" t="s">
        <v>1635</v>
      </c>
      <c r="L775" s="50"/>
      <c r="M775" s="50"/>
      <c r="N775" s="50"/>
      <c r="O775" s="50"/>
      <c r="P775" s="50"/>
      <c r="Q775" s="50"/>
      <c r="R775" s="50"/>
      <c r="S775" s="50"/>
      <c r="T775" s="50"/>
      <c r="U775" s="50"/>
      <c r="V775" s="50"/>
      <c r="W775" s="50" t="s">
        <v>1629</v>
      </c>
      <c r="X775" s="50"/>
      <c r="Y775" s="50"/>
      <c r="Z775" s="50"/>
      <c r="AA775" s="50" t="s">
        <v>3544</v>
      </c>
      <c r="AB775" s="50" t="s">
        <v>352</v>
      </c>
      <c r="AC775" s="50" t="s">
        <v>3545</v>
      </c>
      <c r="AD775" s="99">
        <v>353</v>
      </c>
      <c r="AE775" s="174" t="s">
        <v>2826</v>
      </c>
      <c r="AF775" s="174">
        <v>148</v>
      </c>
      <c r="AG775" s="50"/>
      <c r="AH775" s="50" t="s">
        <v>2819</v>
      </c>
      <c r="AI775" s="175">
        <v>164</v>
      </c>
      <c r="AJ775" s="181" t="s">
        <v>462</v>
      </c>
      <c r="AK775" s="29"/>
      <c r="AL775" s="29"/>
      <c r="AM775" s="29"/>
      <c r="AN775" s="29"/>
      <c r="AO775" s="29"/>
      <c r="AP775" s="29"/>
      <c r="AQ775" s="29"/>
      <c r="AR775" s="29"/>
      <c r="AS775" s="29"/>
      <c r="AT775" s="29"/>
      <c r="AU775" s="29"/>
      <c r="AV775" s="29"/>
      <c r="AW775" s="29"/>
    </row>
    <row r="776" spans="1:49" ht="13">
      <c r="A776" s="176">
        <v>2023</v>
      </c>
      <c r="B776" s="53" t="s">
        <v>58</v>
      </c>
      <c r="C776" s="50" t="s">
        <v>397</v>
      </c>
      <c r="D776" s="50" t="s">
        <v>397</v>
      </c>
      <c r="E776" s="50" t="s">
        <v>397</v>
      </c>
      <c r="F776" s="50" t="s">
        <v>3546</v>
      </c>
      <c r="G776" s="177">
        <v>0</v>
      </c>
      <c r="H776" s="50" t="s">
        <v>3547</v>
      </c>
      <c r="I776" s="179" t="s">
        <v>3548</v>
      </c>
      <c r="J776" s="50" t="s">
        <v>1629</v>
      </c>
      <c r="K776" s="50" t="s">
        <v>1629</v>
      </c>
      <c r="L776" s="50"/>
      <c r="M776" s="50"/>
      <c r="N776" s="50"/>
      <c r="O776" s="50"/>
      <c r="P776" s="50"/>
      <c r="Q776" s="50"/>
      <c r="R776" s="50"/>
      <c r="S776" s="50"/>
      <c r="T776" s="50"/>
      <c r="U776" s="50"/>
      <c r="V776" s="50"/>
      <c r="W776" s="50" t="s">
        <v>1629</v>
      </c>
      <c r="X776" s="50"/>
      <c r="Y776" s="50"/>
      <c r="Z776" s="50"/>
      <c r="AA776" s="50" t="s">
        <v>3549</v>
      </c>
      <c r="AB776" s="50" t="s">
        <v>352</v>
      </c>
      <c r="AC776" s="50" t="s">
        <v>3550</v>
      </c>
      <c r="AD776" s="95">
        <v>354</v>
      </c>
      <c r="AE776" s="174" t="s">
        <v>2826</v>
      </c>
      <c r="AF776" s="174">
        <v>231</v>
      </c>
      <c r="AG776" s="50"/>
      <c r="AH776" s="50" t="s">
        <v>2852</v>
      </c>
      <c r="AI776" s="175">
        <v>165</v>
      </c>
      <c r="AJ776" s="53" t="s">
        <v>462</v>
      </c>
      <c r="AK776" s="14"/>
      <c r="AL776" s="14"/>
      <c r="AM776" s="14"/>
      <c r="AN776" s="14"/>
      <c r="AO776" s="14"/>
      <c r="AP776" s="14"/>
      <c r="AQ776" s="14"/>
      <c r="AR776" s="14"/>
      <c r="AS776" s="14"/>
      <c r="AT776" s="14"/>
      <c r="AU776" s="14"/>
      <c r="AV776" s="14"/>
      <c r="AW776" s="14"/>
    </row>
    <row r="777" spans="1:49" ht="15">
      <c r="A777" s="176">
        <v>2022</v>
      </c>
      <c r="B777" s="53" t="s">
        <v>56</v>
      </c>
      <c r="C777" s="50" t="s">
        <v>384</v>
      </c>
      <c r="D777" s="50" t="s">
        <v>384</v>
      </c>
      <c r="E777" s="50" t="s">
        <v>384</v>
      </c>
      <c r="F777" s="50" t="s">
        <v>3551</v>
      </c>
      <c r="G777" s="177">
        <v>0</v>
      </c>
      <c r="H777" s="50" t="s">
        <v>3552</v>
      </c>
      <c r="I777" s="182" t="s">
        <v>3553</v>
      </c>
      <c r="J777" s="50" t="s">
        <v>1629</v>
      </c>
      <c r="K777" s="50" t="s">
        <v>1629</v>
      </c>
      <c r="L777" s="50"/>
      <c r="M777" s="50"/>
      <c r="N777" s="50"/>
      <c r="O777" s="50"/>
      <c r="P777" s="50"/>
      <c r="Q777" s="50"/>
      <c r="R777" s="50"/>
      <c r="S777" s="50"/>
      <c r="T777" s="50"/>
      <c r="U777" s="50"/>
      <c r="V777" s="50"/>
      <c r="W777" s="50" t="s">
        <v>1629</v>
      </c>
      <c r="X777" s="50"/>
      <c r="Y777" s="50"/>
      <c r="Z777" s="50"/>
      <c r="AA777" s="50" t="s">
        <v>3554</v>
      </c>
      <c r="AB777" s="50" t="s">
        <v>2841</v>
      </c>
      <c r="AC777" s="50" t="s">
        <v>3555</v>
      </c>
      <c r="AD777" s="99">
        <v>355</v>
      </c>
      <c r="AE777" s="174" t="s">
        <v>2826</v>
      </c>
      <c r="AF777" s="174" t="s">
        <v>2826</v>
      </c>
      <c r="AG777" s="50"/>
      <c r="AH777" s="50" t="s">
        <v>2819</v>
      </c>
      <c r="AI777" s="175">
        <v>166</v>
      </c>
      <c r="AJ777" s="181" t="s">
        <v>226</v>
      </c>
      <c r="AK777" s="29"/>
      <c r="AL777" s="29"/>
      <c r="AM777" s="29"/>
      <c r="AN777" s="29"/>
      <c r="AO777" s="29"/>
      <c r="AP777" s="29"/>
      <c r="AQ777" s="29"/>
      <c r="AR777" s="29"/>
      <c r="AS777" s="29"/>
      <c r="AT777" s="29"/>
      <c r="AU777" s="29"/>
      <c r="AV777" s="29"/>
      <c r="AW777" s="29"/>
    </row>
    <row r="778" spans="1:49" ht="13">
      <c r="A778" s="176">
        <v>2022</v>
      </c>
      <c r="B778" s="12" t="s">
        <v>64</v>
      </c>
      <c r="C778" s="50" t="s">
        <v>103</v>
      </c>
      <c r="D778" s="50" t="s">
        <v>103</v>
      </c>
      <c r="E778" s="50" t="s">
        <v>103</v>
      </c>
      <c r="F778" s="50" t="s">
        <v>3556</v>
      </c>
      <c r="G778" s="177">
        <v>0</v>
      </c>
      <c r="H778" s="50" t="s">
        <v>3557</v>
      </c>
      <c r="I778" s="179" t="s">
        <v>3558</v>
      </c>
      <c r="J778" s="50" t="s">
        <v>1629</v>
      </c>
      <c r="K778" s="50" t="s">
        <v>1629</v>
      </c>
      <c r="L778" s="50"/>
      <c r="M778" s="50"/>
      <c r="N778" s="50"/>
      <c r="O778" s="50"/>
      <c r="P778" s="50"/>
      <c r="Q778" s="50"/>
      <c r="R778" s="50"/>
      <c r="S778" s="50"/>
      <c r="T778" s="50"/>
      <c r="U778" s="50"/>
      <c r="V778" s="50"/>
      <c r="W778" s="50" t="s">
        <v>1629</v>
      </c>
      <c r="X778" s="50"/>
      <c r="Y778" s="50"/>
      <c r="Z778" s="50"/>
      <c r="AA778" s="50" t="s">
        <v>3559</v>
      </c>
      <c r="AB778" s="50" t="s">
        <v>352</v>
      </c>
      <c r="AC778" s="50" t="s">
        <v>3560</v>
      </c>
      <c r="AD778" s="95">
        <v>356</v>
      </c>
      <c r="AE778" s="174" t="s">
        <v>2826</v>
      </c>
      <c r="AF778" s="174">
        <v>80</v>
      </c>
      <c r="AG778" s="50"/>
      <c r="AH778" s="50" t="s">
        <v>2819</v>
      </c>
      <c r="AI778" s="175">
        <v>167</v>
      </c>
      <c r="AJ778" s="53" t="s">
        <v>462</v>
      </c>
      <c r="AK778" s="14"/>
      <c r="AL778" s="14"/>
      <c r="AM778" s="14"/>
      <c r="AN778" s="14"/>
      <c r="AO778" s="14"/>
      <c r="AP778" s="14"/>
      <c r="AQ778" s="14"/>
      <c r="AR778" s="14"/>
      <c r="AS778" s="14"/>
      <c r="AT778" s="14"/>
      <c r="AU778" s="14"/>
      <c r="AV778" s="14"/>
      <c r="AW778" s="14"/>
    </row>
    <row r="779" spans="1:49" ht="13">
      <c r="A779" s="176">
        <v>1994</v>
      </c>
      <c r="B779" s="53" t="s">
        <v>58</v>
      </c>
      <c r="C779" s="50" t="s">
        <v>56</v>
      </c>
      <c r="D779" s="50" t="s">
        <v>465</v>
      </c>
      <c r="E779" s="50" t="s">
        <v>56</v>
      </c>
      <c r="F779" s="50" t="s">
        <v>1220</v>
      </c>
      <c r="G779" s="99">
        <v>1</v>
      </c>
      <c r="H779" s="50" t="s">
        <v>3561</v>
      </c>
      <c r="I779" s="178" t="s">
        <v>3562</v>
      </c>
      <c r="J779" s="50" t="s">
        <v>1629</v>
      </c>
      <c r="K779" s="50" t="s">
        <v>1629</v>
      </c>
      <c r="L779" s="50"/>
      <c r="M779" s="50"/>
      <c r="N779" s="50"/>
      <c r="O779" s="50"/>
      <c r="P779" s="50"/>
      <c r="Q779" s="50"/>
      <c r="R779" s="50"/>
      <c r="S779" s="50"/>
      <c r="T779" s="50"/>
      <c r="U779" s="50"/>
      <c r="V779" s="50"/>
      <c r="W779" s="50" t="s">
        <v>1635</v>
      </c>
      <c r="X779" s="50"/>
      <c r="Y779" s="50"/>
      <c r="Z779" s="50"/>
      <c r="AA779" s="50" t="s">
        <v>3563</v>
      </c>
      <c r="AB779" s="50" t="s">
        <v>2841</v>
      </c>
      <c r="AC779" s="50" t="s">
        <v>3564</v>
      </c>
      <c r="AD779" s="99">
        <v>357</v>
      </c>
      <c r="AE779" s="174">
        <v>183</v>
      </c>
      <c r="AF779" s="174" t="s">
        <v>2826</v>
      </c>
      <c r="AG779" s="50"/>
      <c r="AH779" s="50" t="s">
        <v>2819</v>
      </c>
      <c r="AI779" s="175">
        <v>168</v>
      </c>
      <c r="AJ779" s="178" t="s">
        <v>1223</v>
      </c>
      <c r="AK779" s="29"/>
      <c r="AL779" s="29"/>
      <c r="AM779" s="29"/>
      <c r="AN779" s="29"/>
      <c r="AO779" s="29"/>
      <c r="AP779" s="29"/>
      <c r="AQ779" s="29"/>
      <c r="AR779" s="29"/>
      <c r="AS779" s="29"/>
      <c r="AT779" s="29"/>
      <c r="AU779" s="29"/>
      <c r="AV779" s="29"/>
      <c r="AW779" s="29"/>
    </row>
    <row r="780" spans="1:49" ht="13">
      <c r="A780" s="176">
        <v>1999</v>
      </c>
      <c r="B780" s="53" t="s">
        <v>56</v>
      </c>
      <c r="C780" s="50" t="s">
        <v>56</v>
      </c>
      <c r="D780" s="50" t="s">
        <v>465</v>
      </c>
      <c r="E780" s="50" t="s">
        <v>56</v>
      </c>
      <c r="F780" s="50" t="s">
        <v>920</v>
      </c>
      <c r="G780" s="99">
        <v>1</v>
      </c>
      <c r="H780" s="50" t="s">
        <v>3565</v>
      </c>
      <c r="I780" s="179" t="s">
        <v>3566</v>
      </c>
      <c r="J780" s="50" t="s">
        <v>1629</v>
      </c>
      <c r="K780" s="50" t="s">
        <v>1629</v>
      </c>
      <c r="L780" s="50"/>
      <c r="M780" s="50"/>
      <c r="N780" s="50"/>
      <c r="O780" s="50"/>
      <c r="P780" s="50"/>
      <c r="Q780" s="50"/>
      <c r="R780" s="50"/>
      <c r="S780" s="50"/>
      <c r="T780" s="50"/>
      <c r="U780" s="50"/>
      <c r="V780" s="50"/>
      <c r="W780" s="50" t="s">
        <v>1635</v>
      </c>
      <c r="X780" s="50"/>
      <c r="Y780" s="50"/>
      <c r="Z780" s="50"/>
      <c r="AA780" s="50" t="s">
        <v>3567</v>
      </c>
      <c r="AB780" s="50" t="s">
        <v>2841</v>
      </c>
      <c r="AC780" s="50" t="s">
        <v>3568</v>
      </c>
      <c r="AD780" s="95">
        <v>358</v>
      </c>
      <c r="AE780" s="174" t="s">
        <v>2826</v>
      </c>
      <c r="AF780" s="174" t="s">
        <v>2826</v>
      </c>
      <c r="AG780" s="50"/>
      <c r="AH780" s="50" t="s">
        <v>2819</v>
      </c>
      <c r="AI780" s="175">
        <v>169</v>
      </c>
      <c r="AJ780" s="179" t="s">
        <v>3270</v>
      </c>
      <c r="AK780" s="14"/>
      <c r="AL780" s="14"/>
      <c r="AM780" s="14"/>
      <c r="AN780" s="14"/>
      <c r="AO780" s="14"/>
      <c r="AP780" s="14"/>
      <c r="AQ780" s="14"/>
      <c r="AR780" s="14"/>
      <c r="AS780" s="14"/>
      <c r="AT780" s="14"/>
      <c r="AU780" s="14"/>
      <c r="AV780" s="14"/>
      <c r="AW780" s="14"/>
    </row>
    <row r="781" spans="1:49" ht="13">
      <c r="A781" s="176">
        <v>2023</v>
      </c>
      <c r="B781" s="53" t="s">
        <v>58</v>
      </c>
      <c r="C781" s="50" t="s">
        <v>393</v>
      </c>
      <c r="D781" s="50" t="s">
        <v>465</v>
      </c>
      <c r="E781" s="50" t="s">
        <v>393</v>
      </c>
      <c r="F781" s="50" t="s">
        <v>3569</v>
      </c>
      <c r="G781" s="177">
        <v>0</v>
      </c>
      <c r="H781" s="50" t="s">
        <v>3570</v>
      </c>
      <c r="I781" s="178" t="s">
        <v>3571</v>
      </c>
      <c r="J781" s="50" t="s">
        <v>1635</v>
      </c>
      <c r="K781" s="50" t="s">
        <v>1629</v>
      </c>
      <c r="L781" s="50"/>
      <c r="M781" s="50"/>
      <c r="N781" s="50"/>
      <c r="O781" s="50"/>
      <c r="P781" s="50"/>
      <c r="Q781" s="50"/>
      <c r="R781" s="50"/>
      <c r="S781" s="50"/>
      <c r="T781" s="50"/>
      <c r="U781" s="50"/>
      <c r="V781" s="50"/>
      <c r="W781" s="50" t="s">
        <v>1629</v>
      </c>
      <c r="X781" s="50"/>
      <c r="Y781" s="50"/>
      <c r="Z781" s="50"/>
      <c r="AA781" s="50" t="s">
        <v>3572</v>
      </c>
      <c r="AB781" s="50" t="s">
        <v>352</v>
      </c>
      <c r="AC781" s="50" t="s">
        <v>3573</v>
      </c>
      <c r="AD781" s="99">
        <v>359</v>
      </c>
      <c r="AE781" s="174" t="s">
        <v>2826</v>
      </c>
      <c r="AF781" s="174" t="s">
        <v>2826</v>
      </c>
      <c r="AG781" s="50"/>
      <c r="AH781" s="50" t="s">
        <v>2852</v>
      </c>
      <c r="AI781" s="175">
        <v>170</v>
      </c>
      <c r="AJ781" s="181" t="s">
        <v>462</v>
      </c>
      <c r="AK781" s="29"/>
      <c r="AL781" s="29"/>
      <c r="AM781" s="29"/>
      <c r="AN781" s="29"/>
      <c r="AO781" s="29"/>
      <c r="AP781" s="29"/>
      <c r="AQ781" s="29"/>
      <c r="AR781" s="29"/>
      <c r="AS781" s="29"/>
      <c r="AT781" s="29"/>
      <c r="AU781" s="29"/>
      <c r="AV781" s="29"/>
      <c r="AW781" s="29"/>
    </row>
    <row r="782" spans="1:49" ht="13">
      <c r="A782" s="176">
        <v>2022</v>
      </c>
      <c r="B782" s="53" t="s">
        <v>80</v>
      </c>
      <c r="C782" s="50" t="s">
        <v>246</v>
      </c>
      <c r="D782" s="50" t="s">
        <v>465</v>
      </c>
      <c r="E782" s="50" t="s">
        <v>246</v>
      </c>
      <c r="F782" s="50" t="s">
        <v>3574</v>
      </c>
      <c r="G782" s="177">
        <v>0</v>
      </c>
      <c r="H782" s="50" t="s">
        <v>3575</v>
      </c>
      <c r="I782" s="179" t="s">
        <v>3576</v>
      </c>
      <c r="J782" s="50" t="s">
        <v>1629</v>
      </c>
      <c r="K782" s="50" t="s">
        <v>1629</v>
      </c>
      <c r="L782" s="50"/>
      <c r="M782" s="50"/>
      <c r="N782" s="50"/>
      <c r="O782" s="50"/>
      <c r="P782" s="50"/>
      <c r="Q782" s="50"/>
      <c r="R782" s="50"/>
      <c r="S782" s="50"/>
      <c r="T782" s="50"/>
      <c r="U782" s="50"/>
      <c r="V782" s="50"/>
      <c r="W782" s="50" t="s">
        <v>1629</v>
      </c>
      <c r="X782" s="50"/>
      <c r="Y782" s="50"/>
      <c r="Z782" s="50"/>
      <c r="AA782" s="50" t="s">
        <v>3577</v>
      </c>
      <c r="AB782" s="50" t="s">
        <v>352</v>
      </c>
      <c r="AC782" s="50" t="s">
        <v>3578</v>
      </c>
      <c r="AD782" s="95">
        <v>360</v>
      </c>
      <c r="AE782" s="174" t="s">
        <v>2826</v>
      </c>
      <c r="AF782" s="174" t="s">
        <v>2826</v>
      </c>
      <c r="AG782" s="50"/>
      <c r="AH782" s="50" t="s">
        <v>2819</v>
      </c>
      <c r="AI782" s="175">
        <v>171</v>
      </c>
      <c r="AJ782" s="53" t="s">
        <v>462</v>
      </c>
      <c r="AK782" s="14"/>
      <c r="AL782" s="14"/>
      <c r="AM782" s="14"/>
      <c r="AN782" s="14"/>
      <c r="AO782" s="14"/>
      <c r="AP782" s="14"/>
      <c r="AQ782" s="14"/>
      <c r="AR782" s="14"/>
      <c r="AS782" s="14"/>
      <c r="AT782" s="14"/>
      <c r="AU782" s="14"/>
      <c r="AV782" s="14"/>
      <c r="AW782" s="14"/>
    </row>
    <row r="783" spans="1:49" ht="13">
      <c r="A783" s="176">
        <v>2022</v>
      </c>
      <c r="B783" s="53" t="s">
        <v>58</v>
      </c>
      <c r="C783" s="50" t="s">
        <v>397</v>
      </c>
      <c r="D783" s="50" t="s">
        <v>465</v>
      </c>
      <c r="E783" s="50" t="s">
        <v>397</v>
      </c>
      <c r="F783" s="50" t="s">
        <v>3579</v>
      </c>
      <c r="G783" s="177">
        <v>0</v>
      </c>
      <c r="H783" s="50" t="s">
        <v>3580</v>
      </c>
      <c r="I783" s="178" t="s">
        <v>3581</v>
      </c>
      <c r="J783" s="50" t="s">
        <v>1629</v>
      </c>
      <c r="K783" s="50" t="s">
        <v>1629</v>
      </c>
      <c r="L783" s="50"/>
      <c r="M783" s="50"/>
      <c r="N783" s="50"/>
      <c r="O783" s="50"/>
      <c r="P783" s="50"/>
      <c r="Q783" s="50"/>
      <c r="R783" s="50"/>
      <c r="S783" s="50"/>
      <c r="T783" s="50"/>
      <c r="U783" s="50"/>
      <c r="V783" s="50"/>
      <c r="W783" s="50" t="s">
        <v>1629</v>
      </c>
      <c r="X783" s="50"/>
      <c r="Y783" s="50"/>
      <c r="Z783" s="50"/>
      <c r="AA783" s="50" t="s">
        <v>3582</v>
      </c>
      <c r="AB783" s="50" t="s">
        <v>352</v>
      </c>
      <c r="AC783" s="50" t="s">
        <v>3583</v>
      </c>
      <c r="AD783" s="99">
        <v>361</v>
      </c>
      <c r="AE783" s="174" t="s">
        <v>2826</v>
      </c>
      <c r="AF783" s="174" t="s">
        <v>2826</v>
      </c>
      <c r="AG783" s="50"/>
      <c r="AH783" s="50" t="s">
        <v>2819</v>
      </c>
      <c r="AI783" s="175">
        <v>172</v>
      </c>
      <c r="AJ783" s="181" t="s">
        <v>462</v>
      </c>
      <c r="AK783" s="29"/>
      <c r="AL783" s="29"/>
      <c r="AM783" s="29"/>
      <c r="AN783" s="29"/>
      <c r="AO783" s="29"/>
      <c r="AP783" s="29"/>
      <c r="AQ783" s="29"/>
      <c r="AR783" s="29"/>
      <c r="AS783" s="29"/>
      <c r="AT783" s="29"/>
      <c r="AU783" s="29"/>
      <c r="AV783" s="29"/>
      <c r="AW783" s="29"/>
    </row>
    <row r="784" spans="1:49" ht="13">
      <c r="A784" s="176">
        <v>2023</v>
      </c>
      <c r="B784" s="53" t="s">
        <v>58</v>
      </c>
      <c r="C784" s="50" t="s">
        <v>331</v>
      </c>
      <c r="D784" s="50" t="s">
        <v>465</v>
      </c>
      <c r="E784" s="50" t="s">
        <v>331</v>
      </c>
      <c r="F784" s="50" t="s">
        <v>3584</v>
      </c>
      <c r="G784" s="177">
        <v>0</v>
      </c>
      <c r="H784" s="50" t="s">
        <v>3585</v>
      </c>
      <c r="I784" s="179" t="s">
        <v>3586</v>
      </c>
      <c r="J784" s="50" t="s">
        <v>1629</v>
      </c>
      <c r="K784" s="50" t="s">
        <v>1629</v>
      </c>
      <c r="L784" s="50"/>
      <c r="M784" s="50"/>
      <c r="N784" s="50"/>
      <c r="O784" s="50"/>
      <c r="P784" s="50"/>
      <c r="Q784" s="50"/>
      <c r="R784" s="50"/>
      <c r="S784" s="50"/>
      <c r="T784" s="50"/>
      <c r="U784" s="50"/>
      <c r="V784" s="50"/>
      <c r="W784" s="50" t="s">
        <v>1629</v>
      </c>
      <c r="X784" s="50"/>
      <c r="Y784" s="50"/>
      <c r="Z784" s="50"/>
      <c r="AA784" s="50" t="s">
        <v>3587</v>
      </c>
      <c r="AB784" s="50" t="s">
        <v>352</v>
      </c>
      <c r="AC784" s="50" t="s">
        <v>3588</v>
      </c>
      <c r="AD784" s="95">
        <v>362</v>
      </c>
      <c r="AE784" s="174" t="s">
        <v>2826</v>
      </c>
      <c r="AF784" s="174" t="s">
        <v>2826</v>
      </c>
      <c r="AG784" s="50"/>
      <c r="AH784" s="50" t="s">
        <v>2819</v>
      </c>
      <c r="AI784" s="175">
        <v>173</v>
      </c>
      <c r="AJ784" s="53" t="s">
        <v>462</v>
      </c>
      <c r="AK784" s="14"/>
      <c r="AL784" s="14"/>
      <c r="AM784" s="14"/>
      <c r="AN784" s="14"/>
      <c r="AO784" s="14"/>
      <c r="AP784" s="14"/>
      <c r="AQ784" s="14"/>
      <c r="AR784" s="14"/>
      <c r="AS784" s="14"/>
      <c r="AT784" s="14"/>
      <c r="AU784" s="14"/>
      <c r="AV784" s="14"/>
      <c r="AW784" s="14"/>
    </row>
    <row r="785" spans="1:49" ht="13">
      <c r="A785" s="176">
        <v>2022</v>
      </c>
      <c r="B785" s="53" t="s">
        <v>80</v>
      </c>
      <c r="C785" s="50" t="s">
        <v>455</v>
      </c>
      <c r="D785" s="50" t="s">
        <v>465</v>
      </c>
      <c r="E785" s="50" t="s">
        <v>455</v>
      </c>
      <c r="F785" s="50" t="s">
        <v>1226</v>
      </c>
      <c r="G785" s="99">
        <v>1</v>
      </c>
      <c r="H785" s="50" t="s">
        <v>3589</v>
      </c>
      <c r="I785" s="178" t="s">
        <v>3590</v>
      </c>
      <c r="J785" s="50" t="s">
        <v>1629</v>
      </c>
      <c r="K785" s="50" t="s">
        <v>1629</v>
      </c>
      <c r="L785" s="50"/>
      <c r="M785" s="50"/>
      <c r="N785" s="50"/>
      <c r="O785" s="50"/>
      <c r="P785" s="50"/>
      <c r="Q785" s="50"/>
      <c r="R785" s="50"/>
      <c r="S785" s="50"/>
      <c r="T785" s="50"/>
      <c r="U785" s="50"/>
      <c r="V785" s="50"/>
      <c r="W785" s="50" t="s">
        <v>1629</v>
      </c>
      <c r="X785" s="50"/>
      <c r="Y785" s="50"/>
      <c r="Z785" s="50"/>
      <c r="AA785" s="50" t="s">
        <v>3591</v>
      </c>
      <c r="AB785" s="50" t="s">
        <v>352</v>
      </c>
      <c r="AC785" s="50" t="s">
        <v>3592</v>
      </c>
      <c r="AD785" s="99">
        <v>363</v>
      </c>
      <c r="AE785" s="174">
        <v>184</v>
      </c>
      <c r="AF785" s="174" t="s">
        <v>2826</v>
      </c>
      <c r="AG785" s="50"/>
      <c r="AH785" s="50" t="s">
        <v>2819</v>
      </c>
      <c r="AI785" s="175">
        <v>174</v>
      </c>
      <c r="AJ785" s="178" t="s">
        <v>1227</v>
      </c>
      <c r="AK785" s="29"/>
      <c r="AL785" s="29"/>
      <c r="AM785" s="29"/>
      <c r="AN785" s="29"/>
      <c r="AO785" s="29"/>
      <c r="AP785" s="29"/>
      <c r="AQ785" s="29"/>
      <c r="AR785" s="29"/>
      <c r="AS785" s="29"/>
      <c r="AT785" s="29"/>
      <c r="AU785" s="29"/>
      <c r="AV785" s="29"/>
      <c r="AW785" s="29"/>
    </row>
    <row r="786" spans="1:49" ht="13">
      <c r="A786" s="176">
        <v>2020</v>
      </c>
      <c r="B786" s="53" t="s">
        <v>58</v>
      </c>
      <c r="C786" s="50" t="s">
        <v>3593</v>
      </c>
      <c r="D786" s="50" t="s">
        <v>465</v>
      </c>
      <c r="E786" s="50" t="s">
        <v>3593</v>
      </c>
      <c r="F786" s="50" t="s">
        <v>3594</v>
      </c>
      <c r="G786" s="177">
        <v>0</v>
      </c>
      <c r="H786" s="50" t="s">
        <v>3595</v>
      </c>
      <c r="I786" s="179" t="s">
        <v>3596</v>
      </c>
      <c r="J786" s="50" t="s">
        <v>1629</v>
      </c>
      <c r="K786" s="50" t="s">
        <v>1629</v>
      </c>
      <c r="L786" s="50"/>
      <c r="M786" s="50"/>
      <c r="N786" s="50"/>
      <c r="O786" s="50"/>
      <c r="P786" s="50"/>
      <c r="Q786" s="50"/>
      <c r="R786" s="50"/>
      <c r="S786" s="50"/>
      <c r="T786" s="50"/>
      <c r="U786" s="50"/>
      <c r="V786" s="50"/>
      <c r="W786" s="50" t="s">
        <v>1629</v>
      </c>
      <c r="X786" s="50"/>
      <c r="Y786" s="50"/>
      <c r="Z786" s="50"/>
      <c r="AA786" s="50" t="s">
        <v>3597</v>
      </c>
      <c r="AB786" s="50" t="s">
        <v>352</v>
      </c>
      <c r="AC786" s="50" t="s">
        <v>3598</v>
      </c>
      <c r="AD786" s="95">
        <v>364</v>
      </c>
      <c r="AE786" s="174" t="s">
        <v>2826</v>
      </c>
      <c r="AF786" s="174" t="s">
        <v>2826</v>
      </c>
      <c r="AG786" s="50"/>
      <c r="AH786" s="50" t="s">
        <v>2819</v>
      </c>
      <c r="AI786" s="175">
        <v>175</v>
      </c>
      <c r="AJ786" s="53" t="s">
        <v>462</v>
      </c>
      <c r="AK786" s="14"/>
      <c r="AL786" s="14"/>
      <c r="AM786" s="14"/>
      <c r="AN786" s="14"/>
      <c r="AO786" s="14"/>
      <c r="AP786" s="14"/>
      <c r="AQ786" s="14"/>
      <c r="AR786" s="14"/>
      <c r="AS786" s="14"/>
      <c r="AT786" s="14"/>
      <c r="AU786" s="14"/>
      <c r="AV786" s="14"/>
      <c r="AW786" s="14"/>
    </row>
    <row r="787" spans="1:49" ht="13">
      <c r="A787" s="176">
        <v>2023</v>
      </c>
      <c r="B787" s="53" t="s">
        <v>58</v>
      </c>
      <c r="C787" s="50" t="s">
        <v>393</v>
      </c>
      <c r="D787" s="50" t="s">
        <v>393</v>
      </c>
      <c r="E787" s="50" t="s">
        <v>393</v>
      </c>
      <c r="F787" s="50" t="s">
        <v>369</v>
      </c>
      <c r="G787" s="99">
        <v>1</v>
      </c>
      <c r="H787" s="50" t="s">
        <v>3599</v>
      </c>
      <c r="I787" s="178" t="s">
        <v>3600</v>
      </c>
      <c r="J787" s="50" t="s">
        <v>1629</v>
      </c>
      <c r="K787" s="50" t="s">
        <v>1629</v>
      </c>
      <c r="L787" s="50"/>
      <c r="M787" s="50"/>
      <c r="N787" s="50"/>
      <c r="O787" s="50"/>
      <c r="P787" s="50"/>
      <c r="Q787" s="50"/>
      <c r="R787" s="50"/>
      <c r="S787" s="50"/>
      <c r="T787" s="50"/>
      <c r="U787" s="50"/>
      <c r="V787" s="50"/>
      <c r="W787" s="50" t="s">
        <v>1629</v>
      </c>
      <c r="X787" s="50"/>
      <c r="Y787" s="50"/>
      <c r="Z787" s="50"/>
      <c r="AA787" s="50"/>
      <c r="AB787" s="50" t="s">
        <v>3091</v>
      </c>
      <c r="AC787" s="50" t="s">
        <v>3601</v>
      </c>
      <c r="AD787" s="99">
        <v>365</v>
      </c>
      <c r="AE787" s="174">
        <v>32</v>
      </c>
      <c r="AF787" s="174">
        <v>225</v>
      </c>
      <c r="AG787" s="50"/>
      <c r="AH787" s="50" t="s">
        <v>2819</v>
      </c>
      <c r="AI787" s="175">
        <v>176</v>
      </c>
      <c r="AJ787" s="178" t="s">
        <v>371</v>
      </c>
      <c r="AK787" s="29"/>
      <c r="AL787" s="29"/>
      <c r="AM787" s="29"/>
      <c r="AN787" s="29"/>
      <c r="AO787" s="29"/>
      <c r="AP787" s="29"/>
      <c r="AQ787" s="29"/>
      <c r="AR787" s="29"/>
      <c r="AS787" s="29"/>
      <c r="AT787" s="29"/>
      <c r="AU787" s="29"/>
      <c r="AV787" s="29"/>
      <c r="AW787" s="29"/>
    </row>
    <row r="788" spans="1:49" ht="13">
      <c r="A788" s="176">
        <v>2022</v>
      </c>
      <c r="B788" s="53" t="s">
        <v>58</v>
      </c>
      <c r="C788" s="50" t="s">
        <v>411</v>
      </c>
      <c r="D788" s="50" t="s">
        <v>465</v>
      </c>
      <c r="E788" s="50" t="s">
        <v>411</v>
      </c>
      <c r="F788" s="50" t="s">
        <v>3602</v>
      </c>
      <c r="G788" s="177">
        <v>0</v>
      </c>
      <c r="H788" s="50" t="s">
        <v>3603</v>
      </c>
      <c r="I788" s="179" t="s">
        <v>3604</v>
      </c>
      <c r="J788" s="50" t="s">
        <v>1629</v>
      </c>
      <c r="K788" s="50" t="s">
        <v>1629</v>
      </c>
      <c r="L788" s="50"/>
      <c r="M788" s="50"/>
      <c r="N788" s="50"/>
      <c r="O788" s="50"/>
      <c r="P788" s="50"/>
      <c r="Q788" s="50"/>
      <c r="R788" s="50"/>
      <c r="S788" s="50"/>
      <c r="T788" s="50"/>
      <c r="U788" s="50"/>
      <c r="V788" s="50"/>
      <c r="W788" s="50" t="s">
        <v>1629</v>
      </c>
      <c r="X788" s="50"/>
      <c r="Y788" s="50"/>
      <c r="Z788" s="50"/>
      <c r="AA788" s="50" t="s">
        <v>3605</v>
      </c>
      <c r="AB788" s="50" t="s">
        <v>352</v>
      </c>
      <c r="AC788" s="50" t="s">
        <v>3606</v>
      </c>
      <c r="AD788" s="95">
        <v>366</v>
      </c>
      <c r="AE788" s="174" t="s">
        <v>2826</v>
      </c>
      <c r="AF788" s="174" t="s">
        <v>2826</v>
      </c>
      <c r="AG788" s="50"/>
      <c r="AH788" s="50" t="s">
        <v>2819</v>
      </c>
      <c r="AI788" s="175">
        <v>177</v>
      </c>
      <c r="AJ788" s="53" t="s">
        <v>462</v>
      </c>
      <c r="AK788" s="14"/>
      <c r="AL788" s="14"/>
      <c r="AM788" s="14"/>
      <c r="AN788" s="14"/>
      <c r="AO788" s="14"/>
      <c r="AP788" s="14"/>
      <c r="AQ788" s="14"/>
      <c r="AR788" s="14"/>
      <c r="AS788" s="14"/>
      <c r="AT788" s="14"/>
      <c r="AU788" s="14"/>
      <c r="AV788" s="14"/>
      <c r="AW788" s="14"/>
    </row>
    <row r="789" spans="1:49" ht="13">
      <c r="A789" s="176">
        <v>2023</v>
      </c>
      <c r="B789" s="53" t="s">
        <v>80</v>
      </c>
      <c r="C789" s="50" t="s">
        <v>311</v>
      </c>
      <c r="D789" s="50" t="s">
        <v>465</v>
      </c>
      <c r="E789" s="50" t="s">
        <v>311</v>
      </c>
      <c r="F789" s="50" t="s">
        <v>3607</v>
      </c>
      <c r="G789" s="177">
        <v>0</v>
      </c>
      <c r="H789" s="50" t="s">
        <v>3608</v>
      </c>
      <c r="I789" s="178" t="s">
        <v>3609</v>
      </c>
      <c r="J789" s="50" t="s">
        <v>1629</v>
      </c>
      <c r="K789" s="50" t="s">
        <v>1629</v>
      </c>
      <c r="L789" s="50"/>
      <c r="M789" s="50"/>
      <c r="N789" s="50"/>
      <c r="O789" s="50"/>
      <c r="P789" s="50"/>
      <c r="Q789" s="50"/>
      <c r="R789" s="50"/>
      <c r="S789" s="50"/>
      <c r="T789" s="50"/>
      <c r="U789" s="50"/>
      <c r="V789" s="50"/>
      <c r="W789" s="50" t="s">
        <v>1629</v>
      </c>
      <c r="X789" s="50"/>
      <c r="Y789" s="50"/>
      <c r="Z789" s="50"/>
      <c r="AA789" s="50" t="s">
        <v>3610</v>
      </c>
      <c r="AB789" s="50" t="s">
        <v>352</v>
      </c>
      <c r="AC789" s="50" t="s">
        <v>3611</v>
      </c>
      <c r="AD789" s="99">
        <v>367</v>
      </c>
      <c r="AE789" s="174" t="s">
        <v>2826</v>
      </c>
      <c r="AF789" s="174" t="s">
        <v>2826</v>
      </c>
      <c r="AG789" s="50"/>
      <c r="AH789" s="50" t="s">
        <v>2819</v>
      </c>
      <c r="AI789" s="175">
        <v>178</v>
      </c>
      <c r="AJ789" s="181" t="s">
        <v>462</v>
      </c>
      <c r="AK789" s="29"/>
      <c r="AL789" s="29"/>
      <c r="AM789" s="29"/>
      <c r="AN789" s="29"/>
      <c r="AO789" s="29"/>
      <c r="AP789" s="29"/>
      <c r="AQ789" s="29"/>
      <c r="AR789" s="29"/>
      <c r="AS789" s="29"/>
      <c r="AT789" s="29"/>
      <c r="AU789" s="29"/>
      <c r="AV789" s="29"/>
      <c r="AW789" s="29"/>
    </row>
    <row r="790" spans="1:49" ht="13">
      <c r="A790" s="176">
        <v>2022</v>
      </c>
      <c r="B790" s="53" t="s">
        <v>58</v>
      </c>
      <c r="C790" s="50" t="s">
        <v>375</v>
      </c>
      <c r="D790" s="50" t="s">
        <v>465</v>
      </c>
      <c r="E790" s="50" t="s">
        <v>375</v>
      </c>
      <c r="F790" s="50" t="s">
        <v>3612</v>
      </c>
      <c r="G790" s="177">
        <v>0</v>
      </c>
      <c r="H790" s="50" t="s">
        <v>3613</v>
      </c>
      <c r="I790" s="179" t="s">
        <v>3614</v>
      </c>
      <c r="J790" s="50" t="s">
        <v>1629</v>
      </c>
      <c r="K790" s="50" t="s">
        <v>1629</v>
      </c>
      <c r="L790" s="50"/>
      <c r="M790" s="50"/>
      <c r="N790" s="50"/>
      <c r="O790" s="50"/>
      <c r="P790" s="50"/>
      <c r="Q790" s="50"/>
      <c r="R790" s="50"/>
      <c r="S790" s="50"/>
      <c r="T790" s="50"/>
      <c r="U790" s="50"/>
      <c r="V790" s="50"/>
      <c r="W790" s="50" t="s">
        <v>1629</v>
      </c>
      <c r="X790" s="50"/>
      <c r="Y790" s="50"/>
      <c r="Z790" s="50"/>
      <c r="AA790" s="50" t="s">
        <v>3615</v>
      </c>
      <c r="AB790" s="50" t="s">
        <v>352</v>
      </c>
      <c r="AC790" s="50" t="s">
        <v>3616</v>
      </c>
      <c r="AD790" s="95">
        <v>368</v>
      </c>
      <c r="AE790" s="174" t="s">
        <v>2826</v>
      </c>
      <c r="AF790" s="174" t="s">
        <v>2826</v>
      </c>
      <c r="AG790" s="50"/>
      <c r="AH790" s="50" t="s">
        <v>2819</v>
      </c>
      <c r="AI790" s="175">
        <v>179</v>
      </c>
      <c r="AJ790" s="53" t="s">
        <v>462</v>
      </c>
      <c r="AK790" s="14"/>
      <c r="AL790" s="14"/>
      <c r="AM790" s="14"/>
      <c r="AN790" s="14"/>
      <c r="AO790" s="14"/>
      <c r="AP790" s="14"/>
      <c r="AQ790" s="14"/>
      <c r="AR790" s="14"/>
      <c r="AS790" s="14"/>
      <c r="AT790" s="14"/>
      <c r="AU790" s="14"/>
      <c r="AV790" s="14"/>
      <c r="AW790" s="14"/>
    </row>
    <row r="791" spans="1:49" ht="13">
      <c r="A791" s="176">
        <v>2021</v>
      </c>
      <c r="B791" s="53" t="s">
        <v>58</v>
      </c>
      <c r="C791" s="50" t="s">
        <v>397</v>
      </c>
      <c r="D791" s="50" t="s">
        <v>397</v>
      </c>
      <c r="E791" s="50" t="s">
        <v>397</v>
      </c>
      <c r="F791" s="50" t="s">
        <v>3617</v>
      </c>
      <c r="G791" s="177">
        <v>0</v>
      </c>
      <c r="H791" s="50" t="s">
        <v>3618</v>
      </c>
      <c r="I791" s="178" t="s">
        <v>3619</v>
      </c>
      <c r="J791" s="50" t="s">
        <v>1629</v>
      </c>
      <c r="K791" s="50" t="s">
        <v>1629</v>
      </c>
      <c r="L791" s="50"/>
      <c r="M791" s="50"/>
      <c r="N791" s="50"/>
      <c r="O791" s="50"/>
      <c r="P791" s="50"/>
      <c r="Q791" s="50"/>
      <c r="R791" s="50"/>
      <c r="S791" s="50"/>
      <c r="T791" s="50"/>
      <c r="U791" s="50"/>
      <c r="V791" s="50"/>
      <c r="W791" s="50" t="s">
        <v>1629</v>
      </c>
      <c r="X791" s="50"/>
      <c r="Y791" s="50"/>
      <c r="Z791" s="50"/>
      <c r="AA791" s="50" t="s">
        <v>3620</v>
      </c>
      <c r="AB791" s="50" t="s">
        <v>352</v>
      </c>
      <c r="AC791" s="50" t="s">
        <v>3621</v>
      </c>
      <c r="AD791" s="99">
        <v>369</v>
      </c>
      <c r="AE791" s="174" t="s">
        <v>2826</v>
      </c>
      <c r="AF791" s="174">
        <v>231</v>
      </c>
      <c r="AG791" s="50"/>
      <c r="AH791" s="50" t="s">
        <v>2819</v>
      </c>
      <c r="AI791" s="175">
        <v>180</v>
      </c>
      <c r="AJ791" s="181" t="s">
        <v>462</v>
      </c>
      <c r="AK791" s="29"/>
      <c r="AL791" s="29"/>
      <c r="AM791" s="29"/>
      <c r="AN791" s="29"/>
      <c r="AO791" s="29"/>
      <c r="AP791" s="29"/>
      <c r="AQ791" s="29"/>
      <c r="AR791" s="29"/>
      <c r="AS791" s="29"/>
      <c r="AT791" s="29"/>
      <c r="AU791" s="29"/>
      <c r="AV791" s="29"/>
      <c r="AW791" s="29"/>
    </row>
    <row r="792" spans="1:49" ht="13">
      <c r="A792" s="176">
        <v>2022</v>
      </c>
      <c r="B792" s="53" t="s">
        <v>58</v>
      </c>
      <c r="C792" s="50" t="s">
        <v>379</v>
      </c>
      <c r="D792" s="50" t="s">
        <v>465</v>
      </c>
      <c r="E792" s="50" t="s">
        <v>379</v>
      </c>
      <c r="F792" s="50" t="s">
        <v>3622</v>
      </c>
      <c r="G792" s="177">
        <v>0</v>
      </c>
      <c r="H792" s="50" t="s">
        <v>3623</v>
      </c>
      <c r="I792" s="179" t="s">
        <v>3624</v>
      </c>
      <c r="J792" s="50" t="s">
        <v>1629</v>
      </c>
      <c r="K792" s="50" t="s">
        <v>1629</v>
      </c>
      <c r="L792" s="50"/>
      <c r="M792" s="50"/>
      <c r="N792" s="50"/>
      <c r="O792" s="50"/>
      <c r="P792" s="50"/>
      <c r="Q792" s="50"/>
      <c r="R792" s="50"/>
      <c r="S792" s="50"/>
      <c r="T792" s="50"/>
      <c r="U792" s="50"/>
      <c r="V792" s="50"/>
      <c r="W792" s="50" t="s">
        <v>1629</v>
      </c>
      <c r="X792" s="50"/>
      <c r="Y792" s="50"/>
      <c r="Z792" s="50"/>
      <c r="AA792" s="50" t="s">
        <v>3625</v>
      </c>
      <c r="AB792" s="50" t="s">
        <v>352</v>
      </c>
      <c r="AC792" s="50" t="s">
        <v>3626</v>
      </c>
      <c r="AD792" s="95">
        <v>370</v>
      </c>
      <c r="AE792" s="174" t="s">
        <v>2826</v>
      </c>
      <c r="AF792" s="174" t="s">
        <v>2826</v>
      </c>
      <c r="AG792" s="50"/>
      <c r="AH792" s="50" t="s">
        <v>2819</v>
      </c>
      <c r="AI792" s="175">
        <v>181</v>
      </c>
      <c r="AJ792" s="53" t="s">
        <v>462</v>
      </c>
      <c r="AK792" s="14"/>
      <c r="AL792" s="14"/>
      <c r="AM792" s="14"/>
      <c r="AN792" s="14"/>
      <c r="AO792" s="14"/>
      <c r="AP792" s="14"/>
      <c r="AQ792" s="14"/>
      <c r="AR792" s="14"/>
      <c r="AS792" s="14"/>
      <c r="AT792" s="14"/>
      <c r="AU792" s="14"/>
      <c r="AV792" s="14"/>
      <c r="AW792" s="14"/>
    </row>
    <row r="793" spans="1:49" ht="13">
      <c r="A793" s="176">
        <v>2022</v>
      </c>
      <c r="B793" s="53" t="s">
        <v>58</v>
      </c>
      <c r="C793" s="50" t="s">
        <v>455</v>
      </c>
      <c r="D793" s="50" t="s">
        <v>246</v>
      </c>
      <c r="E793" s="50" t="s">
        <v>455</v>
      </c>
      <c r="F793" s="50" t="s">
        <v>3627</v>
      </c>
      <c r="G793" s="177">
        <v>0</v>
      </c>
      <c r="H793" s="50" t="s">
        <v>3628</v>
      </c>
      <c r="I793" s="178" t="s">
        <v>3629</v>
      </c>
      <c r="J793" s="50" t="s">
        <v>1629</v>
      </c>
      <c r="K793" s="50" t="s">
        <v>1629</v>
      </c>
      <c r="L793" s="50"/>
      <c r="M793" s="50"/>
      <c r="N793" s="50"/>
      <c r="O793" s="50"/>
      <c r="P793" s="50"/>
      <c r="Q793" s="50"/>
      <c r="R793" s="50"/>
      <c r="S793" s="50"/>
      <c r="T793" s="50"/>
      <c r="U793" s="50"/>
      <c r="V793" s="50"/>
      <c r="W793" s="50" t="s">
        <v>1629</v>
      </c>
      <c r="X793" s="50"/>
      <c r="Y793" s="50"/>
      <c r="Z793" s="50"/>
      <c r="AA793" s="50" t="s">
        <v>3630</v>
      </c>
      <c r="AB793" s="50" t="s">
        <v>352</v>
      </c>
      <c r="AC793" s="50" t="s">
        <v>3631</v>
      </c>
      <c r="AD793" s="99">
        <v>371</v>
      </c>
      <c r="AE793" s="174" t="s">
        <v>2826</v>
      </c>
      <c r="AF793" s="174" t="s">
        <v>2826</v>
      </c>
      <c r="AG793" s="50"/>
      <c r="AH793" s="50" t="s">
        <v>2819</v>
      </c>
      <c r="AI793" s="175">
        <v>182</v>
      </c>
      <c r="AJ793" s="181" t="s">
        <v>462</v>
      </c>
      <c r="AK793" s="29"/>
      <c r="AL793" s="29"/>
      <c r="AM793" s="29"/>
      <c r="AN793" s="29"/>
      <c r="AO793" s="29"/>
      <c r="AP793" s="29"/>
      <c r="AQ793" s="29"/>
      <c r="AR793" s="29"/>
      <c r="AS793" s="29"/>
      <c r="AT793" s="29"/>
      <c r="AU793" s="29"/>
      <c r="AV793" s="29"/>
      <c r="AW793" s="29"/>
    </row>
    <row r="794" spans="1:49" ht="13">
      <c r="A794" s="176">
        <v>2021</v>
      </c>
      <c r="B794" s="53" t="s">
        <v>58</v>
      </c>
      <c r="C794" s="50" t="s">
        <v>246</v>
      </c>
      <c r="D794" s="50" t="s">
        <v>465</v>
      </c>
      <c r="E794" s="50" t="s">
        <v>246</v>
      </c>
      <c r="F794" s="50" t="s">
        <v>3632</v>
      </c>
      <c r="G794" s="177">
        <v>0</v>
      </c>
      <c r="H794" s="50" t="s">
        <v>3633</v>
      </c>
      <c r="I794" s="179" t="s">
        <v>3634</v>
      </c>
      <c r="J794" s="50" t="s">
        <v>1629</v>
      </c>
      <c r="K794" s="50" t="s">
        <v>1629</v>
      </c>
      <c r="L794" s="50"/>
      <c r="M794" s="50"/>
      <c r="N794" s="50"/>
      <c r="O794" s="50"/>
      <c r="P794" s="50"/>
      <c r="Q794" s="50"/>
      <c r="R794" s="50"/>
      <c r="S794" s="50"/>
      <c r="T794" s="50"/>
      <c r="U794" s="50"/>
      <c r="V794" s="50"/>
      <c r="W794" s="50" t="s">
        <v>1629</v>
      </c>
      <c r="X794" s="50"/>
      <c r="Y794" s="50"/>
      <c r="Z794" s="50"/>
      <c r="AA794" s="50" t="s">
        <v>3635</v>
      </c>
      <c r="AB794" s="50" t="s">
        <v>352</v>
      </c>
      <c r="AC794" s="50" t="s">
        <v>3636</v>
      </c>
      <c r="AD794" s="95">
        <v>372</v>
      </c>
      <c r="AE794" s="174" t="s">
        <v>2826</v>
      </c>
      <c r="AF794" s="174" t="s">
        <v>2826</v>
      </c>
      <c r="AG794" s="50"/>
      <c r="AH794" s="50" t="s">
        <v>2819</v>
      </c>
      <c r="AI794" s="175">
        <v>183</v>
      </c>
      <c r="AJ794" s="53" t="s">
        <v>462</v>
      </c>
      <c r="AK794" s="14"/>
      <c r="AL794" s="14"/>
      <c r="AM794" s="14"/>
      <c r="AN794" s="14"/>
      <c r="AO794" s="14"/>
      <c r="AP794" s="14"/>
      <c r="AQ794" s="14"/>
      <c r="AR794" s="14"/>
      <c r="AS794" s="14"/>
      <c r="AT794" s="14"/>
      <c r="AU794" s="14"/>
      <c r="AV794" s="14"/>
      <c r="AW794" s="14"/>
    </row>
    <row r="795" spans="1:49" ht="13">
      <c r="A795" s="176">
        <v>2022</v>
      </c>
      <c r="B795" s="53" t="s">
        <v>58</v>
      </c>
      <c r="C795" s="50" t="s">
        <v>396</v>
      </c>
      <c r="D795" s="50" t="s">
        <v>465</v>
      </c>
      <c r="E795" s="50" t="s">
        <v>396</v>
      </c>
      <c r="F795" s="50" t="s">
        <v>3637</v>
      </c>
      <c r="G795" s="177">
        <v>0</v>
      </c>
      <c r="H795" s="50" t="s">
        <v>3638</v>
      </c>
      <c r="I795" s="178" t="s">
        <v>3639</v>
      </c>
      <c r="J795" s="50" t="s">
        <v>1629</v>
      </c>
      <c r="K795" s="50" t="s">
        <v>1629</v>
      </c>
      <c r="L795" s="50"/>
      <c r="M795" s="50"/>
      <c r="N795" s="50"/>
      <c r="O795" s="50"/>
      <c r="P795" s="50"/>
      <c r="Q795" s="50"/>
      <c r="R795" s="50"/>
      <c r="S795" s="50"/>
      <c r="T795" s="50"/>
      <c r="U795" s="50"/>
      <c r="V795" s="50"/>
      <c r="W795" s="50" t="s">
        <v>1629</v>
      </c>
      <c r="X795" s="50"/>
      <c r="Y795" s="50"/>
      <c r="Z795" s="50"/>
      <c r="AA795" s="50" t="s">
        <v>3640</v>
      </c>
      <c r="AB795" s="50" t="s">
        <v>352</v>
      </c>
      <c r="AC795" s="50" t="s">
        <v>3641</v>
      </c>
      <c r="AD795" s="99">
        <v>373</v>
      </c>
      <c r="AE795" s="174" t="s">
        <v>2826</v>
      </c>
      <c r="AF795" s="174" t="s">
        <v>2826</v>
      </c>
      <c r="AG795" s="50"/>
      <c r="AH795" s="50" t="s">
        <v>2819</v>
      </c>
      <c r="AI795" s="175">
        <v>184</v>
      </c>
      <c r="AJ795" s="181" t="s">
        <v>462</v>
      </c>
      <c r="AK795" s="29"/>
      <c r="AL795" s="29"/>
      <c r="AM795" s="29"/>
      <c r="AN795" s="29"/>
      <c r="AO795" s="29"/>
      <c r="AP795" s="29"/>
      <c r="AQ795" s="29"/>
      <c r="AR795" s="29"/>
      <c r="AS795" s="29"/>
      <c r="AT795" s="29"/>
      <c r="AU795" s="29"/>
      <c r="AV795" s="29"/>
      <c r="AW795" s="29"/>
    </row>
    <row r="796" spans="1:49" ht="13">
      <c r="A796" s="176">
        <v>2023</v>
      </c>
      <c r="B796" s="53" t="s">
        <v>80</v>
      </c>
      <c r="C796" s="50" t="s">
        <v>310</v>
      </c>
      <c r="D796" s="50" t="s">
        <v>465</v>
      </c>
      <c r="E796" s="50" t="s">
        <v>310</v>
      </c>
      <c r="F796" s="50" t="s">
        <v>3642</v>
      </c>
      <c r="G796" s="177">
        <v>0</v>
      </c>
      <c r="H796" s="50" t="s">
        <v>3643</v>
      </c>
      <c r="I796" s="179" t="s">
        <v>3644</v>
      </c>
      <c r="J796" s="50" t="s">
        <v>1629</v>
      </c>
      <c r="K796" s="50" t="s">
        <v>1629</v>
      </c>
      <c r="L796" s="50"/>
      <c r="M796" s="50"/>
      <c r="N796" s="50"/>
      <c r="O796" s="50"/>
      <c r="P796" s="50"/>
      <c r="Q796" s="50"/>
      <c r="R796" s="50"/>
      <c r="S796" s="50"/>
      <c r="T796" s="50"/>
      <c r="U796" s="50"/>
      <c r="V796" s="50"/>
      <c r="W796" s="50" t="s">
        <v>1629</v>
      </c>
      <c r="X796" s="50"/>
      <c r="Y796" s="50"/>
      <c r="Z796" s="50"/>
      <c r="AA796" s="50" t="s">
        <v>3645</v>
      </c>
      <c r="AB796" s="50" t="s">
        <v>352</v>
      </c>
      <c r="AC796" s="50" t="s">
        <v>3646</v>
      </c>
      <c r="AD796" s="95">
        <v>374</v>
      </c>
      <c r="AE796" s="174" t="s">
        <v>2826</v>
      </c>
      <c r="AF796" s="174" t="s">
        <v>2826</v>
      </c>
      <c r="AG796" s="50"/>
      <c r="AH796" s="50" t="s">
        <v>2819</v>
      </c>
      <c r="AI796" s="175">
        <v>185</v>
      </c>
      <c r="AJ796" s="53" t="s">
        <v>462</v>
      </c>
      <c r="AK796" s="14"/>
      <c r="AL796" s="14"/>
      <c r="AM796" s="14"/>
      <c r="AN796" s="14"/>
      <c r="AO796" s="14"/>
      <c r="AP796" s="14"/>
      <c r="AQ796" s="14"/>
      <c r="AR796" s="14"/>
      <c r="AS796" s="14"/>
      <c r="AT796" s="14"/>
      <c r="AU796" s="14"/>
      <c r="AV796" s="14"/>
      <c r="AW796" s="14"/>
    </row>
    <row r="797" spans="1:49" ht="13">
      <c r="A797" s="176">
        <v>2023</v>
      </c>
      <c r="B797" s="53" t="s">
        <v>58</v>
      </c>
      <c r="C797" s="50" t="s">
        <v>397</v>
      </c>
      <c r="D797" s="50" t="s">
        <v>331</v>
      </c>
      <c r="E797" s="50" t="s">
        <v>397</v>
      </c>
      <c r="F797" s="50" t="s">
        <v>3647</v>
      </c>
      <c r="G797" s="177">
        <v>0</v>
      </c>
      <c r="H797" s="50" t="s">
        <v>3648</v>
      </c>
      <c r="I797" s="178" t="s">
        <v>3649</v>
      </c>
      <c r="J797" s="50" t="s">
        <v>1629</v>
      </c>
      <c r="K797" s="50" t="s">
        <v>1629</v>
      </c>
      <c r="L797" s="50"/>
      <c r="M797" s="50"/>
      <c r="N797" s="50"/>
      <c r="O797" s="50"/>
      <c r="P797" s="50"/>
      <c r="Q797" s="50"/>
      <c r="R797" s="50"/>
      <c r="S797" s="50"/>
      <c r="T797" s="50"/>
      <c r="U797" s="50"/>
      <c r="V797" s="50"/>
      <c r="W797" s="50" t="s">
        <v>1629</v>
      </c>
      <c r="X797" s="50"/>
      <c r="Y797" s="50"/>
      <c r="Z797" s="50"/>
      <c r="AA797" s="50" t="s">
        <v>3650</v>
      </c>
      <c r="AB797" s="50" t="s">
        <v>352</v>
      </c>
      <c r="AC797" s="50" t="s">
        <v>3651</v>
      </c>
      <c r="AD797" s="99">
        <v>375</v>
      </c>
      <c r="AE797" s="174" t="s">
        <v>2826</v>
      </c>
      <c r="AF797" s="174" t="s">
        <v>2826</v>
      </c>
      <c r="AG797" s="50"/>
      <c r="AH797" s="50" t="s">
        <v>2819</v>
      </c>
      <c r="AI797" s="175">
        <v>186</v>
      </c>
      <c r="AJ797" s="181" t="s">
        <v>462</v>
      </c>
      <c r="AK797" s="29"/>
      <c r="AL797" s="29"/>
      <c r="AM797" s="29"/>
      <c r="AN797" s="29"/>
      <c r="AO797" s="29"/>
      <c r="AP797" s="29"/>
      <c r="AQ797" s="29"/>
      <c r="AR797" s="29"/>
      <c r="AS797" s="29"/>
      <c r="AT797" s="29"/>
      <c r="AU797" s="29"/>
      <c r="AV797" s="29"/>
      <c r="AW797" s="29"/>
    </row>
    <row r="798" spans="1:49" ht="13">
      <c r="A798" s="176">
        <v>2023</v>
      </c>
      <c r="B798" s="53" t="s">
        <v>58</v>
      </c>
      <c r="C798" s="50" t="s">
        <v>368</v>
      </c>
      <c r="D798" s="50" t="s">
        <v>368</v>
      </c>
      <c r="E798" s="50" t="s">
        <v>368</v>
      </c>
      <c r="F798" s="50" t="s">
        <v>3652</v>
      </c>
      <c r="G798" s="177">
        <v>0</v>
      </c>
      <c r="H798" s="50" t="s">
        <v>3653</v>
      </c>
      <c r="I798" s="179" t="s">
        <v>3654</v>
      </c>
      <c r="J798" s="50" t="s">
        <v>1629</v>
      </c>
      <c r="K798" s="50" t="s">
        <v>1629</v>
      </c>
      <c r="L798" s="50"/>
      <c r="M798" s="50"/>
      <c r="N798" s="50"/>
      <c r="O798" s="50"/>
      <c r="P798" s="50"/>
      <c r="Q798" s="50"/>
      <c r="R798" s="50"/>
      <c r="S798" s="50"/>
      <c r="T798" s="50"/>
      <c r="U798" s="50"/>
      <c r="V798" s="50"/>
      <c r="W798" s="50" t="s">
        <v>1629</v>
      </c>
      <c r="X798" s="50"/>
      <c r="Y798" s="50"/>
      <c r="Z798" s="50"/>
      <c r="AA798" s="50" t="s">
        <v>3655</v>
      </c>
      <c r="AB798" s="50" t="s">
        <v>352</v>
      </c>
      <c r="AC798" s="50" t="s">
        <v>3656</v>
      </c>
      <c r="AD798" s="95">
        <v>376</v>
      </c>
      <c r="AE798" s="174" t="s">
        <v>2826</v>
      </c>
      <c r="AF798" s="174">
        <v>202</v>
      </c>
      <c r="AG798" s="50"/>
      <c r="AH798" s="50" t="s">
        <v>2819</v>
      </c>
      <c r="AI798" s="175">
        <v>187</v>
      </c>
      <c r="AJ798" s="53" t="s">
        <v>462</v>
      </c>
      <c r="AK798" s="14"/>
      <c r="AL798" s="14"/>
      <c r="AM798" s="14"/>
      <c r="AN798" s="14"/>
      <c r="AO798" s="14"/>
      <c r="AP798" s="14"/>
      <c r="AQ798" s="14"/>
      <c r="AR798" s="14"/>
      <c r="AS798" s="14"/>
      <c r="AT798" s="14"/>
      <c r="AU798" s="14"/>
      <c r="AV798" s="14"/>
      <c r="AW798" s="14"/>
    </row>
    <row r="799" spans="1:49" ht="13">
      <c r="A799" s="176">
        <v>2023</v>
      </c>
      <c r="B799" s="53" t="s">
        <v>58</v>
      </c>
      <c r="C799" s="50" t="s">
        <v>462</v>
      </c>
      <c r="D799" s="50" t="s">
        <v>171</v>
      </c>
      <c r="E799" s="50" t="s">
        <v>462</v>
      </c>
      <c r="F799" s="50" t="s">
        <v>3657</v>
      </c>
      <c r="G799" s="177">
        <v>0</v>
      </c>
      <c r="H799" s="50" t="s">
        <v>3658</v>
      </c>
      <c r="I799" s="178" t="s">
        <v>3659</v>
      </c>
      <c r="J799" s="50" t="s">
        <v>1629</v>
      </c>
      <c r="K799" s="50" t="s">
        <v>1629</v>
      </c>
      <c r="L799" s="50"/>
      <c r="M799" s="50"/>
      <c r="N799" s="50"/>
      <c r="O799" s="50"/>
      <c r="P799" s="50"/>
      <c r="Q799" s="50"/>
      <c r="R799" s="50"/>
      <c r="S799" s="50"/>
      <c r="T799" s="50"/>
      <c r="U799" s="50"/>
      <c r="V799" s="50"/>
      <c r="W799" s="50" t="s">
        <v>1629</v>
      </c>
      <c r="X799" s="50"/>
      <c r="Y799" s="50"/>
      <c r="Z799" s="50"/>
      <c r="AA799" s="50" t="s">
        <v>3660</v>
      </c>
      <c r="AB799" s="50" t="s">
        <v>352</v>
      </c>
      <c r="AC799" s="50" t="s">
        <v>3661</v>
      </c>
      <c r="AD799" s="99">
        <v>377</v>
      </c>
      <c r="AE799" s="174" t="s">
        <v>2826</v>
      </c>
      <c r="AF799" s="174" t="s">
        <v>2826</v>
      </c>
      <c r="AG799" s="50"/>
      <c r="AH799" s="50" t="s">
        <v>2819</v>
      </c>
      <c r="AI799" s="175">
        <v>188</v>
      </c>
      <c r="AJ799" s="181" t="s">
        <v>462</v>
      </c>
      <c r="AK799" s="29"/>
      <c r="AL799" s="29"/>
      <c r="AM799" s="29"/>
      <c r="AN799" s="29"/>
      <c r="AO799" s="29"/>
      <c r="AP799" s="29"/>
      <c r="AQ799" s="29"/>
      <c r="AR799" s="29"/>
      <c r="AS799" s="29"/>
      <c r="AT799" s="29"/>
      <c r="AU799" s="29"/>
      <c r="AV799" s="29"/>
      <c r="AW799" s="29"/>
    </row>
    <row r="800" spans="1:49" ht="13">
      <c r="A800" s="176">
        <v>2023</v>
      </c>
      <c r="B800" s="53" t="s">
        <v>80</v>
      </c>
      <c r="C800" s="50" t="s">
        <v>343</v>
      </c>
      <c r="D800" s="50" t="s">
        <v>465</v>
      </c>
      <c r="E800" s="50" t="s">
        <v>343</v>
      </c>
      <c r="F800" s="50" t="s">
        <v>3662</v>
      </c>
      <c r="G800" s="177">
        <v>0</v>
      </c>
      <c r="H800" s="50" t="s">
        <v>3663</v>
      </c>
      <c r="I800" s="179" t="s">
        <v>3664</v>
      </c>
      <c r="J800" s="50" t="s">
        <v>1629</v>
      </c>
      <c r="K800" s="50" t="s">
        <v>1629</v>
      </c>
      <c r="L800" s="50"/>
      <c r="M800" s="50"/>
      <c r="N800" s="50"/>
      <c r="O800" s="50"/>
      <c r="P800" s="50"/>
      <c r="Q800" s="50"/>
      <c r="R800" s="50"/>
      <c r="S800" s="50"/>
      <c r="T800" s="50"/>
      <c r="U800" s="50"/>
      <c r="V800" s="50"/>
      <c r="W800" s="50" t="s">
        <v>1629</v>
      </c>
      <c r="X800" s="50"/>
      <c r="Y800" s="50"/>
      <c r="Z800" s="50"/>
      <c r="AA800" s="50" t="s">
        <v>3665</v>
      </c>
      <c r="AB800" s="50" t="s">
        <v>352</v>
      </c>
      <c r="AC800" s="50" t="s">
        <v>3666</v>
      </c>
      <c r="AD800" s="95">
        <v>378</v>
      </c>
      <c r="AE800" s="174" t="s">
        <v>2826</v>
      </c>
      <c r="AF800" s="174" t="s">
        <v>2826</v>
      </c>
      <c r="AG800" s="50"/>
      <c r="AH800" s="50" t="s">
        <v>2819</v>
      </c>
      <c r="AI800" s="175">
        <v>189</v>
      </c>
      <c r="AJ800" s="53" t="s">
        <v>462</v>
      </c>
      <c r="AK800" s="14"/>
      <c r="AL800" s="14"/>
      <c r="AM800" s="14"/>
      <c r="AN800" s="14"/>
      <c r="AO800" s="14"/>
      <c r="AP800" s="14"/>
      <c r="AQ800" s="14"/>
      <c r="AR800" s="14"/>
      <c r="AS800" s="14"/>
      <c r="AT800" s="14"/>
      <c r="AU800" s="14"/>
      <c r="AV800" s="14"/>
      <c r="AW800" s="14"/>
    </row>
    <row r="801" spans="1:49" ht="13">
      <c r="A801" s="176">
        <v>2021</v>
      </c>
      <c r="B801" s="53" t="s">
        <v>58</v>
      </c>
      <c r="C801" s="50" t="s">
        <v>393</v>
      </c>
      <c r="D801" s="50" t="s">
        <v>465</v>
      </c>
      <c r="E801" s="50" t="s">
        <v>393</v>
      </c>
      <c r="F801" s="50" t="s">
        <v>3667</v>
      </c>
      <c r="G801" s="177">
        <v>0</v>
      </c>
      <c r="H801" s="50" t="s">
        <v>3668</v>
      </c>
      <c r="I801" s="178" t="s">
        <v>3669</v>
      </c>
      <c r="J801" s="50" t="s">
        <v>1629</v>
      </c>
      <c r="K801" s="50" t="s">
        <v>1629</v>
      </c>
      <c r="L801" s="50"/>
      <c r="M801" s="50"/>
      <c r="N801" s="50"/>
      <c r="O801" s="50"/>
      <c r="P801" s="50"/>
      <c r="Q801" s="50"/>
      <c r="R801" s="50"/>
      <c r="S801" s="50"/>
      <c r="T801" s="50"/>
      <c r="U801" s="50"/>
      <c r="V801" s="50"/>
      <c r="W801" s="50" t="s">
        <v>1629</v>
      </c>
      <c r="X801" s="50"/>
      <c r="Y801" s="50"/>
      <c r="Z801" s="50"/>
      <c r="AA801" s="50" t="s">
        <v>3670</v>
      </c>
      <c r="AB801" s="50" t="s">
        <v>352</v>
      </c>
      <c r="AC801" s="50" t="s">
        <v>3671</v>
      </c>
      <c r="AD801" s="99">
        <v>379</v>
      </c>
      <c r="AE801" s="174" t="s">
        <v>2826</v>
      </c>
      <c r="AF801" s="174" t="s">
        <v>2826</v>
      </c>
      <c r="AG801" s="50"/>
      <c r="AH801" s="50" t="s">
        <v>2819</v>
      </c>
      <c r="AI801" s="175">
        <v>190</v>
      </c>
      <c r="AJ801" s="181" t="s">
        <v>462</v>
      </c>
      <c r="AK801" s="29"/>
      <c r="AL801" s="29"/>
      <c r="AM801" s="29"/>
      <c r="AN801" s="29"/>
      <c r="AO801" s="29"/>
      <c r="AP801" s="29"/>
      <c r="AQ801" s="29"/>
      <c r="AR801" s="29"/>
      <c r="AS801" s="29"/>
      <c r="AT801" s="29"/>
      <c r="AU801" s="29"/>
      <c r="AV801" s="29"/>
      <c r="AW801" s="29"/>
    </row>
    <row r="802" spans="1:49" ht="13">
      <c r="A802" s="176">
        <v>2024</v>
      </c>
      <c r="B802" s="53" t="s">
        <v>56</v>
      </c>
      <c r="C802" s="50" t="s">
        <v>56</v>
      </c>
      <c r="D802" s="50" t="s">
        <v>465</v>
      </c>
      <c r="E802" s="50" t="s">
        <v>56</v>
      </c>
      <c r="F802" s="50" t="s">
        <v>920</v>
      </c>
      <c r="G802" s="99">
        <v>1</v>
      </c>
      <c r="H802" s="50" t="s">
        <v>3672</v>
      </c>
      <c r="I802" s="179" t="s">
        <v>3673</v>
      </c>
      <c r="J802" s="50" t="s">
        <v>1629</v>
      </c>
      <c r="K802" s="50" t="s">
        <v>1629</v>
      </c>
      <c r="L802" s="50"/>
      <c r="M802" s="50"/>
      <c r="N802" s="50"/>
      <c r="O802" s="50"/>
      <c r="P802" s="50"/>
      <c r="Q802" s="50"/>
      <c r="R802" s="50"/>
      <c r="S802" s="50"/>
      <c r="T802" s="50"/>
      <c r="U802" s="50"/>
      <c r="V802" s="50"/>
      <c r="W802" s="50" t="s">
        <v>1629</v>
      </c>
      <c r="X802" s="50"/>
      <c r="Y802" s="50"/>
      <c r="Z802" s="50"/>
      <c r="AA802" s="50" t="s">
        <v>3674</v>
      </c>
      <c r="AB802" s="50" t="s">
        <v>2841</v>
      </c>
      <c r="AC802" s="50" t="s">
        <v>3675</v>
      </c>
      <c r="AD802" s="95">
        <v>380</v>
      </c>
      <c r="AE802" s="174" t="s">
        <v>2826</v>
      </c>
      <c r="AF802" s="174" t="s">
        <v>2826</v>
      </c>
      <c r="AG802" s="50"/>
      <c r="AH802" s="50" t="s">
        <v>2819</v>
      </c>
      <c r="AI802" s="175">
        <v>191</v>
      </c>
      <c r="AJ802" s="179" t="s">
        <v>3270</v>
      </c>
      <c r="AK802" s="14"/>
      <c r="AL802" s="14"/>
      <c r="AM802" s="14"/>
      <c r="AN802" s="14"/>
      <c r="AO802" s="14"/>
      <c r="AP802" s="14"/>
      <c r="AQ802" s="14"/>
      <c r="AR802" s="14"/>
      <c r="AS802" s="14"/>
      <c r="AT802" s="14"/>
      <c r="AU802" s="14"/>
      <c r="AV802" s="14"/>
      <c r="AW802" s="14"/>
    </row>
    <row r="803" spans="1:49" ht="13">
      <c r="A803" s="176">
        <v>2023</v>
      </c>
      <c r="B803" s="53" t="s">
        <v>58</v>
      </c>
      <c r="C803" s="50" t="s">
        <v>384</v>
      </c>
      <c r="D803" s="50" t="s">
        <v>384</v>
      </c>
      <c r="E803" s="50" t="s">
        <v>384</v>
      </c>
      <c r="F803" s="50" t="s">
        <v>1234</v>
      </c>
      <c r="G803" s="99">
        <v>1</v>
      </c>
      <c r="H803" s="50" t="s">
        <v>3676</v>
      </c>
      <c r="I803" s="178" t="s">
        <v>3677</v>
      </c>
      <c r="J803" s="50" t="s">
        <v>1629</v>
      </c>
      <c r="K803" s="50" t="s">
        <v>1629</v>
      </c>
      <c r="L803" s="50"/>
      <c r="M803" s="50"/>
      <c r="N803" s="50"/>
      <c r="O803" s="50"/>
      <c r="P803" s="50"/>
      <c r="Q803" s="50"/>
      <c r="R803" s="50"/>
      <c r="S803" s="50"/>
      <c r="T803" s="50"/>
      <c r="U803" s="50"/>
      <c r="V803" s="50"/>
      <c r="W803" s="50" t="s">
        <v>1635</v>
      </c>
      <c r="X803" s="50"/>
      <c r="Y803" s="50"/>
      <c r="Z803" s="50"/>
      <c r="AA803" s="50" t="s">
        <v>3678</v>
      </c>
      <c r="AB803" s="50" t="s">
        <v>2841</v>
      </c>
      <c r="AC803" s="50" t="s">
        <v>3679</v>
      </c>
      <c r="AD803" s="99">
        <v>381</v>
      </c>
      <c r="AE803" s="174">
        <v>185</v>
      </c>
      <c r="AF803" s="174">
        <v>219</v>
      </c>
      <c r="AG803" s="50"/>
      <c r="AH803" s="50" t="s">
        <v>2819</v>
      </c>
      <c r="AI803" s="175">
        <v>192</v>
      </c>
      <c r="AJ803" s="178" t="s">
        <v>1236</v>
      </c>
      <c r="AK803" s="29"/>
      <c r="AL803" s="29"/>
      <c r="AM803" s="29"/>
      <c r="AN803" s="29"/>
      <c r="AO803" s="29"/>
      <c r="AP803" s="29"/>
      <c r="AQ803" s="29"/>
      <c r="AR803" s="29"/>
      <c r="AS803" s="29"/>
      <c r="AT803" s="29"/>
      <c r="AU803" s="29"/>
      <c r="AV803" s="29"/>
      <c r="AW803" s="29"/>
    </row>
    <row r="804" spans="1:49" ht="13">
      <c r="A804" s="176">
        <v>2022</v>
      </c>
      <c r="B804" s="53" t="s">
        <v>58</v>
      </c>
      <c r="C804" s="50" t="s">
        <v>384</v>
      </c>
      <c r="D804" s="50" t="s">
        <v>384</v>
      </c>
      <c r="E804" s="50" t="s">
        <v>384</v>
      </c>
      <c r="F804" s="180" t="s">
        <v>1236</v>
      </c>
      <c r="G804" s="177">
        <v>0</v>
      </c>
      <c r="H804" s="50" t="s">
        <v>3680</v>
      </c>
      <c r="I804" s="179" t="s">
        <v>3681</v>
      </c>
      <c r="J804" s="50" t="s">
        <v>1629</v>
      </c>
      <c r="K804" s="50" t="s">
        <v>1629</v>
      </c>
      <c r="L804" s="50"/>
      <c r="M804" s="50"/>
      <c r="N804" s="50"/>
      <c r="O804" s="50"/>
      <c r="P804" s="50"/>
      <c r="Q804" s="50"/>
      <c r="R804" s="50"/>
      <c r="S804" s="50"/>
      <c r="T804" s="50"/>
      <c r="U804" s="50"/>
      <c r="V804" s="50"/>
      <c r="W804" s="50" t="s">
        <v>1635</v>
      </c>
      <c r="X804" s="50"/>
      <c r="Y804" s="50"/>
      <c r="Z804" s="50"/>
      <c r="AA804" s="50" t="s">
        <v>3682</v>
      </c>
      <c r="AB804" s="50" t="s">
        <v>2841</v>
      </c>
      <c r="AC804" s="50" t="s">
        <v>3683</v>
      </c>
      <c r="AD804" s="95">
        <v>382</v>
      </c>
      <c r="AE804" s="174">
        <v>185</v>
      </c>
      <c r="AF804" s="174">
        <v>219</v>
      </c>
      <c r="AG804" s="50"/>
      <c r="AH804" s="50" t="s">
        <v>2819</v>
      </c>
      <c r="AI804" s="175">
        <v>193</v>
      </c>
      <c r="AJ804" s="179" t="s">
        <v>1236</v>
      </c>
      <c r="AK804" s="14"/>
      <c r="AL804" s="14"/>
      <c r="AM804" s="14"/>
      <c r="AN804" s="14"/>
      <c r="AO804" s="14"/>
      <c r="AP804" s="14"/>
      <c r="AQ804" s="14"/>
      <c r="AR804" s="14"/>
      <c r="AS804" s="14"/>
      <c r="AT804" s="14"/>
      <c r="AU804" s="14"/>
      <c r="AV804" s="14"/>
      <c r="AW804" s="14"/>
    </row>
    <row r="805" spans="1:49" ht="13">
      <c r="A805" s="176">
        <v>2019</v>
      </c>
      <c r="B805" s="53" t="s">
        <v>80</v>
      </c>
      <c r="C805" s="50" t="s">
        <v>311</v>
      </c>
      <c r="D805" s="50" t="s">
        <v>311</v>
      </c>
      <c r="E805" s="50" t="s">
        <v>311</v>
      </c>
      <c r="F805" s="50" t="s">
        <v>1246</v>
      </c>
      <c r="G805" s="99">
        <v>1</v>
      </c>
      <c r="H805" s="50" t="s">
        <v>3684</v>
      </c>
      <c r="I805" s="178" t="s">
        <v>3685</v>
      </c>
      <c r="J805" s="50" t="s">
        <v>1629</v>
      </c>
      <c r="K805" s="50" t="s">
        <v>1629</v>
      </c>
      <c r="L805" s="50"/>
      <c r="M805" s="50"/>
      <c r="N805" s="50"/>
      <c r="O805" s="50"/>
      <c r="P805" s="50"/>
      <c r="Q805" s="50"/>
      <c r="R805" s="50"/>
      <c r="S805" s="50"/>
      <c r="T805" s="50"/>
      <c r="U805" s="50"/>
      <c r="V805" s="50"/>
      <c r="W805" s="50" t="s">
        <v>2829</v>
      </c>
      <c r="X805" s="50"/>
      <c r="Y805" s="50"/>
      <c r="Z805" s="50"/>
      <c r="AA805" s="50" t="s">
        <v>3686</v>
      </c>
      <c r="AB805" s="50" t="s">
        <v>1551</v>
      </c>
      <c r="AC805" s="50" t="s">
        <v>3687</v>
      </c>
      <c r="AD805" s="99">
        <v>383</v>
      </c>
      <c r="AE805" s="174">
        <v>186</v>
      </c>
      <c r="AF805" s="174">
        <v>155</v>
      </c>
      <c r="AG805" s="50"/>
      <c r="AH805" s="50" t="s">
        <v>2852</v>
      </c>
      <c r="AI805" s="175">
        <v>194</v>
      </c>
      <c r="AJ805" s="178" t="s">
        <v>1248</v>
      </c>
      <c r="AK805" s="29"/>
      <c r="AL805" s="29"/>
      <c r="AM805" s="29"/>
      <c r="AN805" s="29"/>
      <c r="AO805" s="29"/>
      <c r="AP805" s="29"/>
      <c r="AQ805" s="29"/>
      <c r="AR805" s="29"/>
      <c r="AS805" s="29"/>
      <c r="AT805" s="29"/>
      <c r="AU805" s="29"/>
      <c r="AV805" s="29"/>
      <c r="AW805" s="29"/>
    </row>
    <row r="806" spans="1:49" ht="13">
      <c r="A806" s="176">
        <v>2021</v>
      </c>
      <c r="B806" s="53" t="s">
        <v>58</v>
      </c>
      <c r="C806" s="50" t="s">
        <v>56</v>
      </c>
      <c r="D806" s="50" t="s">
        <v>391</v>
      </c>
      <c r="E806" s="50" t="s">
        <v>56</v>
      </c>
      <c r="F806" s="50" t="s">
        <v>1259</v>
      </c>
      <c r="G806" s="99">
        <v>1</v>
      </c>
      <c r="H806" s="50" t="s">
        <v>3688</v>
      </c>
      <c r="I806" s="179" t="s">
        <v>3689</v>
      </c>
      <c r="J806" s="50" t="s">
        <v>1629</v>
      </c>
      <c r="K806" s="50" t="s">
        <v>1629</v>
      </c>
      <c r="L806" s="50"/>
      <c r="M806" s="50"/>
      <c r="N806" s="50"/>
      <c r="O806" s="50"/>
      <c r="P806" s="50"/>
      <c r="Q806" s="50"/>
      <c r="R806" s="50"/>
      <c r="S806" s="50"/>
      <c r="T806" s="50"/>
      <c r="U806" s="50"/>
      <c r="V806" s="50"/>
      <c r="W806" s="50" t="s">
        <v>1635</v>
      </c>
      <c r="X806" s="50"/>
      <c r="Y806" s="50"/>
      <c r="Z806" s="50"/>
      <c r="AA806" s="50" t="s">
        <v>3690</v>
      </c>
      <c r="AB806" s="50" t="s">
        <v>2841</v>
      </c>
      <c r="AC806" s="50" t="s">
        <v>3691</v>
      </c>
      <c r="AD806" s="95">
        <v>384</v>
      </c>
      <c r="AE806" s="174">
        <v>187</v>
      </c>
      <c r="AF806" s="174">
        <v>224</v>
      </c>
      <c r="AG806" s="50"/>
      <c r="AH806" s="50" t="s">
        <v>2819</v>
      </c>
      <c r="AI806" s="175">
        <v>195</v>
      </c>
      <c r="AJ806" s="179" t="s">
        <v>1261</v>
      </c>
      <c r="AK806" s="14"/>
      <c r="AL806" s="14"/>
      <c r="AM806" s="14"/>
      <c r="AN806" s="14"/>
      <c r="AO806" s="14"/>
      <c r="AP806" s="14"/>
      <c r="AQ806" s="14"/>
      <c r="AR806" s="14"/>
      <c r="AS806" s="14"/>
      <c r="AT806" s="14"/>
      <c r="AU806" s="14"/>
      <c r="AV806" s="14"/>
      <c r="AW806" s="14"/>
    </row>
    <row r="807" spans="1:49" ht="13">
      <c r="A807" s="176">
        <v>2023</v>
      </c>
      <c r="B807" s="53" t="s">
        <v>58</v>
      </c>
      <c r="C807" s="50" t="s">
        <v>56</v>
      </c>
      <c r="D807" s="50" t="s">
        <v>391</v>
      </c>
      <c r="E807" s="50" t="s">
        <v>56</v>
      </c>
      <c r="F807" s="50" t="s">
        <v>1269</v>
      </c>
      <c r="G807" s="99">
        <v>1</v>
      </c>
      <c r="H807" s="50" t="s">
        <v>3692</v>
      </c>
      <c r="I807" s="178" t="s">
        <v>3693</v>
      </c>
      <c r="J807" s="50" t="s">
        <v>1629</v>
      </c>
      <c r="K807" s="50" t="s">
        <v>1629</v>
      </c>
      <c r="L807" s="50"/>
      <c r="M807" s="50"/>
      <c r="N807" s="50"/>
      <c r="O807" s="50"/>
      <c r="P807" s="50"/>
      <c r="Q807" s="50"/>
      <c r="R807" s="50"/>
      <c r="S807" s="50"/>
      <c r="T807" s="50"/>
      <c r="U807" s="50"/>
      <c r="V807" s="50"/>
      <c r="W807" s="50" t="s">
        <v>1635</v>
      </c>
      <c r="X807" s="50"/>
      <c r="Y807" s="50"/>
      <c r="Z807" s="50"/>
      <c r="AA807" s="50" t="s">
        <v>3694</v>
      </c>
      <c r="AB807" s="50" t="s">
        <v>2841</v>
      </c>
      <c r="AC807" s="50" t="s">
        <v>3695</v>
      </c>
      <c r="AD807" s="99">
        <v>385</v>
      </c>
      <c r="AE807" s="174">
        <v>188</v>
      </c>
      <c r="AF807" s="174">
        <v>224</v>
      </c>
      <c r="AG807" s="50"/>
      <c r="AH807" s="50" t="s">
        <v>2819</v>
      </c>
      <c r="AI807" s="175">
        <v>196</v>
      </c>
      <c r="AJ807" s="178" t="s">
        <v>1270</v>
      </c>
      <c r="AK807" s="29"/>
      <c r="AL807" s="29"/>
      <c r="AM807" s="29"/>
      <c r="AN807" s="29"/>
      <c r="AO807" s="29"/>
      <c r="AP807" s="29"/>
      <c r="AQ807" s="29"/>
      <c r="AR807" s="29"/>
      <c r="AS807" s="29"/>
      <c r="AT807" s="29"/>
      <c r="AU807" s="29"/>
      <c r="AV807" s="29"/>
      <c r="AW807" s="29"/>
    </row>
    <row r="808" spans="1:49" ht="13">
      <c r="A808" s="176">
        <v>2019</v>
      </c>
      <c r="B808" s="53" t="s">
        <v>80</v>
      </c>
      <c r="C808" s="50" t="s">
        <v>322</v>
      </c>
      <c r="D808" s="50" t="s">
        <v>465</v>
      </c>
      <c r="E808" s="50" t="s">
        <v>322</v>
      </c>
      <c r="F808" s="50" t="s">
        <v>1281</v>
      </c>
      <c r="G808" s="99">
        <v>1</v>
      </c>
      <c r="H808" s="50" t="s">
        <v>3696</v>
      </c>
      <c r="I808" s="179" t="s">
        <v>3697</v>
      </c>
      <c r="J808" s="50" t="s">
        <v>1629</v>
      </c>
      <c r="K808" s="50" t="s">
        <v>1629</v>
      </c>
      <c r="L808" s="50"/>
      <c r="M808" s="50"/>
      <c r="N808" s="50"/>
      <c r="O808" s="50"/>
      <c r="P808" s="50"/>
      <c r="Q808" s="50"/>
      <c r="R808" s="50"/>
      <c r="S808" s="50"/>
      <c r="T808" s="50"/>
      <c r="U808" s="50"/>
      <c r="V808" s="50"/>
      <c r="W808" s="50" t="s">
        <v>1629</v>
      </c>
      <c r="X808" s="50"/>
      <c r="Y808" s="50"/>
      <c r="Z808" s="50"/>
      <c r="AA808" s="50" t="s">
        <v>3698</v>
      </c>
      <c r="AB808" s="50" t="s">
        <v>1551</v>
      </c>
      <c r="AC808" s="50" t="s">
        <v>3699</v>
      </c>
      <c r="AD808" s="95">
        <v>386</v>
      </c>
      <c r="AE808" s="174">
        <v>189</v>
      </c>
      <c r="AF808" s="174" t="s">
        <v>2826</v>
      </c>
      <c r="AG808" s="50"/>
      <c r="AH808" s="50" t="s">
        <v>2837</v>
      </c>
      <c r="AI808" s="175">
        <v>197</v>
      </c>
      <c r="AJ808" s="179" t="s">
        <v>1283</v>
      </c>
      <c r="AK808" s="14"/>
      <c r="AL808" s="14"/>
      <c r="AM808" s="14"/>
      <c r="AN808" s="14"/>
      <c r="AO808" s="14"/>
      <c r="AP808" s="14"/>
      <c r="AQ808" s="14"/>
      <c r="AR808" s="14"/>
      <c r="AS808" s="14"/>
      <c r="AT808" s="14"/>
      <c r="AU808" s="14"/>
      <c r="AV808" s="14"/>
      <c r="AW808" s="14"/>
    </row>
    <row r="809" spans="1:49" ht="13">
      <c r="A809" s="176">
        <v>2019</v>
      </c>
      <c r="B809" s="53" t="s">
        <v>58</v>
      </c>
      <c r="C809" s="50" t="s">
        <v>391</v>
      </c>
      <c r="D809" s="50" t="s">
        <v>391</v>
      </c>
      <c r="E809" s="50" t="s">
        <v>391</v>
      </c>
      <c r="F809" s="50" t="s">
        <v>1290</v>
      </c>
      <c r="G809" s="99">
        <v>1</v>
      </c>
      <c r="H809" s="50" t="s">
        <v>3700</v>
      </c>
      <c r="I809" s="178" t="s">
        <v>3701</v>
      </c>
      <c r="J809" s="50" t="s">
        <v>1629</v>
      </c>
      <c r="K809" s="50" t="s">
        <v>1629</v>
      </c>
      <c r="L809" s="50"/>
      <c r="M809" s="50"/>
      <c r="N809" s="50"/>
      <c r="O809" s="50"/>
      <c r="P809" s="50"/>
      <c r="Q809" s="50"/>
      <c r="R809" s="50"/>
      <c r="S809" s="50"/>
      <c r="T809" s="50"/>
      <c r="U809" s="50"/>
      <c r="V809" s="50"/>
      <c r="W809" s="50" t="s">
        <v>1635</v>
      </c>
      <c r="X809" s="50"/>
      <c r="Y809" s="50"/>
      <c r="Z809" s="50"/>
      <c r="AA809" s="50" t="s">
        <v>3702</v>
      </c>
      <c r="AB809" s="50" t="s">
        <v>2841</v>
      </c>
      <c r="AC809" s="50" t="s">
        <v>3703</v>
      </c>
      <c r="AD809" s="99">
        <v>387</v>
      </c>
      <c r="AE809" s="174">
        <v>190</v>
      </c>
      <c r="AF809" s="174">
        <v>224</v>
      </c>
      <c r="AG809" s="50"/>
      <c r="AH809" s="50" t="s">
        <v>2819</v>
      </c>
      <c r="AI809" s="175">
        <v>198</v>
      </c>
      <c r="AJ809" s="178" t="s">
        <v>1292</v>
      </c>
      <c r="AK809" s="29"/>
      <c r="AL809" s="29"/>
      <c r="AM809" s="29"/>
      <c r="AN809" s="29"/>
      <c r="AO809" s="29"/>
      <c r="AP809" s="29"/>
      <c r="AQ809" s="29"/>
      <c r="AR809" s="29"/>
      <c r="AS809" s="29"/>
      <c r="AT809" s="29"/>
      <c r="AU809" s="29"/>
      <c r="AV809" s="29"/>
      <c r="AW809" s="29"/>
    </row>
    <row r="810" spans="1:49" ht="13">
      <c r="A810" s="176">
        <v>2015</v>
      </c>
      <c r="B810" s="53" t="s">
        <v>58</v>
      </c>
      <c r="C810" s="50" t="s">
        <v>397</v>
      </c>
      <c r="D810" s="50" t="s">
        <v>391</v>
      </c>
      <c r="E810" s="50" t="s">
        <v>397</v>
      </c>
      <c r="F810" s="50" t="s">
        <v>1298</v>
      </c>
      <c r="G810" s="99">
        <v>1</v>
      </c>
      <c r="H810" s="50" t="s">
        <v>3704</v>
      </c>
      <c r="I810" s="179" t="s">
        <v>3705</v>
      </c>
      <c r="J810" s="50" t="s">
        <v>1629</v>
      </c>
      <c r="K810" s="50" t="s">
        <v>1629</v>
      </c>
      <c r="L810" s="50"/>
      <c r="M810" s="50"/>
      <c r="N810" s="50"/>
      <c r="O810" s="50"/>
      <c r="P810" s="50"/>
      <c r="Q810" s="50"/>
      <c r="R810" s="50"/>
      <c r="S810" s="50"/>
      <c r="T810" s="50"/>
      <c r="U810" s="50"/>
      <c r="V810" s="50"/>
      <c r="W810" s="50" t="s">
        <v>1635</v>
      </c>
      <c r="X810" s="50"/>
      <c r="Y810" s="50"/>
      <c r="Z810" s="50"/>
      <c r="AA810" s="50" t="s">
        <v>3706</v>
      </c>
      <c r="AB810" s="50" t="s">
        <v>2841</v>
      </c>
      <c r="AC810" s="50" t="s">
        <v>3707</v>
      </c>
      <c r="AD810" s="95">
        <v>388</v>
      </c>
      <c r="AE810" s="174">
        <v>191</v>
      </c>
      <c r="AF810" s="174">
        <v>224</v>
      </c>
      <c r="AG810" s="50"/>
      <c r="AH810" s="50" t="s">
        <v>2819</v>
      </c>
      <c r="AI810" s="175">
        <v>199</v>
      </c>
      <c r="AJ810" s="179" t="s">
        <v>1300</v>
      </c>
      <c r="AK810" s="14"/>
      <c r="AL810" s="14"/>
      <c r="AM810" s="14"/>
      <c r="AN810" s="14"/>
      <c r="AO810" s="14"/>
      <c r="AP810" s="14"/>
      <c r="AQ810" s="14"/>
      <c r="AR810" s="14"/>
      <c r="AS810" s="14"/>
      <c r="AT810" s="14"/>
      <c r="AU810" s="14"/>
      <c r="AV810" s="14"/>
      <c r="AW810" s="14"/>
    </row>
    <row r="811" spans="1:49" ht="13">
      <c r="A811" s="176">
        <v>2018</v>
      </c>
      <c r="B811" s="53" t="s">
        <v>58</v>
      </c>
      <c r="C811" s="50" t="s">
        <v>395</v>
      </c>
      <c r="D811" s="50" t="s">
        <v>465</v>
      </c>
      <c r="E811" s="50" t="s">
        <v>395</v>
      </c>
      <c r="F811" s="50" t="s">
        <v>226</v>
      </c>
      <c r="G811" s="177">
        <v>0</v>
      </c>
      <c r="H811" s="50" t="s">
        <v>3708</v>
      </c>
      <c r="I811" s="178" t="s">
        <v>3709</v>
      </c>
      <c r="J811" s="50" t="s">
        <v>1629</v>
      </c>
      <c r="K811" s="50" t="s">
        <v>1629</v>
      </c>
      <c r="L811" s="50"/>
      <c r="M811" s="50"/>
      <c r="N811" s="50"/>
      <c r="O811" s="50"/>
      <c r="P811" s="50"/>
      <c r="Q811" s="50"/>
      <c r="R811" s="50"/>
      <c r="S811" s="50"/>
      <c r="T811" s="50"/>
      <c r="U811" s="50"/>
      <c r="V811" s="50"/>
      <c r="W811" s="50" t="s">
        <v>1629</v>
      </c>
      <c r="X811" s="50"/>
      <c r="Y811" s="50"/>
      <c r="Z811" s="50"/>
      <c r="AA811" s="50" t="s">
        <v>3710</v>
      </c>
      <c r="AB811" s="50" t="s">
        <v>2841</v>
      </c>
      <c r="AC811" s="50" t="s">
        <v>3711</v>
      </c>
      <c r="AD811" s="99">
        <v>389</v>
      </c>
      <c r="AE811" s="174" t="s">
        <v>2826</v>
      </c>
      <c r="AF811" s="174" t="s">
        <v>2826</v>
      </c>
      <c r="AG811" s="50"/>
      <c r="AH811" s="50" t="s">
        <v>2819</v>
      </c>
      <c r="AI811" s="175">
        <v>200</v>
      </c>
      <c r="AJ811" s="181" t="s">
        <v>462</v>
      </c>
      <c r="AK811" s="29"/>
      <c r="AL811" s="29"/>
      <c r="AM811" s="29"/>
      <c r="AN811" s="29"/>
      <c r="AO811" s="29"/>
      <c r="AP811" s="29"/>
      <c r="AQ811" s="29"/>
      <c r="AR811" s="29"/>
      <c r="AS811" s="29"/>
      <c r="AT811" s="29"/>
      <c r="AU811" s="29"/>
      <c r="AV811" s="29"/>
      <c r="AW811" s="29"/>
    </row>
    <row r="812" spans="1:49" ht="13">
      <c r="A812" s="176">
        <v>2022</v>
      </c>
      <c r="B812" s="12" t="s">
        <v>64</v>
      </c>
      <c r="C812" s="50" t="s">
        <v>455</v>
      </c>
      <c r="D812" s="50" t="s">
        <v>465</v>
      </c>
      <c r="E812" s="50" t="s">
        <v>455</v>
      </c>
      <c r="F812" s="50" t="s">
        <v>3712</v>
      </c>
      <c r="G812" s="177">
        <v>0</v>
      </c>
      <c r="H812" s="50" t="s">
        <v>3713</v>
      </c>
      <c r="I812" s="179" t="s">
        <v>3714</v>
      </c>
      <c r="J812" s="50" t="s">
        <v>1629</v>
      </c>
      <c r="K812" s="50" t="s">
        <v>1629</v>
      </c>
      <c r="L812" s="50"/>
      <c r="M812" s="50"/>
      <c r="N812" s="50"/>
      <c r="O812" s="50"/>
      <c r="P812" s="50"/>
      <c r="Q812" s="50"/>
      <c r="R812" s="50"/>
      <c r="S812" s="50"/>
      <c r="T812" s="50"/>
      <c r="U812" s="50"/>
      <c r="V812" s="50"/>
      <c r="W812" s="50" t="s">
        <v>2829</v>
      </c>
      <c r="X812" s="50"/>
      <c r="Y812" s="50"/>
      <c r="Z812" s="50"/>
      <c r="AA812" s="50" t="s">
        <v>3715</v>
      </c>
      <c r="AB812" s="50" t="s">
        <v>2841</v>
      </c>
      <c r="AC812" s="50" t="s">
        <v>3716</v>
      </c>
      <c r="AD812" s="95">
        <v>390</v>
      </c>
      <c r="AE812" s="174" t="s">
        <v>2826</v>
      </c>
      <c r="AF812" s="174" t="s">
        <v>2826</v>
      </c>
      <c r="AG812" s="50"/>
      <c r="AH812" s="50" t="s">
        <v>2819</v>
      </c>
      <c r="AI812" s="175">
        <v>201</v>
      </c>
      <c r="AJ812" s="179" t="s">
        <v>3275</v>
      </c>
      <c r="AK812" s="14"/>
      <c r="AL812" s="14"/>
      <c r="AM812" s="14"/>
      <c r="AN812" s="14"/>
      <c r="AO812" s="14"/>
      <c r="AP812" s="14"/>
      <c r="AQ812" s="14"/>
      <c r="AR812" s="14"/>
      <c r="AS812" s="14"/>
      <c r="AT812" s="14"/>
      <c r="AU812" s="14"/>
      <c r="AV812" s="14"/>
      <c r="AW812" s="14"/>
    </row>
    <row r="813" spans="1:49" ht="13">
      <c r="A813" s="176">
        <v>2020</v>
      </c>
      <c r="B813" s="53" t="s">
        <v>80</v>
      </c>
      <c r="C813" s="50" t="s">
        <v>331</v>
      </c>
      <c r="D813" s="50" t="s">
        <v>310</v>
      </c>
      <c r="E813" s="50" t="s">
        <v>331</v>
      </c>
      <c r="F813" s="50" t="s">
        <v>1306</v>
      </c>
      <c r="G813" s="99">
        <v>1</v>
      </c>
      <c r="H813" s="50" t="s">
        <v>3717</v>
      </c>
      <c r="I813" s="178" t="s">
        <v>3718</v>
      </c>
      <c r="J813" s="50" t="s">
        <v>1629</v>
      </c>
      <c r="K813" s="50" t="s">
        <v>1629</v>
      </c>
      <c r="L813" s="50"/>
      <c r="M813" s="50"/>
      <c r="N813" s="50"/>
      <c r="O813" s="50"/>
      <c r="P813" s="50"/>
      <c r="Q813" s="50"/>
      <c r="R813" s="50"/>
      <c r="S813" s="50"/>
      <c r="T813" s="50"/>
      <c r="U813" s="50"/>
      <c r="V813" s="50"/>
      <c r="W813" s="50" t="s">
        <v>2829</v>
      </c>
      <c r="X813" s="50"/>
      <c r="Y813" s="50"/>
      <c r="Z813" s="50"/>
      <c r="AA813" s="50" t="s">
        <v>3719</v>
      </c>
      <c r="AB813" s="50" t="s">
        <v>1551</v>
      </c>
      <c r="AC813" s="50" t="s">
        <v>3720</v>
      </c>
      <c r="AD813" s="99">
        <v>391</v>
      </c>
      <c r="AE813" s="174">
        <v>192</v>
      </c>
      <c r="AF813" s="174">
        <v>154</v>
      </c>
      <c r="AG813" s="50"/>
      <c r="AH813" s="50" t="s">
        <v>2837</v>
      </c>
      <c r="AI813" s="175">
        <v>202</v>
      </c>
      <c r="AJ813" s="178" t="s">
        <v>1308</v>
      </c>
      <c r="AK813" s="29"/>
      <c r="AL813" s="29"/>
      <c r="AM813" s="29"/>
      <c r="AN813" s="29"/>
      <c r="AO813" s="29"/>
      <c r="AP813" s="29"/>
      <c r="AQ813" s="29"/>
      <c r="AR813" s="29"/>
      <c r="AS813" s="29"/>
      <c r="AT813" s="29"/>
      <c r="AU813" s="29"/>
      <c r="AV813" s="29"/>
      <c r="AW813" s="29"/>
    </row>
    <row r="814" spans="1:49" ht="13">
      <c r="A814" s="176">
        <v>2024</v>
      </c>
      <c r="B814" s="53" t="s">
        <v>80</v>
      </c>
      <c r="C814" s="50" t="s">
        <v>246</v>
      </c>
      <c r="D814" s="50" t="s">
        <v>465</v>
      </c>
      <c r="E814" s="50" t="s">
        <v>246</v>
      </c>
      <c r="F814" s="50" t="s">
        <v>1317</v>
      </c>
      <c r="G814" s="99">
        <v>1</v>
      </c>
      <c r="H814" s="50" t="s">
        <v>3721</v>
      </c>
      <c r="I814" s="179" t="s">
        <v>3722</v>
      </c>
      <c r="J814" s="50" t="s">
        <v>1629</v>
      </c>
      <c r="K814" s="50" t="s">
        <v>1629</v>
      </c>
      <c r="L814" s="50"/>
      <c r="M814" s="50"/>
      <c r="N814" s="50"/>
      <c r="O814" s="50"/>
      <c r="P814" s="50"/>
      <c r="Q814" s="50"/>
      <c r="R814" s="50"/>
      <c r="S814" s="50"/>
      <c r="T814" s="50"/>
      <c r="U814" s="50"/>
      <c r="V814" s="50"/>
      <c r="W814" s="50" t="s">
        <v>1635</v>
      </c>
      <c r="X814" s="50"/>
      <c r="Y814" s="50"/>
      <c r="Z814" s="50"/>
      <c r="AA814" s="50" t="s">
        <v>3723</v>
      </c>
      <c r="AB814" s="50" t="s">
        <v>2841</v>
      </c>
      <c r="AC814" s="50" t="s">
        <v>3724</v>
      </c>
      <c r="AD814" s="95">
        <v>392</v>
      </c>
      <c r="AE814" s="174">
        <v>193</v>
      </c>
      <c r="AF814" s="174" t="s">
        <v>2826</v>
      </c>
      <c r="AG814" s="50"/>
      <c r="AH814" s="50" t="s">
        <v>2819</v>
      </c>
      <c r="AI814" s="175">
        <v>203</v>
      </c>
      <c r="AJ814" s="179" t="s">
        <v>1318</v>
      </c>
      <c r="AK814" s="14"/>
      <c r="AL814" s="14"/>
      <c r="AM814" s="14"/>
      <c r="AN814" s="14"/>
      <c r="AO814" s="14"/>
      <c r="AP814" s="14"/>
      <c r="AQ814" s="14"/>
      <c r="AR814" s="14"/>
      <c r="AS814" s="14"/>
      <c r="AT814" s="14"/>
      <c r="AU814" s="14"/>
      <c r="AV814" s="14"/>
      <c r="AW814" s="14"/>
    </row>
    <row r="815" spans="1:49" ht="13">
      <c r="A815" s="176">
        <v>2024</v>
      </c>
      <c r="B815" s="53" t="s">
        <v>80</v>
      </c>
      <c r="C815" s="50" t="s">
        <v>322</v>
      </c>
      <c r="D815" s="50" t="s">
        <v>465</v>
      </c>
      <c r="E815" s="50" t="s">
        <v>322</v>
      </c>
      <c r="F815" s="50" t="s">
        <v>1323</v>
      </c>
      <c r="G815" s="99">
        <v>1</v>
      </c>
      <c r="H815" s="50" t="s">
        <v>3725</v>
      </c>
      <c r="I815" s="178" t="s">
        <v>3726</v>
      </c>
      <c r="J815" s="50" t="s">
        <v>1629</v>
      </c>
      <c r="K815" s="50" t="s">
        <v>1629</v>
      </c>
      <c r="L815" s="50"/>
      <c r="M815" s="50"/>
      <c r="N815" s="50"/>
      <c r="O815" s="50"/>
      <c r="P815" s="50"/>
      <c r="Q815" s="50"/>
      <c r="R815" s="50"/>
      <c r="S815" s="50"/>
      <c r="T815" s="50"/>
      <c r="U815" s="50"/>
      <c r="V815" s="50"/>
      <c r="W815" s="50" t="s">
        <v>1629</v>
      </c>
      <c r="X815" s="50"/>
      <c r="Y815" s="50"/>
      <c r="Z815" s="50"/>
      <c r="AA815" s="50" t="s">
        <v>3727</v>
      </c>
      <c r="AB815" s="50" t="s">
        <v>1551</v>
      </c>
      <c r="AC815" s="50" t="s">
        <v>3728</v>
      </c>
      <c r="AD815" s="99">
        <v>393</v>
      </c>
      <c r="AE815" s="174">
        <v>194</v>
      </c>
      <c r="AF815" s="174" t="s">
        <v>2826</v>
      </c>
      <c r="AG815" s="50"/>
      <c r="AH815" s="50" t="s">
        <v>2852</v>
      </c>
      <c r="AI815" s="175">
        <v>204</v>
      </c>
      <c r="AJ815" s="178" t="s">
        <v>1324</v>
      </c>
      <c r="AK815" s="29"/>
      <c r="AL815" s="29"/>
      <c r="AM815" s="29"/>
      <c r="AN815" s="29"/>
      <c r="AO815" s="29"/>
      <c r="AP815" s="29"/>
      <c r="AQ815" s="29"/>
      <c r="AR815" s="29"/>
      <c r="AS815" s="29"/>
      <c r="AT815" s="29"/>
      <c r="AU815" s="29"/>
      <c r="AV815" s="29"/>
      <c r="AW815" s="29"/>
    </row>
    <row r="816" spans="1:49" ht="13">
      <c r="A816" s="176">
        <v>2019</v>
      </c>
      <c r="B816" s="53" t="s">
        <v>58</v>
      </c>
      <c r="C816" s="50" t="s">
        <v>393</v>
      </c>
      <c r="D816" s="50" t="s">
        <v>393</v>
      </c>
      <c r="E816" s="50" t="s">
        <v>393</v>
      </c>
      <c r="F816" s="50" t="s">
        <v>1333</v>
      </c>
      <c r="G816" s="99">
        <v>1</v>
      </c>
      <c r="H816" s="50" t="s">
        <v>3729</v>
      </c>
      <c r="I816" s="179" t="s">
        <v>3730</v>
      </c>
      <c r="J816" s="50" t="s">
        <v>1629</v>
      </c>
      <c r="K816" s="50" t="s">
        <v>1629</v>
      </c>
      <c r="L816" s="50"/>
      <c r="M816" s="50"/>
      <c r="N816" s="50"/>
      <c r="O816" s="50"/>
      <c r="P816" s="50"/>
      <c r="Q816" s="50"/>
      <c r="R816" s="50"/>
      <c r="S816" s="50"/>
      <c r="T816" s="50"/>
      <c r="U816" s="50"/>
      <c r="V816" s="50"/>
      <c r="W816" s="50" t="s">
        <v>1629</v>
      </c>
      <c r="X816" s="50"/>
      <c r="Y816" s="50"/>
      <c r="Z816" s="50"/>
      <c r="AA816" s="50" t="s">
        <v>3731</v>
      </c>
      <c r="AB816" s="50" t="s">
        <v>1551</v>
      </c>
      <c r="AC816" s="50" t="s">
        <v>3732</v>
      </c>
      <c r="AD816" s="95">
        <v>394</v>
      </c>
      <c r="AE816" s="174">
        <v>195</v>
      </c>
      <c r="AF816" s="174">
        <v>225</v>
      </c>
      <c r="AG816" s="50"/>
      <c r="AH816" s="50" t="s">
        <v>2852</v>
      </c>
      <c r="AI816" s="175">
        <v>205</v>
      </c>
      <c r="AJ816" s="179" t="s">
        <v>1335</v>
      </c>
      <c r="AK816" s="14"/>
      <c r="AL816" s="14"/>
      <c r="AM816" s="14"/>
      <c r="AN816" s="14"/>
      <c r="AO816" s="14"/>
      <c r="AP816" s="14"/>
      <c r="AQ816" s="14"/>
      <c r="AR816" s="14"/>
      <c r="AS816" s="14"/>
      <c r="AT816" s="14"/>
      <c r="AU816" s="14"/>
      <c r="AV816" s="14"/>
      <c r="AW816" s="14"/>
    </row>
    <row r="817" spans="1:49" ht="13">
      <c r="A817" s="176">
        <v>2020</v>
      </c>
      <c r="B817" s="53" t="s">
        <v>58</v>
      </c>
      <c r="C817" s="50" t="s">
        <v>411</v>
      </c>
      <c r="D817" s="50" t="s">
        <v>465</v>
      </c>
      <c r="E817" s="50" t="s">
        <v>411</v>
      </c>
      <c r="F817" s="50" t="s">
        <v>1343</v>
      </c>
      <c r="G817" s="99">
        <v>1</v>
      </c>
      <c r="H817" s="50" t="s">
        <v>3733</v>
      </c>
      <c r="I817" s="178" t="s">
        <v>3734</v>
      </c>
      <c r="J817" s="50" t="s">
        <v>1629</v>
      </c>
      <c r="K817" s="50" t="s">
        <v>1629</v>
      </c>
      <c r="L817" s="50"/>
      <c r="M817" s="50"/>
      <c r="N817" s="50"/>
      <c r="O817" s="50"/>
      <c r="P817" s="50"/>
      <c r="Q817" s="50"/>
      <c r="R817" s="50"/>
      <c r="S817" s="50"/>
      <c r="T817" s="50"/>
      <c r="U817" s="50"/>
      <c r="V817" s="50"/>
      <c r="W817" s="50" t="s">
        <v>1629</v>
      </c>
      <c r="X817" s="50"/>
      <c r="Y817" s="50"/>
      <c r="Z817" s="50"/>
      <c r="AA817" s="50" t="s">
        <v>3735</v>
      </c>
      <c r="AB817" s="50" t="s">
        <v>1551</v>
      </c>
      <c r="AC817" s="50" t="s">
        <v>3736</v>
      </c>
      <c r="AD817" s="99">
        <v>395</v>
      </c>
      <c r="AE817" s="174">
        <v>196</v>
      </c>
      <c r="AF817" s="174" t="s">
        <v>2826</v>
      </c>
      <c r="AG817" s="50"/>
      <c r="AH817" s="50" t="s">
        <v>2852</v>
      </c>
      <c r="AI817" s="175">
        <v>206</v>
      </c>
      <c r="AJ817" s="178" t="s">
        <v>1344</v>
      </c>
      <c r="AK817" s="29"/>
      <c r="AL817" s="29"/>
      <c r="AM817" s="29"/>
      <c r="AN817" s="29"/>
      <c r="AO817" s="29"/>
      <c r="AP817" s="29"/>
      <c r="AQ817" s="29"/>
      <c r="AR817" s="29"/>
      <c r="AS817" s="29"/>
      <c r="AT817" s="29"/>
      <c r="AU817" s="29"/>
      <c r="AV817" s="29"/>
      <c r="AW817" s="29"/>
    </row>
    <row r="818" spans="1:49" ht="13">
      <c r="A818" s="176">
        <v>2020</v>
      </c>
      <c r="B818" s="53" t="s">
        <v>58</v>
      </c>
      <c r="C818" s="50" t="s">
        <v>397</v>
      </c>
      <c r="D818" s="50" t="s">
        <v>465</v>
      </c>
      <c r="E818" s="50" t="s">
        <v>397</v>
      </c>
      <c r="F818" s="50" t="s">
        <v>3737</v>
      </c>
      <c r="G818" s="177">
        <v>0</v>
      </c>
      <c r="H818" s="50" t="s">
        <v>3738</v>
      </c>
      <c r="I818" s="179" t="s">
        <v>3739</v>
      </c>
      <c r="J818" s="50" t="s">
        <v>1629</v>
      </c>
      <c r="K818" s="50" t="s">
        <v>1629</v>
      </c>
      <c r="L818" s="50"/>
      <c r="M818" s="50"/>
      <c r="N818" s="50"/>
      <c r="O818" s="50"/>
      <c r="P818" s="50"/>
      <c r="Q818" s="50"/>
      <c r="R818" s="50"/>
      <c r="S818" s="50"/>
      <c r="T818" s="50"/>
      <c r="U818" s="50"/>
      <c r="V818" s="50"/>
      <c r="W818" s="50" t="s">
        <v>1635</v>
      </c>
      <c r="X818" s="50"/>
      <c r="Y818" s="50"/>
      <c r="Z818" s="50"/>
      <c r="AA818" s="50" t="s">
        <v>3740</v>
      </c>
      <c r="AB818" s="50" t="s">
        <v>1551</v>
      </c>
      <c r="AC818" s="50" t="s">
        <v>3741</v>
      </c>
      <c r="AD818" s="95">
        <v>396</v>
      </c>
      <c r="AE818" s="174" t="s">
        <v>2826</v>
      </c>
      <c r="AF818" s="174" t="s">
        <v>2826</v>
      </c>
      <c r="AG818" s="50"/>
      <c r="AH818" s="50" t="s">
        <v>2852</v>
      </c>
      <c r="AI818" s="175">
        <v>207</v>
      </c>
      <c r="AJ818" s="53" t="s">
        <v>462</v>
      </c>
      <c r="AK818" s="14"/>
      <c r="AL818" s="14"/>
      <c r="AM818" s="14"/>
      <c r="AN818" s="14"/>
      <c r="AO818" s="14"/>
      <c r="AP818" s="14"/>
      <c r="AQ818" s="14"/>
      <c r="AR818" s="14"/>
      <c r="AS818" s="14"/>
      <c r="AT818" s="14"/>
      <c r="AU818" s="14"/>
      <c r="AV818" s="14"/>
      <c r="AW818" s="14"/>
    </row>
    <row r="819" spans="1:49" ht="13">
      <c r="A819" s="176">
        <v>2020</v>
      </c>
      <c r="B819" s="53" t="s">
        <v>58</v>
      </c>
      <c r="C819" s="50" t="s">
        <v>404</v>
      </c>
      <c r="D819" s="50" t="s">
        <v>404</v>
      </c>
      <c r="E819" s="50" t="s">
        <v>404</v>
      </c>
      <c r="F819" s="50" t="s">
        <v>1352</v>
      </c>
      <c r="G819" s="99">
        <v>1</v>
      </c>
      <c r="H819" s="50" t="s">
        <v>3742</v>
      </c>
      <c r="I819" s="178" t="s">
        <v>3743</v>
      </c>
      <c r="J819" s="50" t="s">
        <v>1629</v>
      </c>
      <c r="K819" s="50" t="s">
        <v>1635</v>
      </c>
      <c r="L819" s="50"/>
      <c r="M819" s="50"/>
      <c r="N819" s="50"/>
      <c r="O819" s="50"/>
      <c r="P819" s="50"/>
      <c r="Q819" s="50"/>
      <c r="R819" s="50"/>
      <c r="S819" s="50"/>
      <c r="T819" s="50"/>
      <c r="U819" s="50"/>
      <c r="V819" s="50"/>
      <c r="W819" s="50" t="s">
        <v>1635</v>
      </c>
      <c r="X819" s="50"/>
      <c r="Y819" s="50"/>
      <c r="Z819" s="50"/>
      <c r="AA819" s="50" t="s">
        <v>3744</v>
      </c>
      <c r="AB819" s="50" t="s">
        <v>1551</v>
      </c>
      <c r="AC819" s="50" t="s">
        <v>3745</v>
      </c>
      <c r="AD819" s="99">
        <v>397</v>
      </c>
      <c r="AE819" s="174">
        <v>197</v>
      </c>
      <c r="AF819" s="174">
        <v>238</v>
      </c>
      <c r="AG819" s="50"/>
      <c r="AH819" s="50" t="s">
        <v>2852</v>
      </c>
      <c r="AI819" s="175">
        <v>208</v>
      </c>
      <c r="AJ819" s="178" t="s">
        <v>1353</v>
      </c>
      <c r="AK819" s="29"/>
      <c r="AL819" s="29"/>
      <c r="AM819" s="29"/>
      <c r="AN819" s="29"/>
      <c r="AO819" s="29"/>
      <c r="AP819" s="29"/>
      <c r="AQ819" s="29"/>
      <c r="AR819" s="29"/>
      <c r="AS819" s="29"/>
      <c r="AT819" s="29"/>
      <c r="AU819" s="29"/>
      <c r="AV819" s="29"/>
      <c r="AW819" s="29"/>
    </row>
    <row r="820" spans="1:49" ht="13">
      <c r="A820" s="176">
        <v>2021</v>
      </c>
      <c r="B820" s="53" t="s">
        <v>58</v>
      </c>
      <c r="C820" s="50" t="s">
        <v>396</v>
      </c>
      <c r="D820" s="50" t="s">
        <v>465</v>
      </c>
      <c r="E820" s="50" t="s">
        <v>396</v>
      </c>
      <c r="F820" s="50" t="s">
        <v>3746</v>
      </c>
      <c r="G820" s="177">
        <v>0</v>
      </c>
      <c r="H820" s="50" t="s">
        <v>3747</v>
      </c>
      <c r="I820" s="179" t="s">
        <v>3748</v>
      </c>
      <c r="J820" s="50" t="s">
        <v>1629</v>
      </c>
      <c r="K820" s="50" t="s">
        <v>1629</v>
      </c>
      <c r="L820" s="50"/>
      <c r="M820" s="50"/>
      <c r="N820" s="50"/>
      <c r="O820" s="50"/>
      <c r="P820" s="50"/>
      <c r="Q820" s="50"/>
      <c r="R820" s="50"/>
      <c r="S820" s="50"/>
      <c r="T820" s="50"/>
      <c r="U820" s="50"/>
      <c r="V820" s="50"/>
      <c r="W820" s="50" t="s">
        <v>1635</v>
      </c>
      <c r="X820" s="50"/>
      <c r="Y820" s="50"/>
      <c r="Z820" s="50"/>
      <c r="AA820" s="50" t="s">
        <v>3749</v>
      </c>
      <c r="AB820" s="50" t="s">
        <v>1551</v>
      </c>
      <c r="AC820" s="50" t="s">
        <v>3750</v>
      </c>
      <c r="AD820" s="95">
        <v>398</v>
      </c>
      <c r="AE820" s="174" t="s">
        <v>2826</v>
      </c>
      <c r="AF820" s="174" t="s">
        <v>2826</v>
      </c>
      <c r="AG820" s="50"/>
      <c r="AH820" s="50" t="s">
        <v>2852</v>
      </c>
      <c r="AI820" s="175">
        <v>209</v>
      </c>
      <c r="AJ820" s="53" t="s">
        <v>462</v>
      </c>
      <c r="AK820" s="14"/>
      <c r="AL820" s="14"/>
      <c r="AM820" s="14"/>
      <c r="AN820" s="14"/>
      <c r="AO820" s="14"/>
      <c r="AP820" s="14"/>
      <c r="AQ820" s="14"/>
      <c r="AR820" s="14"/>
      <c r="AS820" s="14"/>
      <c r="AT820" s="14"/>
      <c r="AU820" s="14"/>
      <c r="AV820" s="14"/>
      <c r="AW820" s="14"/>
    </row>
    <row r="821" spans="1:49" ht="13">
      <c r="A821" s="176">
        <v>2020</v>
      </c>
      <c r="B821" s="53" t="s">
        <v>80</v>
      </c>
      <c r="C821" s="50" t="s">
        <v>246</v>
      </c>
      <c r="D821" s="50" t="s">
        <v>465</v>
      </c>
      <c r="E821" s="50" t="s">
        <v>246</v>
      </c>
      <c r="F821" s="50" t="s">
        <v>1359</v>
      </c>
      <c r="G821" s="99">
        <v>1</v>
      </c>
      <c r="H821" s="50" t="s">
        <v>3751</v>
      </c>
      <c r="I821" s="178" t="s">
        <v>3752</v>
      </c>
      <c r="J821" s="50" t="s">
        <v>1629</v>
      </c>
      <c r="K821" s="50" t="s">
        <v>1629</v>
      </c>
      <c r="L821" s="50"/>
      <c r="M821" s="50"/>
      <c r="N821" s="50"/>
      <c r="O821" s="50"/>
      <c r="P821" s="50"/>
      <c r="Q821" s="50"/>
      <c r="R821" s="50"/>
      <c r="S821" s="50"/>
      <c r="T821" s="50"/>
      <c r="U821" s="50"/>
      <c r="V821" s="50"/>
      <c r="W821" s="50" t="s">
        <v>1635</v>
      </c>
      <c r="X821" s="50"/>
      <c r="Y821" s="50"/>
      <c r="Z821" s="50"/>
      <c r="AA821" s="50" t="s">
        <v>3753</v>
      </c>
      <c r="AB821" s="50" t="s">
        <v>1551</v>
      </c>
      <c r="AC821" s="50" t="s">
        <v>3754</v>
      </c>
      <c r="AD821" s="99">
        <v>399</v>
      </c>
      <c r="AE821" s="174">
        <v>198</v>
      </c>
      <c r="AF821" s="174" t="s">
        <v>2826</v>
      </c>
      <c r="AG821" s="50"/>
      <c r="AH821" s="50" t="s">
        <v>2852</v>
      </c>
      <c r="AI821" s="175">
        <v>210</v>
      </c>
      <c r="AJ821" s="178" t="s">
        <v>1361</v>
      </c>
      <c r="AK821" s="29"/>
      <c r="AL821" s="29"/>
      <c r="AM821" s="29"/>
      <c r="AN821" s="29"/>
      <c r="AO821" s="29"/>
      <c r="AP821" s="29"/>
      <c r="AQ821" s="29"/>
      <c r="AR821" s="29"/>
      <c r="AS821" s="29"/>
      <c r="AT821" s="29"/>
      <c r="AU821" s="29"/>
      <c r="AV821" s="29"/>
      <c r="AW821" s="29"/>
    </row>
    <row r="822" spans="1:49" ht="13">
      <c r="A822" s="176">
        <v>2021</v>
      </c>
      <c r="B822" s="53" t="s">
        <v>58</v>
      </c>
      <c r="C822" s="50" t="s">
        <v>356</v>
      </c>
      <c r="D822" s="50" t="s">
        <v>465</v>
      </c>
      <c r="E822" s="50" t="s">
        <v>356</v>
      </c>
      <c r="F822" s="50" t="s">
        <v>1369</v>
      </c>
      <c r="G822" s="99">
        <v>1</v>
      </c>
      <c r="H822" s="50" t="s">
        <v>3755</v>
      </c>
      <c r="I822" s="179" t="s">
        <v>3756</v>
      </c>
      <c r="J822" s="50" t="s">
        <v>1629</v>
      </c>
      <c r="K822" s="50" t="s">
        <v>1629</v>
      </c>
      <c r="L822" s="50"/>
      <c r="M822" s="50"/>
      <c r="N822" s="50"/>
      <c r="O822" s="50"/>
      <c r="P822" s="50"/>
      <c r="Q822" s="50"/>
      <c r="R822" s="50"/>
      <c r="S822" s="50"/>
      <c r="T822" s="50"/>
      <c r="U822" s="50"/>
      <c r="V822" s="50"/>
      <c r="W822" s="50" t="s">
        <v>1629</v>
      </c>
      <c r="X822" s="50"/>
      <c r="Y822" s="50"/>
      <c r="Z822" s="50"/>
      <c r="AA822" s="50" t="s">
        <v>3757</v>
      </c>
      <c r="AB822" s="50" t="s">
        <v>1551</v>
      </c>
      <c r="AC822" s="50" t="s">
        <v>3758</v>
      </c>
      <c r="AD822" s="95">
        <v>400</v>
      </c>
      <c r="AE822" s="174">
        <v>199</v>
      </c>
      <c r="AF822" s="174" t="s">
        <v>2826</v>
      </c>
      <c r="AG822" s="50"/>
      <c r="AH822" s="50" t="s">
        <v>2852</v>
      </c>
      <c r="AI822" s="175">
        <v>211</v>
      </c>
      <c r="AJ822" s="179" t="s">
        <v>1370</v>
      </c>
      <c r="AK822" s="14"/>
      <c r="AL822" s="14"/>
      <c r="AM822" s="14"/>
      <c r="AN822" s="14"/>
      <c r="AO822" s="14"/>
      <c r="AP822" s="14"/>
      <c r="AQ822" s="14"/>
      <c r="AR822" s="14"/>
      <c r="AS822" s="14"/>
      <c r="AT822" s="14"/>
      <c r="AU822" s="14"/>
      <c r="AV822" s="14"/>
      <c r="AW822" s="14"/>
    </row>
    <row r="823" spans="1:49" ht="13">
      <c r="A823" s="176">
        <v>2020</v>
      </c>
      <c r="B823" s="53" t="s">
        <v>58</v>
      </c>
      <c r="C823" s="50" t="s">
        <v>1374</v>
      </c>
      <c r="D823" s="50" t="s">
        <v>465</v>
      </c>
      <c r="E823" s="50" t="s">
        <v>1374</v>
      </c>
      <c r="F823" s="50" t="s">
        <v>1376</v>
      </c>
      <c r="G823" s="99">
        <v>1</v>
      </c>
      <c r="H823" s="50" t="s">
        <v>3759</v>
      </c>
      <c r="I823" s="178" t="s">
        <v>3760</v>
      </c>
      <c r="J823" s="50" t="s">
        <v>1629</v>
      </c>
      <c r="K823" s="50" t="s">
        <v>1629</v>
      </c>
      <c r="L823" s="50"/>
      <c r="M823" s="50"/>
      <c r="N823" s="50"/>
      <c r="O823" s="50"/>
      <c r="P823" s="50"/>
      <c r="Q823" s="50"/>
      <c r="R823" s="50"/>
      <c r="S823" s="50"/>
      <c r="T823" s="50"/>
      <c r="U823" s="50"/>
      <c r="V823" s="50"/>
      <c r="W823" s="50" t="s">
        <v>2829</v>
      </c>
      <c r="X823" s="50"/>
      <c r="Y823" s="50"/>
      <c r="Z823" s="50"/>
      <c r="AA823" s="50" t="s">
        <v>3761</v>
      </c>
      <c r="AB823" s="50" t="s">
        <v>1551</v>
      </c>
      <c r="AC823" s="50" t="s">
        <v>3762</v>
      </c>
      <c r="AD823" s="99">
        <v>401</v>
      </c>
      <c r="AE823" s="174">
        <v>200</v>
      </c>
      <c r="AF823" s="174" t="s">
        <v>2826</v>
      </c>
      <c r="AG823" s="50"/>
      <c r="AH823" s="50" t="s">
        <v>2852</v>
      </c>
      <c r="AI823" s="175">
        <v>212</v>
      </c>
      <c r="AJ823" s="178" t="s">
        <v>1378</v>
      </c>
      <c r="AK823" s="29"/>
      <c r="AL823" s="29"/>
      <c r="AM823" s="29"/>
      <c r="AN823" s="29"/>
      <c r="AO823" s="29"/>
      <c r="AP823" s="29"/>
      <c r="AQ823" s="29"/>
      <c r="AR823" s="29"/>
      <c r="AS823" s="29"/>
      <c r="AT823" s="29"/>
      <c r="AU823" s="29"/>
      <c r="AV823" s="29"/>
      <c r="AW823" s="29"/>
    </row>
    <row r="824" spans="1:49" ht="13">
      <c r="A824" s="176">
        <v>2020</v>
      </c>
      <c r="B824" s="53" t="s">
        <v>56</v>
      </c>
      <c r="C824" s="50" t="s">
        <v>412</v>
      </c>
      <c r="D824" s="50" t="s">
        <v>465</v>
      </c>
      <c r="E824" s="50" t="s">
        <v>412</v>
      </c>
      <c r="F824" s="50" t="s">
        <v>1384</v>
      </c>
      <c r="G824" s="99">
        <v>1</v>
      </c>
      <c r="H824" s="50" t="s">
        <v>3763</v>
      </c>
      <c r="I824" s="179" t="s">
        <v>3764</v>
      </c>
      <c r="J824" s="50" t="s">
        <v>1629</v>
      </c>
      <c r="K824" s="50" t="s">
        <v>1629</v>
      </c>
      <c r="L824" s="50"/>
      <c r="M824" s="50"/>
      <c r="N824" s="50"/>
      <c r="O824" s="50"/>
      <c r="P824" s="50"/>
      <c r="Q824" s="50"/>
      <c r="R824" s="50"/>
      <c r="S824" s="50"/>
      <c r="T824" s="50"/>
      <c r="U824" s="50"/>
      <c r="V824" s="50"/>
      <c r="W824" s="50" t="s">
        <v>1635</v>
      </c>
      <c r="X824" s="50"/>
      <c r="Y824" s="50"/>
      <c r="Z824" s="50"/>
      <c r="AA824" s="50" t="s">
        <v>3765</v>
      </c>
      <c r="AB824" s="50" t="s">
        <v>1551</v>
      </c>
      <c r="AC824" s="50" t="s">
        <v>3766</v>
      </c>
      <c r="AD824" s="95">
        <v>402</v>
      </c>
      <c r="AE824" s="174">
        <v>201</v>
      </c>
      <c r="AF824" s="174" t="s">
        <v>2826</v>
      </c>
      <c r="AG824" s="50"/>
      <c r="AH824" s="50" t="s">
        <v>2852</v>
      </c>
      <c r="AI824" s="175">
        <v>213</v>
      </c>
      <c r="AJ824" s="179" t="s">
        <v>1386</v>
      </c>
      <c r="AK824" s="14"/>
      <c r="AL824" s="14"/>
      <c r="AM824" s="14"/>
      <c r="AN824" s="14"/>
      <c r="AO824" s="14"/>
      <c r="AP824" s="14"/>
      <c r="AQ824" s="14"/>
      <c r="AR824" s="14"/>
      <c r="AS824" s="14"/>
      <c r="AT824" s="14"/>
      <c r="AU824" s="14"/>
      <c r="AV824" s="14"/>
      <c r="AW824" s="14"/>
    </row>
    <row r="825" spans="1:49" ht="13">
      <c r="A825" s="176">
        <v>2024</v>
      </c>
      <c r="B825" s="29" t="s">
        <v>92</v>
      </c>
      <c r="C825" s="50" t="s">
        <v>412</v>
      </c>
      <c r="D825" s="50" t="s">
        <v>465</v>
      </c>
      <c r="E825" s="50" t="s">
        <v>412</v>
      </c>
      <c r="F825" s="50" t="s">
        <v>1396</v>
      </c>
      <c r="G825" s="99">
        <v>1</v>
      </c>
      <c r="H825" s="50" t="s">
        <v>3767</v>
      </c>
      <c r="I825" s="178" t="s">
        <v>3768</v>
      </c>
      <c r="J825" s="50" t="s">
        <v>1629</v>
      </c>
      <c r="K825" s="50" t="s">
        <v>1629</v>
      </c>
      <c r="L825" s="50"/>
      <c r="M825" s="50"/>
      <c r="N825" s="50"/>
      <c r="O825" s="50"/>
      <c r="P825" s="50"/>
      <c r="Q825" s="50"/>
      <c r="R825" s="50"/>
      <c r="S825" s="50"/>
      <c r="T825" s="50"/>
      <c r="U825" s="50"/>
      <c r="V825" s="50"/>
      <c r="W825" s="50" t="s">
        <v>1635</v>
      </c>
      <c r="X825" s="50"/>
      <c r="Y825" s="50"/>
      <c r="Z825" s="50"/>
      <c r="AA825" s="50" t="s">
        <v>3769</v>
      </c>
      <c r="AB825" s="50" t="s">
        <v>1551</v>
      </c>
      <c r="AC825" s="50" t="s">
        <v>3770</v>
      </c>
      <c r="AD825" s="99">
        <v>403</v>
      </c>
      <c r="AE825" s="174">
        <v>202</v>
      </c>
      <c r="AF825" s="174" t="s">
        <v>2826</v>
      </c>
      <c r="AG825" s="50"/>
      <c r="AH825" s="50" t="s">
        <v>2852</v>
      </c>
      <c r="AI825" s="175">
        <v>214</v>
      </c>
      <c r="AJ825" s="178" t="s">
        <v>1398</v>
      </c>
      <c r="AK825" s="29"/>
      <c r="AL825" s="29"/>
      <c r="AM825" s="29"/>
      <c r="AN825" s="29"/>
      <c r="AO825" s="29"/>
      <c r="AP825" s="29"/>
      <c r="AQ825" s="29"/>
      <c r="AR825" s="29"/>
      <c r="AS825" s="29"/>
      <c r="AT825" s="29"/>
      <c r="AU825" s="29"/>
      <c r="AV825" s="29"/>
      <c r="AW825" s="29"/>
    </row>
    <row r="826" spans="1:49" ht="13">
      <c r="A826" s="176">
        <v>2024</v>
      </c>
      <c r="B826" s="12" t="s">
        <v>64</v>
      </c>
      <c r="C826" s="50" t="s">
        <v>455</v>
      </c>
      <c r="D826" s="50" t="s">
        <v>465</v>
      </c>
      <c r="E826" s="50" t="s">
        <v>455</v>
      </c>
      <c r="F826" s="50" t="s">
        <v>3156</v>
      </c>
      <c r="G826" s="177">
        <v>0</v>
      </c>
      <c r="H826" s="50" t="s">
        <v>3771</v>
      </c>
      <c r="I826" s="179" t="s">
        <v>3772</v>
      </c>
      <c r="J826" s="50" t="s">
        <v>1629</v>
      </c>
      <c r="K826" s="50" t="s">
        <v>1629</v>
      </c>
      <c r="L826" s="50"/>
      <c r="M826" s="50"/>
      <c r="N826" s="50"/>
      <c r="O826" s="50"/>
      <c r="P826" s="50"/>
      <c r="Q826" s="50"/>
      <c r="R826" s="50"/>
      <c r="S826" s="50"/>
      <c r="T826" s="50"/>
      <c r="U826" s="50"/>
      <c r="V826" s="50"/>
      <c r="W826" s="50" t="s">
        <v>1635</v>
      </c>
      <c r="X826" s="50"/>
      <c r="Y826" s="50"/>
      <c r="Z826" s="50"/>
      <c r="AA826" s="50" t="s">
        <v>3773</v>
      </c>
      <c r="AB826" s="50" t="s">
        <v>1551</v>
      </c>
      <c r="AC826" s="50" t="s">
        <v>3774</v>
      </c>
      <c r="AD826" s="95">
        <v>404</v>
      </c>
      <c r="AE826" s="174">
        <v>17</v>
      </c>
      <c r="AF826" s="174" t="s">
        <v>2826</v>
      </c>
      <c r="AG826" s="50"/>
      <c r="AH826" s="50" t="s">
        <v>2819</v>
      </c>
      <c r="AI826" s="175">
        <v>215</v>
      </c>
      <c r="AJ826" s="179" t="s">
        <v>220</v>
      </c>
      <c r="AK826" s="14"/>
      <c r="AL826" s="14"/>
      <c r="AM826" s="14"/>
      <c r="AN826" s="14"/>
      <c r="AO826" s="14"/>
      <c r="AP826" s="14"/>
      <c r="AQ826" s="14"/>
      <c r="AR826" s="14"/>
      <c r="AS826" s="14"/>
      <c r="AT826" s="14"/>
      <c r="AU826" s="14"/>
      <c r="AV826" s="14"/>
      <c r="AW826" s="14"/>
    </row>
    <row r="827" spans="1:49" ht="13">
      <c r="A827" s="176">
        <v>2019</v>
      </c>
      <c r="B827" s="53" t="s">
        <v>80</v>
      </c>
      <c r="C827" s="50" t="s">
        <v>246</v>
      </c>
      <c r="D827" s="50" t="s">
        <v>465</v>
      </c>
      <c r="E827" s="50" t="s">
        <v>246</v>
      </c>
      <c r="F827" s="50" t="s">
        <v>1408</v>
      </c>
      <c r="G827" s="99">
        <v>1</v>
      </c>
      <c r="H827" s="50" t="s">
        <v>3775</v>
      </c>
      <c r="I827" s="178" t="s">
        <v>3776</v>
      </c>
      <c r="J827" s="50" t="s">
        <v>1629</v>
      </c>
      <c r="K827" s="189" t="s">
        <v>2829</v>
      </c>
      <c r="L827" s="190"/>
      <c r="M827" s="190"/>
      <c r="N827" s="50"/>
      <c r="O827" s="50"/>
      <c r="P827" s="50"/>
      <c r="Q827" s="50"/>
      <c r="R827" s="50"/>
      <c r="S827" s="50"/>
      <c r="T827" s="50"/>
      <c r="U827" s="50"/>
      <c r="V827" s="50"/>
      <c r="W827" s="50" t="s">
        <v>2829</v>
      </c>
      <c r="X827" s="50"/>
      <c r="Y827" s="50"/>
      <c r="Z827" s="50"/>
      <c r="AA827" s="50" t="s">
        <v>3777</v>
      </c>
      <c r="AB827" s="50" t="s">
        <v>3398</v>
      </c>
      <c r="AC827" s="50" t="s">
        <v>3778</v>
      </c>
      <c r="AD827" s="99">
        <v>405</v>
      </c>
      <c r="AE827" s="174">
        <v>203</v>
      </c>
      <c r="AF827" s="174" t="s">
        <v>2826</v>
      </c>
      <c r="AG827" s="50"/>
      <c r="AH827" s="50" t="s">
        <v>2852</v>
      </c>
      <c r="AI827" s="175">
        <v>216</v>
      </c>
      <c r="AJ827" s="178" t="s">
        <v>1410</v>
      </c>
      <c r="AK827" s="29"/>
      <c r="AL827" s="29"/>
      <c r="AM827" s="29"/>
      <c r="AN827" s="29"/>
      <c r="AO827" s="29"/>
      <c r="AP827" s="29"/>
      <c r="AQ827" s="29"/>
      <c r="AR827" s="29"/>
      <c r="AS827" s="29"/>
      <c r="AT827" s="29"/>
      <c r="AU827" s="29"/>
      <c r="AV827" s="29"/>
      <c r="AW827" s="29"/>
    </row>
    <row r="828" spans="1:49" ht="13">
      <c r="A828" s="176">
        <v>2024</v>
      </c>
      <c r="B828" s="53" t="s">
        <v>58</v>
      </c>
      <c r="C828" s="50" t="s">
        <v>365</v>
      </c>
      <c r="D828" s="50" t="s">
        <v>465</v>
      </c>
      <c r="E828" s="50" t="s">
        <v>365</v>
      </c>
      <c r="F828" s="50" t="s">
        <v>642</v>
      </c>
      <c r="G828" s="99">
        <v>1</v>
      </c>
      <c r="H828" s="50" t="s">
        <v>3779</v>
      </c>
      <c r="I828" s="179" t="s">
        <v>3780</v>
      </c>
      <c r="J828" s="50" t="s">
        <v>1629</v>
      </c>
      <c r="K828" s="189" t="s">
        <v>2829</v>
      </c>
      <c r="L828" s="190"/>
      <c r="M828" s="190"/>
      <c r="N828" s="50"/>
      <c r="O828" s="50"/>
      <c r="P828" s="50"/>
      <c r="Q828" s="50"/>
      <c r="R828" s="50"/>
      <c r="S828" s="50"/>
      <c r="T828" s="50"/>
      <c r="U828" s="50"/>
      <c r="V828" s="50"/>
      <c r="W828" s="50" t="s">
        <v>2829</v>
      </c>
      <c r="X828" s="50"/>
      <c r="Y828" s="50"/>
      <c r="Z828" s="50"/>
      <c r="AA828" s="50" t="s">
        <v>3781</v>
      </c>
      <c r="AB828" s="50" t="s">
        <v>3398</v>
      </c>
      <c r="AC828" s="50" t="s">
        <v>3782</v>
      </c>
      <c r="AD828" s="95">
        <v>406</v>
      </c>
      <c r="AE828" s="174">
        <v>204</v>
      </c>
      <c r="AF828" s="174" t="s">
        <v>2826</v>
      </c>
      <c r="AG828" s="50"/>
      <c r="AH828" s="50" t="s">
        <v>2852</v>
      </c>
      <c r="AI828" s="175">
        <v>217</v>
      </c>
      <c r="AJ828" s="179" t="s">
        <v>1419</v>
      </c>
      <c r="AK828" s="14"/>
      <c r="AL828" s="14"/>
      <c r="AM828" s="14"/>
      <c r="AN828" s="14"/>
      <c r="AO828" s="14"/>
      <c r="AP828" s="14"/>
      <c r="AQ828" s="14"/>
      <c r="AR828" s="14"/>
      <c r="AS828" s="14"/>
      <c r="AT828" s="14"/>
      <c r="AU828" s="14"/>
      <c r="AV828" s="14"/>
      <c r="AW828" s="14"/>
    </row>
    <row r="829" spans="1:49" ht="13">
      <c r="A829" s="176">
        <v>2024</v>
      </c>
      <c r="B829" s="53" t="s">
        <v>80</v>
      </c>
      <c r="C829" s="50" t="s">
        <v>246</v>
      </c>
      <c r="D829" s="50" t="s">
        <v>246</v>
      </c>
      <c r="E829" s="50" t="s">
        <v>246</v>
      </c>
      <c r="F829" s="50" t="s">
        <v>1426</v>
      </c>
      <c r="G829" s="99">
        <v>1</v>
      </c>
      <c r="H829" s="50" t="s">
        <v>3783</v>
      </c>
      <c r="I829" s="178" t="s">
        <v>3784</v>
      </c>
      <c r="J829" s="50" t="s">
        <v>1629</v>
      </c>
      <c r="K829" s="189" t="s">
        <v>2829</v>
      </c>
      <c r="L829" s="190"/>
      <c r="M829" s="190"/>
      <c r="N829" s="50"/>
      <c r="O829" s="50"/>
      <c r="P829" s="50"/>
      <c r="Q829" s="50"/>
      <c r="R829" s="50"/>
      <c r="S829" s="50"/>
      <c r="T829" s="50"/>
      <c r="U829" s="50"/>
      <c r="V829" s="50"/>
      <c r="W829" s="50" t="s">
        <v>2829</v>
      </c>
      <c r="X829" s="50"/>
      <c r="Y829" s="50"/>
      <c r="Z829" s="50"/>
      <c r="AA829" s="50" t="s">
        <v>3785</v>
      </c>
      <c r="AB829" s="50" t="s">
        <v>3398</v>
      </c>
      <c r="AC829" s="50" t="s">
        <v>3786</v>
      </c>
      <c r="AD829" s="99">
        <v>407</v>
      </c>
      <c r="AE829" s="174">
        <v>205</v>
      </c>
      <c r="AF829" s="174">
        <v>148</v>
      </c>
      <c r="AG829" s="50"/>
      <c r="AH829" s="50" t="s">
        <v>2852</v>
      </c>
      <c r="AI829" s="175">
        <v>218</v>
      </c>
      <c r="AJ829" s="178" t="s">
        <v>1428</v>
      </c>
      <c r="AK829" s="29"/>
      <c r="AL829" s="29"/>
      <c r="AM829" s="29"/>
      <c r="AN829" s="29"/>
      <c r="AO829" s="29"/>
      <c r="AP829" s="29"/>
      <c r="AQ829" s="29"/>
      <c r="AR829" s="29"/>
      <c r="AS829" s="29"/>
      <c r="AT829" s="29"/>
      <c r="AU829" s="29"/>
      <c r="AV829" s="29"/>
      <c r="AW829" s="29"/>
    </row>
    <row r="830" spans="1:49" ht="13">
      <c r="A830" s="176">
        <v>2024</v>
      </c>
      <c r="B830" s="53" t="s">
        <v>80</v>
      </c>
      <c r="C830" s="50" t="s">
        <v>311</v>
      </c>
      <c r="D830" s="50" t="s">
        <v>311</v>
      </c>
      <c r="E830" s="50" t="s">
        <v>311</v>
      </c>
      <c r="F830" s="50" t="s">
        <v>1432</v>
      </c>
      <c r="G830" s="99">
        <v>1</v>
      </c>
      <c r="H830" s="50" t="s">
        <v>3787</v>
      </c>
      <c r="I830" s="179" t="s">
        <v>3788</v>
      </c>
      <c r="J830" s="50" t="s">
        <v>1629</v>
      </c>
      <c r="K830" s="189" t="s">
        <v>2829</v>
      </c>
      <c r="L830" s="190"/>
      <c r="M830" s="190"/>
      <c r="N830" s="50"/>
      <c r="O830" s="50"/>
      <c r="P830" s="50"/>
      <c r="Q830" s="50"/>
      <c r="R830" s="50"/>
      <c r="S830" s="50"/>
      <c r="T830" s="50"/>
      <c r="U830" s="50"/>
      <c r="V830" s="50"/>
      <c r="W830" s="50" t="s">
        <v>2829</v>
      </c>
      <c r="X830" s="50"/>
      <c r="Y830" s="50"/>
      <c r="Z830" s="50"/>
      <c r="AA830" s="50" t="s">
        <v>3789</v>
      </c>
      <c r="AB830" s="50" t="s">
        <v>3398</v>
      </c>
      <c r="AC830" s="50" t="s">
        <v>3790</v>
      </c>
      <c r="AD830" s="95">
        <v>408</v>
      </c>
      <c r="AE830" s="174">
        <v>206</v>
      </c>
      <c r="AF830" s="174">
        <v>155</v>
      </c>
      <c r="AG830" s="50"/>
      <c r="AH830" s="50" t="s">
        <v>2852</v>
      </c>
      <c r="AI830" s="175">
        <v>219</v>
      </c>
      <c r="AJ830" s="179" t="s">
        <v>1433</v>
      </c>
      <c r="AK830" s="14"/>
      <c r="AL830" s="14"/>
      <c r="AM830" s="14"/>
      <c r="AN830" s="14"/>
      <c r="AO830" s="14"/>
      <c r="AP830" s="14"/>
      <c r="AQ830" s="14"/>
      <c r="AR830" s="14"/>
      <c r="AS830" s="14"/>
      <c r="AT830" s="14"/>
      <c r="AU830" s="14"/>
      <c r="AV830" s="14"/>
      <c r="AW830" s="14"/>
    </row>
    <row r="831" spans="1:49" ht="13">
      <c r="A831" s="176">
        <v>2024</v>
      </c>
      <c r="B831" s="53" t="s">
        <v>58</v>
      </c>
      <c r="C831" s="50" t="s">
        <v>349</v>
      </c>
      <c r="D831" s="50" t="s">
        <v>349</v>
      </c>
      <c r="E831" s="50" t="s">
        <v>349</v>
      </c>
      <c r="F831" s="50" t="s">
        <v>3791</v>
      </c>
      <c r="G831" s="177">
        <v>0</v>
      </c>
      <c r="H831" s="50" t="s">
        <v>3792</v>
      </c>
      <c r="I831" s="178" t="s">
        <v>3793</v>
      </c>
      <c r="J831" s="50" t="s">
        <v>1629</v>
      </c>
      <c r="K831" s="50" t="s">
        <v>1629</v>
      </c>
      <c r="L831" s="50"/>
      <c r="M831" s="50"/>
      <c r="N831" s="50"/>
      <c r="O831" s="50"/>
      <c r="P831" s="50"/>
      <c r="Q831" s="50"/>
      <c r="R831" s="50"/>
      <c r="S831" s="50"/>
      <c r="T831" s="50"/>
      <c r="U831" s="50"/>
      <c r="V831" s="50"/>
      <c r="W831" s="50" t="s">
        <v>1629</v>
      </c>
      <c r="X831" s="50"/>
      <c r="Y831" s="50"/>
      <c r="Z831" s="50"/>
      <c r="AA831" s="50" t="s">
        <v>3794</v>
      </c>
      <c r="AB831" s="50" t="s">
        <v>3398</v>
      </c>
      <c r="AC831" s="50" t="s">
        <v>3795</v>
      </c>
      <c r="AD831" s="99">
        <v>409</v>
      </c>
      <c r="AE831" s="174">
        <v>158</v>
      </c>
      <c r="AF831" s="174">
        <v>183</v>
      </c>
      <c r="AG831" s="50"/>
      <c r="AH831" s="50" t="s">
        <v>2852</v>
      </c>
      <c r="AI831" s="175">
        <v>220</v>
      </c>
      <c r="AJ831" s="178" t="s">
        <v>1025</v>
      </c>
      <c r="AK831" s="29"/>
      <c r="AL831" s="29"/>
      <c r="AM831" s="29"/>
      <c r="AN831" s="29"/>
      <c r="AO831" s="29"/>
      <c r="AP831" s="29"/>
      <c r="AQ831" s="29"/>
      <c r="AR831" s="29"/>
      <c r="AS831" s="29"/>
      <c r="AT831" s="29"/>
      <c r="AU831" s="29"/>
      <c r="AV831" s="29"/>
      <c r="AW831" s="29"/>
    </row>
    <row r="832" spans="1:49" ht="13">
      <c r="A832" s="176">
        <v>2024</v>
      </c>
      <c r="B832" s="53" t="s">
        <v>58</v>
      </c>
      <c r="C832" s="50" t="s">
        <v>395</v>
      </c>
      <c r="D832" s="50" t="s">
        <v>465</v>
      </c>
      <c r="E832" s="50" t="s">
        <v>395</v>
      </c>
      <c r="F832" s="50" t="s">
        <v>1437</v>
      </c>
      <c r="G832" s="99">
        <v>1</v>
      </c>
      <c r="H832" s="50" t="s">
        <v>3796</v>
      </c>
      <c r="I832" s="179" t="s">
        <v>3797</v>
      </c>
      <c r="J832" s="50" t="s">
        <v>1629</v>
      </c>
      <c r="K832" s="50" t="s">
        <v>1629</v>
      </c>
      <c r="L832" s="50"/>
      <c r="M832" s="50"/>
      <c r="N832" s="50"/>
      <c r="O832" s="50"/>
      <c r="P832" s="50"/>
      <c r="Q832" s="50"/>
      <c r="R832" s="50"/>
      <c r="S832" s="50"/>
      <c r="T832" s="50"/>
      <c r="U832" s="50"/>
      <c r="V832" s="50"/>
      <c r="W832" s="50" t="s">
        <v>1635</v>
      </c>
      <c r="X832" s="50"/>
      <c r="Y832" s="50"/>
      <c r="Z832" s="50"/>
      <c r="AA832" s="50" t="s">
        <v>3798</v>
      </c>
      <c r="AB832" s="50" t="s">
        <v>3091</v>
      </c>
      <c r="AC832" s="50" t="s">
        <v>3799</v>
      </c>
      <c r="AD832" s="95">
        <v>410</v>
      </c>
      <c r="AE832" s="174">
        <v>207</v>
      </c>
      <c r="AF832" s="174" t="s">
        <v>2826</v>
      </c>
      <c r="AG832" s="50"/>
      <c r="AH832" s="50" t="s">
        <v>2837</v>
      </c>
      <c r="AI832" s="175">
        <v>221</v>
      </c>
      <c r="AJ832" s="179" t="s">
        <v>1439</v>
      </c>
      <c r="AK832" s="14"/>
      <c r="AL832" s="14"/>
      <c r="AM832" s="14"/>
      <c r="AN832" s="14"/>
      <c r="AO832" s="14"/>
      <c r="AP832" s="14"/>
      <c r="AQ832" s="14"/>
      <c r="AR832" s="14"/>
      <c r="AS832" s="14"/>
      <c r="AT832" s="14"/>
      <c r="AU832" s="14"/>
      <c r="AV832" s="14"/>
      <c r="AW832" s="14"/>
    </row>
    <row r="833" spans="1:49" ht="13">
      <c r="A833" s="176">
        <v>2021</v>
      </c>
      <c r="B833" s="53" t="s">
        <v>58</v>
      </c>
      <c r="C833" s="50" t="s">
        <v>393</v>
      </c>
      <c r="D833" s="50" t="s">
        <v>393</v>
      </c>
      <c r="E833" s="50" t="s">
        <v>393</v>
      </c>
      <c r="F833" s="50" t="s">
        <v>3800</v>
      </c>
      <c r="G833" s="177">
        <v>0</v>
      </c>
      <c r="H833" s="50" t="s">
        <v>3801</v>
      </c>
      <c r="I833" s="178" t="s">
        <v>3802</v>
      </c>
      <c r="J833" s="50" t="s">
        <v>1629</v>
      </c>
      <c r="K833" s="50" t="s">
        <v>1629</v>
      </c>
      <c r="L833" s="50"/>
      <c r="M833" s="50"/>
      <c r="N833" s="50"/>
      <c r="O833" s="50"/>
      <c r="P833" s="50"/>
      <c r="Q833" s="50"/>
      <c r="R833" s="50"/>
      <c r="S833" s="50"/>
      <c r="T833" s="50"/>
      <c r="U833" s="50"/>
      <c r="V833" s="50"/>
      <c r="W833" s="50" t="s">
        <v>1629</v>
      </c>
      <c r="X833" s="50"/>
      <c r="Y833" s="50"/>
      <c r="Z833" s="50"/>
      <c r="AA833" s="50"/>
      <c r="AB833" s="50" t="s">
        <v>3091</v>
      </c>
      <c r="AC833" s="50" t="s">
        <v>3803</v>
      </c>
      <c r="AD833" s="99">
        <v>411</v>
      </c>
      <c r="AE833" s="174" t="s">
        <v>2826</v>
      </c>
      <c r="AF833" s="174">
        <v>225</v>
      </c>
      <c r="AG833" s="50"/>
      <c r="AH833" s="50" t="s">
        <v>2837</v>
      </c>
      <c r="AI833" s="175">
        <v>222</v>
      </c>
      <c r="AJ833" s="181" t="s">
        <v>462</v>
      </c>
      <c r="AK833" s="29"/>
      <c r="AL833" s="29"/>
      <c r="AM833" s="29"/>
      <c r="AN833" s="29"/>
      <c r="AO833" s="29"/>
      <c r="AP833" s="29"/>
      <c r="AQ833" s="29"/>
      <c r="AR833" s="29"/>
      <c r="AS833" s="29"/>
      <c r="AT833" s="29"/>
      <c r="AU833" s="29"/>
      <c r="AV833" s="29"/>
      <c r="AW833" s="29"/>
    </row>
    <row r="834" spans="1:49" ht="13">
      <c r="A834" s="176">
        <v>2019</v>
      </c>
      <c r="B834" s="12" t="s">
        <v>64</v>
      </c>
      <c r="C834" s="50" t="s">
        <v>103</v>
      </c>
      <c r="D834" s="50" t="s">
        <v>465</v>
      </c>
      <c r="E834" s="50" t="s">
        <v>103</v>
      </c>
      <c r="F834" s="50" t="s">
        <v>106</v>
      </c>
      <c r="G834" s="99">
        <v>1</v>
      </c>
      <c r="H834" s="50" t="s">
        <v>3804</v>
      </c>
      <c r="I834" s="179" t="s">
        <v>3805</v>
      </c>
      <c r="J834" s="50" t="s">
        <v>1629</v>
      </c>
      <c r="K834" s="50" t="s">
        <v>1629</v>
      </c>
      <c r="L834" s="50"/>
      <c r="M834" s="50"/>
      <c r="N834" s="50"/>
      <c r="O834" s="50"/>
      <c r="P834" s="50"/>
      <c r="Q834" s="50"/>
      <c r="R834" s="50"/>
      <c r="S834" s="50"/>
      <c r="T834" s="50"/>
      <c r="U834" s="50"/>
      <c r="V834" s="50"/>
      <c r="W834" s="50" t="s">
        <v>1635</v>
      </c>
      <c r="X834" s="50"/>
      <c r="Y834" s="50"/>
      <c r="Z834" s="50"/>
      <c r="AA834" s="50" t="s">
        <v>3806</v>
      </c>
      <c r="AB834" s="50" t="s">
        <v>1551</v>
      </c>
      <c r="AC834" s="50" t="s">
        <v>3807</v>
      </c>
      <c r="AD834" s="95">
        <v>412</v>
      </c>
      <c r="AE834" s="174">
        <v>140</v>
      </c>
      <c r="AF834" s="174" t="s">
        <v>2826</v>
      </c>
      <c r="AG834" s="50"/>
      <c r="AH834" s="50" t="s">
        <v>2852</v>
      </c>
      <c r="AI834" s="175">
        <v>223</v>
      </c>
      <c r="AJ834" s="179" t="s">
        <v>968</v>
      </c>
      <c r="AK834" s="14"/>
      <c r="AL834" s="14"/>
      <c r="AM834" s="14"/>
      <c r="AN834" s="14"/>
      <c r="AO834" s="14"/>
      <c r="AP834" s="14"/>
      <c r="AQ834" s="14"/>
      <c r="AR834" s="14"/>
      <c r="AS834" s="14"/>
      <c r="AT834" s="14"/>
      <c r="AU834" s="14"/>
      <c r="AV834" s="14"/>
      <c r="AW834" s="14"/>
    </row>
    <row r="835" spans="1:49" ht="13">
      <c r="A835" s="176">
        <v>2020</v>
      </c>
      <c r="B835" s="12" t="s">
        <v>64</v>
      </c>
      <c r="C835" s="50" t="s">
        <v>103</v>
      </c>
      <c r="D835" s="50" t="s">
        <v>465</v>
      </c>
      <c r="E835" s="50" t="s">
        <v>103</v>
      </c>
      <c r="F835" s="50" t="s">
        <v>106</v>
      </c>
      <c r="G835" s="99">
        <v>1</v>
      </c>
      <c r="H835" s="50" t="s">
        <v>3808</v>
      </c>
      <c r="I835" s="178" t="s">
        <v>3809</v>
      </c>
      <c r="J835" s="50" t="s">
        <v>1629</v>
      </c>
      <c r="K835" s="50" t="s">
        <v>1629</v>
      </c>
      <c r="L835" s="50"/>
      <c r="M835" s="50"/>
      <c r="N835" s="50"/>
      <c r="O835" s="50"/>
      <c r="P835" s="50"/>
      <c r="Q835" s="50"/>
      <c r="R835" s="50"/>
      <c r="S835" s="50"/>
      <c r="T835" s="50"/>
      <c r="U835" s="50"/>
      <c r="V835" s="50"/>
      <c r="W835" s="50" t="s">
        <v>1635</v>
      </c>
      <c r="X835" s="50"/>
      <c r="Y835" s="50"/>
      <c r="Z835" s="50"/>
      <c r="AA835" s="50" t="s">
        <v>3810</v>
      </c>
      <c r="AB835" s="50" t="s">
        <v>1551</v>
      </c>
      <c r="AC835" s="50" t="s">
        <v>3811</v>
      </c>
      <c r="AD835" s="99">
        <v>413</v>
      </c>
      <c r="AE835" s="174">
        <v>140</v>
      </c>
      <c r="AF835" s="174" t="s">
        <v>2826</v>
      </c>
      <c r="AG835" s="50"/>
      <c r="AH835" s="50" t="s">
        <v>2852</v>
      </c>
      <c r="AI835" s="175">
        <v>224</v>
      </c>
      <c r="AJ835" s="178" t="s">
        <v>968</v>
      </c>
      <c r="AK835" s="29"/>
      <c r="AL835" s="29"/>
      <c r="AM835" s="29"/>
      <c r="AN835" s="29"/>
      <c r="AO835" s="29"/>
      <c r="AP835" s="29"/>
      <c r="AQ835" s="29"/>
      <c r="AR835" s="29"/>
      <c r="AS835" s="29"/>
      <c r="AT835" s="29"/>
      <c r="AU835" s="29"/>
      <c r="AV835" s="29"/>
      <c r="AW835" s="29"/>
    </row>
    <row r="836" spans="1:49" ht="13">
      <c r="A836" s="176">
        <v>2020</v>
      </c>
      <c r="B836" s="12" t="s">
        <v>64</v>
      </c>
      <c r="C836" s="50" t="s">
        <v>455</v>
      </c>
      <c r="D836" s="50" t="s">
        <v>465</v>
      </c>
      <c r="E836" s="50" t="s">
        <v>455</v>
      </c>
      <c r="F836" s="50" t="s">
        <v>3812</v>
      </c>
      <c r="G836" s="177">
        <v>0</v>
      </c>
      <c r="H836" s="50" t="s">
        <v>3813</v>
      </c>
      <c r="I836" s="179" t="s">
        <v>3814</v>
      </c>
      <c r="J836" s="50" t="s">
        <v>1629</v>
      </c>
      <c r="K836" s="50" t="s">
        <v>1629</v>
      </c>
      <c r="L836" s="50"/>
      <c r="M836" s="50"/>
      <c r="N836" s="50"/>
      <c r="O836" s="50"/>
      <c r="P836" s="50"/>
      <c r="Q836" s="50"/>
      <c r="R836" s="50"/>
      <c r="S836" s="50"/>
      <c r="T836" s="50"/>
      <c r="U836" s="50"/>
      <c r="V836" s="50"/>
      <c r="W836" s="50" t="s">
        <v>1635</v>
      </c>
      <c r="X836" s="50"/>
      <c r="Y836" s="50"/>
      <c r="Z836" s="50"/>
      <c r="AA836" s="50" t="s">
        <v>3815</v>
      </c>
      <c r="AB836" s="50" t="s">
        <v>1551</v>
      </c>
      <c r="AC836" s="50" t="s">
        <v>3816</v>
      </c>
      <c r="AD836" s="95">
        <v>414</v>
      </c>
      <c r="AE836" s="174">
        <v>140</v>
      </c>
      <c r="AF836" s="174" t="s">
        <v>2826</v>
      </c>
      <c r="AG836" s="50"/>
      <c r="AH836" s="50" t="s">
        <v>2852</v>
      </c>
      <c r="AI836" s="175">
        <v>225</v>
      </c>
      <c r="AJ836" s="179" t="s">
        <v>968</v>
      </c>
      <c r="AK836" s="14"/>
      <c r="AL836" s="14"/>
      <c r="AM836" s="14"/>
      <c r="AN836" s="14"/>
      <c r="AO836" s="14"/>
      <c r="AP836" s="14"/>
      <c r="AQ836" s="14"/>
      <c r="AR836" s="14"/>
      <c r="AS836" s="14"/>
      <c r="AT836" s="14"/>
      <c r="AU836" s="14"/>
      <c r="AV836" s="14"/>
      <c r="AW836" s="14"/>
    </row>
    <row r="837" spans="1:49" ht="13">
      <c r="A837" s="176">
        <v>2020</v>
      </c>
      <c r="B837" s="12" t="s">
        <v>64</v>
      </c>
      <c r="C837" s="50" t="s">
        <v>103</v>
      </c>
      <c r="D837" s="50" t="s">
        <v>465</v>
      </c>
      <c r="E837" s="50" t="s">
        <v>103</v>
      </c>
      <c r="F837" s="50" t="s">
        <v>106</v>
      </c>
      <c r="G837" s="99">
        <v>1</v>
      </c>
      <c r="H837" s="50" t="s">
        <v>3817</v>
      </c>
      <c r="I837" s="178" t="s">
        <v>3818</v>
      </c>
      <c r="J837" s="50" t="s">
        <v>1629</v>
      </c>
      <c r="K837" s="50" t="s">
        <v>1629</v>
      </c>
      <c r="L837" s="50"/>
      <c r="M837" s="50"/>
      <c r="N837" s="50"/>
      <c r="O837" s="50"/>
      <c r="P837" s="50"/>
      <c r="Q837" s="50"/>
      <c r="R837" s="50"/>
      <c r="S837" s="50"/>
      <c r="T837" s="50"/>
      <c r="U837" s="50"/>
      <c r="V837" s="50"/>
      <c r="W837" s="50" t="s">
        <v>1635</v>
      </c>
      <c r="X837" s="50"/>
      <c r="Y837" s="50"/>
      <c r="Z837" s="50"/>
      <c r="AA837" s="50" t="s">
        <v>3819</v>
      </c>
      <c r="AB837" s="50" t="s">
        <v>1551</v>
      </c>
      <c r="AC837" s="50" t="s">
        <v>3820</v>
      </c>
      <c r="AD837" s="99">
        <v>415</v>
      </c>
      <c r="AE837" s="174">
        <v>140</v>
      </c>
      <c r="AF837" s="174" t="s">
        <v>2826</v>
      </c>
      <c r="AG837" s="50"/>
      <c r="AH837" s="50" t="s">
        <v>2819</v>
      </c>
      <c r="AI837" s="175">
        <v>226</v>
      </c>
      <c r="AJ837" s="178" t="s">
        <v>968</v>
      </c>
      <c r="AK837" s="29"/>
      <c r="AL837" s="29"/>
      <c r="AM837" s="29"/>
      <c r="AN837" s="29"/>
      <c r="AO837" s="29"/>
      <c r="AP837" s="29"/>
      <c r="AQ837" s="29"/>
      <c r="AR837" s="29"/>
      <c r="AS837" s="29"/>
      <c r="AT837" s="29"/>
      <c r="AU837" s="29"/>
      <c r="AV837" s="29"/>
      <c r="AW837" s="29"/>
    </row>
    <row r="838" spans="1:49" ht="13">
      <c r="A838" s="176">
        <v>2020</v>
      </c>
      <c r="B838" s="12" t="s">
        <v>64</v>
      </c>
      <c r="C838" s="50" t="s">
        <v>103</v>
      </c>
      <c r="D838" s="50" t="s">
        <v>465</v>
      </c>
      <c r="E838" s="50" t="s">
        <v>103</v>
      </c>
      <c r="F838" s="50" t="s">
        <v>106</v>
      </c>
      <c r="G838" s="99">
        <v>1</v>
      </c>
      <c r="H838" s="50" t="s">
        <v>3821</v>
      </c>
      <c r="I838" s="179" t="s">
        <v>3822</v>
      </c>
      <c r="J838" s="50" t="s">
        <v>1629</v>
      </c>
      <c r="K838" s="50" t="s">
        <v>1629</v>
      </c>
      <c r="L838" s="50"/>
      <c r="M838" s="50"/>
      <c r="N838" s="50"/>
      <c r="O838" s="50"/>
      <c r="P838" s="50"/>
      <c r="Q838" s="50"/>
      <c r="R838" s="50"/>
      <c r="S838" s="50"/>
      <c r="T838" s="50"/>
      <c r="U838" s="50"/>
      <c r="V838" s="50"/>
      <c r="W838" s="50" t="s">
        <v>1635</v>
      </c>
      <c r="X838" s="50"/>
      <c r="Y838" s="50"/>
      <c r="Z838" s="50"/>
      <c r="AA838" s="50" t="s">
        <v>3823</v>
      </c>
      <c r="AB838" s="50" t="s">
        <v>1551</v>
      </c>
      <c r="AC838" s="50" t="s">
        <v>3824</v>
      </c>
      <c r="AD838" s="95">
        <v>416</v>
      </c>
      <c r="AE838" s="174">
        <v>140</v>
      </c>
      <c r="AF838" s="174" t="s">
        <v>2826</v>
      </c>
      <c r="AG838" s="50"/>
      <c r="AH838" s="50" t="s">
        <v>2852</v>
      </c>
      <c r="AI838" s="175">
        <v>227</v>
      </c>
      <c r="AJ838" s="179" t="s">
        <v>968</v>
      </c>
      <c r="AK838" s="14"/>
      <c r="AL838" s="14"/>
      <c r="AM838" s="14"/>
      <c r="AN838" s="14"/>
      <c r="AO838" s="14"/>
      <c r="AP838" s="14"/>
      <c r="AQ838" s="14"/>
      <c r="AR838" s="14"/>
      <c r="AS838" s="14"/>
      <c r="AT838" s="14"/>
      <c r="AU838" s="14"/>
      <c r="AV838" s="14"/>
      <c r="AW838" s="14"/>
    </row>
    <row r="839" spans="1:49" ht="13">
      <c r="A839" s="176">
        <v>2024</v>
      </c>
      <c r="B839" s="12" t="s">
        <v>64</v>
      </c>
      <c r="C839" s="50" t="s">
        <v>73</v>
      </c>
      <c r="D839" s="50" t="s">
        <v>85</v>
      </c>
      <c r="E839" s="50" t="s">
        <v>73</v>
      </c>
      <c r="F839" s="50" t="s">
        <v>3156</v>
      </c>
      <c r="G839" s="177">
        <v>0</v>
      </c>
      <c r="H839" s="50" t="s">
        <v>3825</v>
      </c>
      <c r="I839" s="181" t="s">
        <v>462</v>
      </c>
      <c r="J839" s="50" t="s">
        <v>1629</v>
      </c>
      <c r="K839" s="50" t="s">
        <v>1629</v>
      </c>
      <c r="L839" s="50"/>
      <c r="M839" s="50"/>
      <c r="N839" s="50"/>
      <c r="O839" s="50"/>
      <c r="P839" s="50"/>
      <c r="Q839" s="50"/>
      <c r="R839" s="50"/>
      <c r="S839" s="50"/>
      <c r="T839" s="50"/>
      <c r="U839" s="50"/>
      <c r="V839" s="50"/>
      <c r="W839" s="50" t="s">
        <v>1635</v>
      </c>
      <c r="X839" s="50"/>
      <c r="Y839" s="50"/>
      <c r="Z839" s="50"/>
      <c r="AA839" s="50" t="s">
        <v>3826</v>
      </c>
      <c r="AB839" s="183" t="s">
        <v>3827</v>
      </c>
      <c r="AC839" s="183" t="s">
        <v>3827</v>
      </c>
      <c r="AD839" s="99">
        <v>417</v>
      </c>
      <c r="AE839" s="174">
        <v>17</v>
      </c>
      <c r="AF839" s="174" t="s">
        <v>2826</v>
      </c>
      <c r="AG839" s="50"/>
      <c r="AH839" s="50" t="s">
        <v>2819</v>
      </c>
      <c r="AI839" s="175">
        <v>228</v>
      </c>
      <c r="AJ839" s="184" t="s">
        <v>3828</v>
      </c>
      <c r="AK839" s="29"/>
      <c r="AL839" s="29"/>
      <c r="AM839" s="29"/>
      <c r="AN839" s="29"/>
      <c r="AO839" s="29"/>
      <c r="AP839" s="29"/>
      <c r="AQ839" s="29"/>
      <c r="AR839" s="29"/>
      <c r="AS839" s="29"/>
      <c r="AT839" s="29"/>
      <c r="AU839" s="29"/>
      <c r="AV839" s="29"/>
      <c r="AW839" s="29"/>
    </row>
    <row r="840" spans="1:49" ht="13">
      <c r="A840" s="176">
        <v>2024</v>
      </c>
      <c r="B840" s="53" t="s">
        <v>58</v>
      </c>
      <c r="C840" s="50" t="s">
        <v>395</v>
      </c>
      <c r="D840" s="50" t="s">
        <v>395</v>
      </c>
      <c r="E840" s="50" t="s">
        <v>395</v>
      </c>
      <c r="F840" s="50" t="s">
        <v>936</v>
      </c>
      <c r="G840" s="99">
        <v>2</v>
      </c>
      <c r="H840" s="50" t="s">
        <v>3829</v>
      </c>
      <c r="I840" s="185" t="s">
        <v>3830</v>
      </c>
      <c r="J840" s="50" t="s">
        <v>1629</v>
      </c>
      <c r="K840" s="50" t="s">
        <v>1629</v>
      </c>
      <c r="L840" s="50"/>
      <c r="M840" s="50"/>
      <c r="N840" s="50"/>
      <c r="O840" s="50"/>
      <c r="P840" s="50"/>
      <c r="Q840" s="50"/>
      <c r="R840" s="50"/>
      <c r="S840" s="50"/>
      <c r="T840" s="50"/>
      <c r="U840" s="50"/>
      <c r="V840" s="50"/>
      <c r="W840" s="50" t="s">
        <v>1629</v>
      </c>
      <c r="X840" s="50"/>
      <c r="Y840" s="50"/>
      <c r="Z840" s="50"/>
      <c r="AA840" s="50" t="s">
        <v>3831</v>
      </c>
      <c r="AB840" s="183" t="s">
        <v>3827</v>
      </c>
      <c r="AC840" s="183" t="s">
        <v>3827</v>
      </c>
      <c r="AD840" s="95">
        <v>418</v>
      </c>
      <c r="AE840" s="174">
        <v>208</v>
      </c>
      <c r="AF840" s="174">
        <v>228</v>
      </c>
      <c r="AG840" s="50"/>
      <c r="AH840" s="50" t="s">
        <v>2819</v>
      </c>
      <c r="AI840" s="175">
        <v>229</v>
      </c>
      <c r="AJ840" s="185" t="s">
        <v>3832</v>
      </c>
      <c r="AK840" s="14"/>
      <c r="AL840" s="14"/>
      <c r="AM840" s="14"/>
      <c r="AN840" s="14"/>
      <c r="AO840" s="14"/>
      <c r="AP840" s="14"/>
      <c r="AQ840" s="14"/>
      <c r="AR840" s="14"/>
      <c r="AS840" s="14"/>
      <c r="AT840" s="14"/>
      <c r="AU840" s="14"/>
      <c r="AV840" s="14"/>
      <c r="AW840" s="14"/>
    </row>
    <row r="841" spans="1:49" ht="13">
      <c r="A841" s="176">
        <v>2019</v>
      </c>
      <c r="B841" s="12" t="s">
        <v>64</v>
      </c>
      <c r="C841" s="50" t="s">
        <v>455</v>
      </c>
      <c r="D841" s="50" t="s">
        <v>455</v>
      </c>
      <c r="E841" s="50" t="s">
        <v>455</v>
      </c>
      <c r="F841" s="50" t="s">
        <v>1455</v>
      </c>
      <c r="G841" s="99">
        <v>1</v>
      </c>
      <c r="H841" s="50" t="s">
        <v>3833</v>
      </c>
      <c r="I841" s="184" t="s">
        <v>3834</v>
      </c>
      <c r="J841" s="50" t="s">
        <v>1629</v>
      </c>
      <c r="K841" s="50" t="s">
        <v>1629</v>
      </c>
      <c r="L841" s="50"/>
      <c r="M841" s="50"/>
      <c r="N841" s="50"/>
      <c r="O841" s="50"/>
      <c r="P841" s="50"/>
      <c r="Q841" s="50"/>
      <c r="R841" s="50"/>
      <c r="S841" s="50"/>
      <c r="T841" s="50"/>
      <c r="U841" s="50"/>
      <c r="V841" s="50"/>
      <c r="W841" s="50" t="s">
        <v>1629</v>
      </c>
      <c r="X841" s="50"/>
      <c r="Y841" s="50"/>
      <c r="Z841" s="50"/>
      <c r="AA841" s="50" t="s">
        <v>3835</v>
      </c>
      <c r="AB841" s="183" t="s">
        <v>3827</v>
      </c>
      <c r="AC841" s="183" t="s">
        <v>3827</v>
      </c>
      <c r="AD841" s="99">
        <v>419</v>
      </c>
      <c r="AE841" s="174">
        <v>209</v>
      </c>
      <c r="AF841" s="174" t="s">
        <v>2826</v>
      </c>
      <c r="AG841" s="50"/>
      <c r="AH841" s="50" t="s">
        <v>2837</v>
      </c>
      <c r="AI841" s="175">
        <v>230</v>
      </c>
      <c r="AJ841" s="184" t="s">
        <v>3836</v>
      </c>
      <c r="AK841" s="29"/>
      <c r="AL841" s="29"/>
      <c r="AM841" s="29"/>
      <c r="AN841" s="29"/>
      <c r="AO841" s="29"/>
      <c r="AP841" s="29"/>
      <c r="AQ841" s="29"/>
      <c r="AR841" s="29"/>
      <c r="AS841" s="29"/>
      <c r="AT841" s="29"/>
      <c r="AU841" s="29"/>
      <c r="AV841" s="29"/>
      <c r="AW841" s="29"/>
    </row>
    <row r="842" spans="1:49" ht="13">
      <c r="A842" s="176">
        <v>2024</v>
      </c>
      <c r="B842" s="12" t="s">
        <v>64</v>
      </c>
      <c r="C842" s="50" t="s">
        <v>455</v>
      </c>
      <c r="D842" s="50" t="s">
        <v>455</v>
      </c>
      <c r="E842" s="50" t="s">
        <v>455</v>
      </c>
      <c r="F842" s="50" t="s">
        <v>125</v>
      </c>
      <c r="G842" s="99">
        <v>1</v>
      </c>
      <c r="H842" s="50" t="s">
        <v>3837</v>
      </c>
      <c r="I842" s="185" t="s">
        <v>3838</v>
      </c>
      <c r="J842" s="50" t="s">
        <v>1629</v>
      </c>
      <c r="K842" s="50" t="s">
        <v>1629</v>
      </c>
      <c r="L842" s="50"/>
      <c r="M842" s="50"/>
      <c r="N842" s="50"/>
      <c r="O842" s="50"/>
      <c r="P842" s="50"/>
      <c r="Q842" s="50"/>
      <c r="R842" s="50"/>
      <c r="S842" s="50"/>
      <c r="T842" s="50"/>
      <c r="U842" s="50"/>
      <c r="V842" s="50"/>
      <c r="W842" s="50" t="s">
        <v>2829</v>
      </c>
      <c r="X842" s="50"/>
      <c r="Y842" s="50"/>
      <c r="Z842" s="50"/>
      <c r="AA842" s="50" t="s">
        <v>3839</v>
      </c>
      <c r="AB842" s="183" t="s">
        <v>3827</v>
      </c>
      <c r="AC842" s="183" t="s">
        <v>3827</v>
      </c>
      <c r="AD842" s="95">
        <v>420</v>
      </c>
      <c r="AE842" s="174" t="s">
        <v>2826</v>
      </c>
      <c r="AF842" s="174" t="s">
        <v>2826</v>
      </c>
      <c r="AG842" s="50"/>
      <c r="AH842" s="50" t="s">
        <v>2837</v>
      </c>
      <c r="AI842" s="175">
        <v>231</v>
      </c>
      <c r="AJ842" s="185" t="s">
        <v>3840</v>
      </c>
      <c r="AK842" s="14"/>
      <c r="AL842" s="14"/>
      <c r="AM842" s="14"/>
      <c r="AN842" s="14"/>
      <c r="AO842" s="14"/>
      <c r="AP842" s="14"/>
      <c r="AQ842" s="14"/>
      <c r="AR842" s="14"/>
      <c r="AS842" s="14"/>
      <c r="AT842" s="14"/>
      <c r="AU842" s="14"/>
      <c r="AV842" s="14"/>
      <c r="AW842" s="14"/>
    </row>
    <row r="843" spans="1:49" ht="13">
      <c r="A843" s="43"/>
      <c r="B843" s="43"/>
      <c r="C843" s="186"/>
      <c r="D843" s="43"/>
      <c r="E843" s="43"/>
      <c r="F843" s="43"/>
      <c r="G843" s="43"/>
      <c r="H843" s="43"/>
      <c r="I843" s="187"/>
      <c r="J843" s="188"/>
      <c r="K843" s="43"/>
      <c r="L843" s="43"/>
      <c r="M843" s="43"/>
      <c r="N843" s="43"/>
      <c r="O843" s="43"/>
      <c r="P843" s="43"/>
      <c r="Q843" s="43"/>
      <c r="R843" s="43"/>
      <c r="S843" s="43"/>
      <c r="T843" s="43"/>
      <c r="U843" s="43"/>
      <c r="V843" s="43"/>
      <c r="W843" s="43"/>
      <c r="X843" s="43"/>
      <c r="Y843" s="43"/>
      <c r="Z843" s="43"/>
      <c r="AA843" s="187"/>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row>
    <row r="844" spans="1:49" ht="13">
      <c r="A844" s="43"/>
      <c r="B844" s="43"/>
      <c r="C844" s="186"/>
      <c r="D844" s="43"/>
      <c r="E844" s="43"/>
      <c r="F844" s="43"/>
      <c r="G844" s="43"/>
      <c r="H844" s="43"/>
      <c r="I844" s="187"/>
      <c r="J844" s="188"/>
      <c r="K844" s="43"/>
      <c r="L844" s="43"/>
      <c r="M844" s="43"/>
      <c r="N844" s="43"/>
      <c r="O844" s="43"/>
      <c r="P844" s="43"/>
      <c r="Q844" s="43"/>
      <c r="R844" s="43"/>
      <c r="S844" s="43"/>
      <c r="T844" s="43"/>
      <c r="U844" s="43"/>
      <c r="V844" s="43"/>
      <c r="W844" s="43"/>
      <c r="X844" s="43"/>
      <c r="Y844" s="43"/>
      <c r="Z844" s="43"/>
      <c r="AA844" s="187"/>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row>
    <row r="845" spans="1:49" ht="13">
      <c r="A845" s="43"/>
      <c r="B845" s="43"/>
      <c r="C845" s="186"/>
      <c r="D845" s="43"/>
      <c r="E845" s="43"/>
      <c r="F845" s="43"/>
      <c r="G845" s="43"/>
      <c r="H845" s="43"/>
      <c r="I845" s="187"/>
      <c r="J845" s="188"/>
      <c r="K845" s="43"/>
      <c r="L845" s="43"/>
      <c r="M845" s="43"/>
      <c r="N845" s="43"/>
      <c r="O845" s="43"/>
      <c r="P845" s="43"/>
      <c r="Q845" s="43"/>
      <c r="R845" s="43"/>
      <c r="S845" s="43"/>
      <c r="T845" s="43"/>
      <c r="U845" s="43"/>
      <c r="V845" s="43"/>
      <c r="W845" s="43"/>
      <c r="X845" s="43"/>
      <c r="Y845" s="43"/>
      <c r="Z845" s="43"/>
      <c r="AA845" s="187"/>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row>
    <row r="846" spans="1:49" ht="13">
      <c r="A846" s="43"/>
      <c r="B846" s="43"/>
      <c r="C846" s="186"/>
      <c r="D846" s="43"/>
      <c r="E846" s="43"/>
      <c r="F846" s="43"/>
      <c r="G846" s="43"/>
      <c r="H846" s="43"/>
      <c r="I846" s="187"/>
      <c r="J846" s="188"/>
      <c r="K846" s="43"/>
      <c r="L846" s="43"/>
      <c r="M846" s="43"/>
      <c r="N846" s="43"/>
      <c r="O846" s="43"/>
      <c r="P846" s="43"/>
      <c r="Q846" s="43"/>
      <c r="R846" s="43"/>
      <c r="S846" s="43"/>
      <c r="T846" s="43"/>
      <c r="U846" s="43"/>
      <c r="V846" s="43"/>
      <c r="W846" s="43"/>
      <c r="X846" s="43"/>
      <c r="Y846" s="43"/>
      <c r="Z846" s="43"/>
      <c r="AA846" s="187"/>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row>
    <row r="847" spans="1:49" ht="13">
      <c r="A847" s="43"/>
      <c r="B847" s="43"/>
      <c r="C847" s="186"/>
      <c r="D847" s="43"/>
      <c r="E847" s="43"/>
      <c r="F847" s="43"/>
      <c r="G847" s="43"/>
      <c r="H847" s="43"/>
      <c r="I847" s="187"/>
      <c r="J847" s="188"/>
      <c r="K847" s="43"/>
      <c r="L847" s="43"/>
      <c r="M847" s="43"/>
      <c r="N847" s="43"/>
      <c r="O847" s="43"/>
      <c r="P847" s="43"/>
      <c r="Q847" s="43"/>
      <c r="R847" s="43"/>
      <c r="S847" s="43"/>
      <c r="T847" s="43"/>
      <c r="U847" s="43"/>
      <c r="V847" s="43"/>
      <c r="W847" s="43"/>
      <c r="X847" s="43"/>
      <c r="Y847" s="43"/>
      <c r="Z847" s="43"/>
      <c r="AA847" s="187"/>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row>
    <row r="848" spans="1:49" ht="13">
      <c r="A848" s="43"/>
      <c r="B848" s="43"/>
      <c r="C848" s="186"/>
      <c r="D848" s="43"/>
      <c r="E848" s="43"/>
      <c r="F848" s="43"/>
      <c r="G848" s="43"/>
      <c r="H848" s="43"/>
      <c r="I848" s="187"/>
      <c r="J848" s="188"/>
      <c r="K848" s="43"/>
      <c r="L848" s="43"/>
      <c r="M848" s="43"/>
      <c r="N848" s="43"/>
      <c r="O848" s="43"/>
      <c r="P848" s="43"/>
      <c r="Q848" s="43"/>
      <c r="R848" s="43"/>
      <c r="S848" s="43"/>
      <c r="T848" s="43"/>
      <c r="U848" s="43"/>
      <c r="V848" s="43"/>
      <c r="W848" s="43"/>
      <c r="X848" s="43"/>
      <c r="Y848" s="43"/>
      <c r="Z848" s="43"/>
      <c r="AA848" s="187"/>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row>
    <row r="849" spans="1:49" ht="13">
      <c r="A849" s="43"/>
      <c r="B849" s="43"/>
      <c r="C849" s="186"/>
      <c r="D849" s="43"/>
      <c r="E849" s="43"/>
      <c r="F849" s="43"/>
      <c r="G849" s="43"/>
      <c r="H849" s="43"/>
      <c r="I849" s="187"/>
      <c r="J849" s="188"/>
      <c r="K849" s="43"/>
      <c r="L849" s="43"/>
      <c r="M849" s="43"/>
      <c r="N849" s="43"/>
      <c r="O849" s="43"/>
      <c r="P849" s="43"/>
      <c r="Q849" s="43"/>
      <c r="R849" s="43"/>
      <c r="S849" s="43"/>
      <c r="T849" s="43"/>
      <c r="U849" s="43"/>
      <c r="V849" s="43"/>
      <c r="W849" s="43"/>
      <c r="X849" s="43"/>
      <c r="Y849" s="43"/>
      <c r="Z849" s="43"/>
      <c r="AA849" s="187"/>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row>
    <row r="850" spans="1:49" ht="13">
      <c r="A850" s="43"/>
      <c r="B850" s="43"/>
      <c r="C850" s="186"/>
      <c r="D850" s="43"/>
      <c r="E850" s="43"/>
      <c r="F850" s="43"/>
      <c r="G850" s="43"/>
      <c r="H850" s="43"/>
      <c r="I850" s="187"/>
      <c r="J850" s="188"/>
      <c r="K850" s="43"/>
      <c r="L850" s="43"/>
      <c r="M850" s="43"/>
      <c r="N850" s="43"/>
      <c r="O850" s="43"/>
      <c r="P850" s="43"/>
      <c r="Q850" s="43"/>
      <c r="R850" s="43"/>
      <c r="S850" s="43"/>
      <c r="T850" s="43"/>
      <c r="U850" s="43"/>
      <c r="V850" s="43"/>
      <c r="W850" s="43"/>
      <c r="X850" s="43"/>
      <c r="Y850" s="43"/>
      <c r="Z850" s="43"/>
      <c r="AA850" s="187"/>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row>
    <row r="851" spans="1:49" ht="13">
      <c r="A851" s="43"/>
      <c r="B851" s="43"/>
      <c r="C851" s="186"/>
      <c r="D851" s="43"/>
      <c r="E851" s="43"/>
      <c r="F851" s="43"/>
      <c r="G851" s="43"/>
      <c r="H851" s="43"/>
      <c r="I851" s="187"/>
      <c r="J851" s="188"/>
      <c r="K851" s="43"/>
      <c r="L851" s="43"/>
      <c r="M851" s="43"/>
      <c r="N851" s="43"/>
      <c r="O851" s="43"/>
      <c r="P851" s="43"/>
      <c r="Q851" s="43"/>
      <c r="R851" s="43"/>
      <c r="S851" s="43"/>
      <c r="T851" s="43"/>
      <c r="U851" s="43"/>
      <c r="V851" s="43"/>
      <c r="W851" s="43"/>
      <c r="X851" s="43"/>
      <c r="Y851" s="43"/>
      <c r="Z851" s="43"/>
      <c r="AA851" s="187"/>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row>
    <row r="852" spans="1:49" ht="13">
      <c r="A852" s="43"/>
      <c r="B852" s="43"/>
      <c r="C852" s="186"/>
      <c r="D852" s="43"/>
      <c r="E852" s="43"/>
      <c r="F852" s="43"/>
      <c r="G852" s="43"/>
      <c r="H852" s="43"/>
      <c r="I852" s="187"/>
      <c r="J852" s="188"/>
      <c r="K852" s="43"/>
      <c r="L852" s="43"/>
      <c r="M852" s="43"/>
      <c r="N852" s="43"/>
      <c r="O852" s="43"/>
      <c r="P852" s="43"/>
      <c r="Q852" s="43"/>
      <c r="R852" s="43"/>
      <c r="S852" s="43"/>
      <c r="T852" s="43"/>
      <c r="U852" s="43"/>
      <c r="V852" s="43"/>
      <c r="W852" s="43"/>
      <c r="X852" s="43"/>
      <c r="Y852" s="43"/>
      <c r="Z852" s="43"/>
      <c r="AA852" s="187"/>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row>
    <row r="853" spans="1:49" ht="13">
      <c r="A853" s="43"/>
      <c r="B853" s="43"/>
      <c r="C853" s="186"/>
      <c r="D853" s="43"/>
      <c r="E853" s="43"/>
      <c r="F853" s="43"/>
      <c r="G853" s="43"/>
      <c r="H853" s="43"/>
      <c r="I853" s="187"/>
      <c r="J853" s="188"/>
      <c r="K853" s="43"/>
      <c r="L853" s="43"/>
      <c r="M853" s="43"/>
      <c r="N853" s="43"/>
      <c r="O853" s="43"/>
      <c r="P853" s="43"/>
      <c r="Q853" s="43"/>
      <c r="R853" s="43"/>
      <c r="S853" s="43"/>
      <c r="T853" s="43"/>
      <c r="U853" s="43"/>
      <c r="V853" s="43"/>
      <c r="W853" s="43"/>
      <c r="X853" s="43"/>
      <c r="Y853" s="43"/>
      <c r="Z853" s="43"/>
      <c r="AA853" s="187"/>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row>
    <row r="854" spans="1:49" ht="13">
      <c r="A854" s="43"/>
      <c r="B854" s="43"/>
      <c r="C854" s="186"/>
      <c r="D854" s="43"/>
      <c r="E854" s="43"/>
      <c r="F854" s="43"/>
      <c r="G854" s="43"/>
      <c r="H854" s="43"/>
      <c r="I854" s="187"/>
      <c r="J854" s="188"/>
      <c r="K854" s="43"/>
      <c r="L854" s="43"/>
      <c r="M854" s="43"/>
      <c r="N854" s="43"/>
      <c r="O854" s="43"/>
      <c r="P854" s="43"/>
      <c r="Q854" s="43"/>
      <c r="R854" s="43"/>
      <c r="S854" s="43"/>
      <c r="T854" s="43"/>
      <c r="U854" s="43"/>
      <c r="V854" s="43"/>
      <c r="W854" s="43"/>
      <c r="X854" s="43"/>
      <c r="Y854" s="43"/>
      <c r="Z854" s="43"/>
      <c r="AA854" s="187"/>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row>
    <row r="855" spans="1:49" ht="13">
      <c r="A855" s="43"/>
      <c r="B855" s="43"/>
      <c r="C855" s="186"/>
      <c r="D855" s="43"/>
      <c r="E855" s="43"/>
      <c r="F855" s="43"/>
      <c r="G855" s="43"/>
      <c r="H855" s="43"/>
      <c r="I855" s="187"/>
      <c r="J855" s="188"/>
      <c r="K855" s="43"/>
      <c r="L855" s="43"/>
      <c r="M855" s="43"/>
      <c r="N855" s="43"/>
      <c r="O855" s="43"/>
      <c r="P855" s="43"/>
      <c r="Q855" s="43"/>
      <c r="R855" s="43"/>
      <c r="S855" s="43"/>
      <c r="T855" s="43"/>
      <c r="U855" s="43"/>
      <c r="V855" s="43"/>
      <c r="W855" s="43"/>
      <c r="X855" s="43"/>
      <c r="Y855" s="43"/>
      <c r="Z855" s="43"/>
      <c r="AA855" s="187"/>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row>
    <row r="856" spans="1:49" ht="13">
      <c r="A856" s="43"/>
      <c r="B856" s="43"/>
      <c r="C856" s="186"/>
      <c r="D856" s="43"/>
      <c r="E856" s="43"/>
      <c r="F856" s="43"/>
      <c r="G856" s="43"/>
      <c r="H856" s="43"/>
      <c r="I856" s="187"/>
      <c r="J856" s="188"/>
      <c r="K856" s="43"/>
      <c r="L856" s="43"/>
      <c r="M856" s="43"/>
      <c r="N856" s="43"/>
      <c r="O856" s="43"/>
      <c r="P856" s="43"/>
      <c r="Q856" s="43"/>
      <c r="R856" s="43"/>
      <c r="S856" s="43"/>
      <c r="T856" s="43"/>
      <c r="U856" s="43"/>
      <c r="V856" s="43"/>
      <c r="W856" s="43"/>
      <c r="X856" s="43"/>
      <c r="Y856" s="43"/>
      <c r="Z856" s="43"/>
      <c r="AA856" s="187"/>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row>
    <row r="857" spans="1:49" ht="13">
      <c r="A857" s="43"/>
      <c r="B857" s="43"/>
      <c r="C857" s="186"/>
      <c r="D857" s="43"/>
      <c r="E857" s="43"/>
      <c r="F857" s="43"/>
      <c r="G857" s="43"/>
      <c r="H857" s="43"/>
      <c r="I857" s="187"/>
      <c r="J857" s="188"/>
      <c r="K857" s="43"/>
      <c r="L857" s="43"/>
      <c r="M857" s="43"/>
      <c r="N857" s="43"/>
      <c r="O857" s="43"/>
      <c r="P857" s="43"/>
      <c r="Q857" s="43"/>
      <c r="R857" s="43"/>
      <c r="S857" s="43"/>
      <c r="T857" s="43"/>
      <c r="U857" s="43"/>
      <c r="V857" s="43"/>
      <c r="W857" s="43"/>
      <c r="X857" s="43"/>
      <c r="Y857" s="43"/>
      <c r="Z857" s="43"/>
      <c r="AA857" s="187"/>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row>
    <row r="858" spans="1:49" ht="13">
      <c r="A858" s="43"/>
      <c r="B858" s="43"/>
      <c r="C858" s="186"/>
      <c r="D858" s="43"/>
      <c r="E858" s="43"/>
      <c r="F858" s="43"/>
      <c r="G858" s="43"/>
      <c r="H858" s="43"/>
      <c r="I858" s="187"/>
      <c r="J858" s="188"/>
      <c r="K858" s="43"/>
      <c r="L858" s="43"/>
      <c r="M858" s="43"/>
      <c r="N858" s="43"/>
      <c r="O858" s="43"/>
      <c r="P858" s="43"/>
      <c r="Q858" s="43"/>
      <c r="R858" s="43"/>
      <c r="S858" s="43"/>
      <c r="T858" s="43"/>
      <c r="U858" s="43"/>
      <c r="V858" s="43"/>
      <c r="W858" s="43"/>
      <c r="X858" s="43"/>
      <c r="Y858" s="43"/>
      <c r="Z858" s="43"/>
      <c r="AA858" s="187"/>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row>
    <row r="859" spans="1:49" ht="13">
      <c r="A859" s="43"/>
      <c r="B859" s="43"/>
      <c r="C859" s="186"/>
      <c r="D859" s="43"/>
      <c r="E859" s="43"/>
      <c r="F859" s="43"/>
      <c r="G859" s="43"/>
      <c r="H859" s="43"/>
      <c r="I859" s="187"/>
      <c r="J859" s="188"/>
      <c r="K859" s="43"/>
      <c r="L859" s="43"/>
      <c r="M859" s="43"/>
      <c r="N859" s="43"/>
      <c r="O859" s="43"/>
      <c r="P859" s="43"/>
      <c r="Q859" s="43"/>
      <c r="R859" s="43"/>
      <c r="S859" s="43"/>
      <c r="T859" s="43"/>
      <c r="U859" s="43"/>
      <c r="V859" s="43"/>
      <c r="W859" s="43"/>
      <c r="X859" s="43"/>
      <c r="Y859" s="43"/>
      <c r="Z859" s="43"/>
      <c r="AA859" s="187"/>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row>
    <row r="860" spans="1:49" ht="13">
      <c r="A860" s="43"/>
      <c r="B860" s="43"/>
      <c r="C860" s="186"/>
      <c r="D860" s="43"/>
      <c r="E860" s="43"/>
      <c r="F860" s="43"/>
      <c r="G860" s="43"/>
      <c r="H860" s="43"/>
      <c r="I860" s="187"/>
      <c r="J860" s="188"/>
      <c r="K860" s="43"/>
      <c r="L860" s="43"/>
      <c r="M860" s="43"/>
      <c r="N860" s="43"/>
      <c r="O860" s="43"/>
      <c r="P860" s="43"/>
      <c r="Q860" s="43"/>
      <c r="R860" s="43"/>
      <c r="S860" s="43"/>
      <c r="T860" s="43"/>
      <c r="U860" s="43"/>
      <c r="V860" s="43"/>
      <c r="W860" s="43"/>
      <c r="X860" s="43"/>
      <c r="Y860" s="43"/>
      <c r="Z860" s="43"/>
      <c r="AA860" s="187"/>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row>
    <row r="861" spans="1:49" ht="13">
      <c r="A861" s="43"/>
      <c r="B861" s="43"/>
      <c r="C861" s="186"/>
      <c r="D861" s="43"/>
      <c r="E861" s="43"/>
      <c r="F861" s="43"/>
      <c r="G861" s="43"/>
      <c r="H861" s="43"/>
      <c r="I861" s="187"/>
      <c r="J861" s="188"/>
      <c r="K861" s="43"/>
      <c r="L861" s="43"/>
      <c r="M861" s="43"/>
      <c r="N861" s="43"/>
      <c r="O861" s="43"/>
      <c r="P861" s="43"/>
      <c r="Q861" s="43"/>
      <c r="R861" s="43"/>
      <c r="S861" s="43"/>
      <c r="T861" s="43"/>
      <c r="U861" s="43"/>
      <c r="V861" s="43"/>
      <c r="W861" s="43"/>
      <c r="X861" s="43"/>
      <c r="Y861" s="43"/>
      <c r="Z861" s="43"/>
      <c r="AA861" s="187"/>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row>
    <row r="862" spans="1:49" ht="13">
      <c r="A862" s="43"/>
      <c r="B862" s="43"/>
      <c r="C862" s="186"/>
      <c r="D862" s="43"/>
      <c r="E862" s="43"/>
      <c r="F862" s="43"/>
      <c r="G862" s="43"/>
      <c r="H862" s="43"/>
      <c r="I862" s="187"/>
      <c r="J862" s="188"/>
      <c r="K862" s="43"/>
      <c r="L862" s="43"/>
      <c r="M862" s="43"/>
      <c r="N862" s="43"/>
      <c r="O862" s="43"/>
      <c r="P862" s="43"/>
      <c r="Q862" s="43"/>
      <c r="R862" s="43"/>
      <c r="S862" s="43"/>
      <c r="T862" s="43"/>
      <c r="U862" s="43"/>
      <c r="V862" s="43"/>
      <c r="W862" s="43"/>
      <c r="X862" s="43"/>
      <c r="Y862" s="43"/>
      <c r="Z862" s="43"/>
      <c r="AA862" s="187"/>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row>
    <row r="863" spans="1:49" ht="13">
      <c r="A863" s="43"/>
      <c r="B863" s="43"/>
      <c r="C863" s="186"/>
      <c r="D863" s="43"/>
      <c r="E863" s="43"/>
      <c r="F863" s="43"/>
      <c r="G863" s="43"/>
      <c r="H863" s="43"/>
      <c r="I863" s="187"/>
      <c r="J863" s="188"/>
      <c r="K863" s="43"/>
      <c r="L863" s="43"/>
      <c r="M863" s="43"/>
      <c r="N863" s="43"/>
      <c r="O863" s="43"/>
      <c r="P863" s="43"/>
      <c r="Q863" s="43"/>
      <c r="R863" s="43"/>
      <c r="S863" s="43"/>
      <c r="T863" s="43"/>
      <c r="U863" s="43"/>
      <c r="V863" s="43"/>
      <c r="W863" s="43"/>
      <c r="X863" s="43"/>
      <c r="Y863" s="43"/>
      <c r="Z863" s="43"/>
      <c r="AA863" s="187"/>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row>
    <row r="864" spans="1:49" ht="13">
      <c r="A864" s="43"/>
      <c r="B864" s="43"/>
      <c r="C864" s="186"/>
      <c r="D864" s="43"/>
      <c r="E864" s="43"/>
      <c r="F864" s="43"/>
      <c r="G864" s="43"/>
      <c r="H864" s="43"/>
      <c r="I864" s="187"/>
      <c r="J864" s="188"/>
      <c r="K864" s="43"/>
      <c r="L864" s="43"/>
      <c r="M864" s="43"/>
      <c r="N864" s="43"/>
      <c r="O864" s="43"/>
      <c r="P864" s="43"/>
      <c r="Q864" s="43"/>
      <c r="R864" s="43"/>
      <c r="S864" s="43"/>
      <c r="T864" s="43"/>
      <c r="U864" s="43"/>
      <c r="V864" s="43"/>
      <c r="W864" s="43"/>
      <c r="X864" s="43"/>
      <c r="Y864" s="43"/>
      <c r="Z864" s="43"/>
      <c r="AA864" s="187"/>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row>
    <row r="865" spans="1:49" ht="13">
      <c r="A865" s="43"/>
      <c r="B865" s="43"/>
      <c r="C865" s="186"/>
      <c r="D865" s="43"/>
      <c r="E865" s="43"/>
      <c r="F865" s="43"/>
      <c r="G865" s="43"/>
      <c r="H865" s="43"/>
      <c r="I865" s="187"/>
      <c r="J865" s="188"/>
      <c r="K865" s="43"/>
      <c r="L865" s="43"/>
      <c r="M865" s="43"/>
      <c r="N865" s="43"/>
      <c r="O865" s="43"/>
      <c r="P865" s="43"/>
      <c r="Q865" s="43"/>
      <c r="R865" s="43"/>
      <c r="S865" s="43"/>
      <c r="T865" s="43"/>
      <c r="U865" s="43"/>
      <c r="V865" s="43"/>
      <c r="W865" s="43"/>
      <c r="X865" s="43"/>
      <c r="Y865" s="43"/>
      <c r="Z865" s="43"/>
      <c r="AA865" s="187"/>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row>
    <row r="866" spans="1:49" ht="13">
      <c r="A866" s="43"/>
      <c r="B866" s="43"/>
      <c r="C866" s="186"/>
      <c r="D866" s="43"/>
      <c r="E866" s="43"/>
      <c r="F866" s="43"/>
      <c r="G866" s="43"/>
      <c r="H866" s="43"/>
      <c r="I866" s="187"/>
      <c r="J866" s="188"/>
      <c r="K866" s="43"/>
      <c r="L866" s="43"/>
      <c r="M866" s="43"/>
      <c r="N866" s="43"/>
      <c r="O866" s="43"/>
      <c r="P866" s="43"/>
      <c r="Q866" s="43"/>
      <c r="R866" s="43"/>
      <c r="S866" s="43"/>
      <c r="T866" s="43"/>
      <c r="U866" s="43"/>
      <c r="V866" s="43"/>
      <c r="W866" s="43"/>
      <c r="X866" s="43"/>
      <c r="Y866" s="43"/>
      <c r="Z866" s="43"/>
      <c r="AA866" s="187"/>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row>
    <row r="867" spans="1:49" ht="13">
      <c r="A867" s="43"/>
      <c r="B867" s="43"/>
      <c r="C867" s="186"/>
      <c r="D867" s="43"/>
      <c r="E867" s="43"/>
      <c r="F867" s="43"/>
      <c r="G867" s="43"/>
      <c r="H867" s="43"/>
      <c r="I867" s="187"/>
      <c r="J867" s="188"/>
      <c r="K867" s="43"/>
      <c r="L867" s="43"/>
      <c r="M867" s="43"/>
      <c r="N867" s="43"/>
      <c r="O867" s="43"/>
      <c r="P867" s="43"/>
      <c r="Q867" s="43"/>
      <c r="R867" s="43"/>
      <c r="S867" s="43"/>
      <c r="T867" s="43"/>
      <c r="U867" s="43"/>
      <c r="V867" s="43"/>
      <c r="W867" s="43"/>
      <c r="X867" s="43"/>
      <c r="Y867" s="43"/>
      <c r="Z867" s="43"/>
      <c r="AA867" s="187"/>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row>
    <row r="868" spans="1:49" ht="13">
      <c r="A868" s="43"/>
      <c r="B868" s="43"/>
      <c r="C868" s="186"/>
      <c r="D868" s="43"/>
      <c r="E868" s="43"/>
      <c r="F868" s="43"/>
      <c r="G868" s="43"/>
      <c r="H868" s="43"/>
      <c r="I868" s="187"/>
      <c r="J868" s="188"/>
      <c r="K868" s="43"/>
      <c r="L868" s="43"/>
      <c r="M868" s="43"/>
      <c r="N868" s="43"/>
      <c r="O868" s="43"/>
      <c r="P868" s="43"/>
      <c r="Q868" s="43"/>
      <c r="R868" s="43"/>
      <c r="S868" s="43"/>
      <c r="T868" s="43"/>
      <c r="U868" s="43"/>
      <c r="V868" s="43"/>
      <c r="W868" s="43"/>
      <c r="X868" s="43"/>
      <c r="Y868" s="43"/>
      <c r="Z868" s="43"/>
      <c r="AA868" s="187"/>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row>
    <row r="869" spans="1:49" ht="13">
      <c r="A869" s="43"/>
      <c r="B869" s="43"/>
      <c r="C869" s="186"/>
      <c r="D869" s="43"/>
      <c r="E869" s="43"/>
      <c r="F869" s="43"/>
      <c r="G869" s="43"/>
      <c r="H869" s="43"/>
      <c r="I869" s="187"/>
      <c r="J869" s="188"/>
      <c r="K869" s="43"/>
      <c r="L869" s="43"/>
      <c r="M869" s="43"/>
      <c r="N869" s="43"/>
      <c r="O869" s="43"/>
      <c r="P869" s="43"/>
      <c r="Q869" s="43"/>
      <c r="R869" s="43"/>
      <c r="S869" s="43"/>
      <c r="T869" s="43"/>
      <c r="U869" s="43"/>
      <c r="V869" s="43"/>
      <c r="W869" s="43"/>
      <c r="X869" s="43"/>
      <c r="Y869" s="43"/>
      <c r="Z869" s="43"/>
      <c r="AA869" s="187"/>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row>
    <row r="870" spans="1:49" ht="13">
      <c r="A870" s="43"/>
      <c r="B870" s="43"/>
      <c r="C870" s="186"/>
      <c r="D870" s="43"/>
      <c r="E870" s="43"/>
      <c r="F870" s="43"/>
      <c r="G870" s="43"/>
      <c r="H870" s="43"/>
      <c r="I870" s="187"/>
      <c r="J870" s="188"/>
      <c r="K870" s="43"/>
      <c r="L870" s="43"/>
      <c r="M870" s="43"/>
      <c r="N870" s="43"/>
      <c r="O870" s="43"/>
      <c r="P870" s="43"/>
      <c r="Q870" s="43"/>
      <c r="R870" s="43"/>
      <c r="S870" s="43"/>
      <c r="T870" s="43"/>
      <c r="U870" s="43"/>
      <c r="V870" s="43"/>
      <c r="W870" s="43"/>
      <c r="X870" s="43"/>
      <c r="Y870" s="43"/>
      <c r="Z870" s="43"/>
      <c r="AA870" s="187"/>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row>
    <row r="871" spans="1:49" ht="13">
      <c r="A871" s="43"/>
      <c r="B871" s="43"/>
      <c r="C871" s="186"/>
      <c r="D871" s="43"/>
      <c r="E871" s="43"/>
      <c r="F871" s="43"/>
      <c r="G871" s="43"/>
      <c r="H871" s="43"/>
      <c r="I871" s="187"/>
      <c r="J871" s="188"/>
      <c r="K871" s="43"/>
      <c r="L871" s="43"/>
      <c r="M871" s="43"/>
      <c r="N871" s="43"/>
      <c r="O871" s="43"/>
      <c r="P871" s="43"/>
      <c r="Q871" s="43"/>
      <c r="R871" s="43"/>
      <c r="S871" s="43"/>
      <c r="T871" s="43"/>
      <c r="U871" s="43"/>
      <c r="V871" s="43"/>
      <c r="W871" s="43"/>
      <c r="X871" s="43"/>
      <c r="Y871" s="43"/>
      <c r="Z871" s="43"/>
      <c r="AA871" s="187"/>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row>
    <row r="872" spans="1:49" ht="13">
      <c r="A872" s="43"/>
      <c r="B872" s="43"/>
      <c r="C872" s="186"/>
      <c r="D872" s="43"/>
      <c r="E872" s="43"/>
      <c r="F872" s="43"/>
      <c r="G872" s="43"/>
      <c r="H872" s="43"/>
      <c r="I872" s="187"/>
      <c r="J872" s="188"/>
      <c r="K872" s="43"/>
      <c r="L872" s="43"/>
      <c r="M872" s="43"/>
      <c r="N872" s="43"/>
      <c r="O872" s="43"/>
      <c r="P872" s="43"/>
      <c r="Q872" s="43"/>
      <c r="R872" s="43"/>
      <c r="S872" s="43"/>
      <c r="T872" s="43"/>
      <c r="U872" s="43"/>
      <c r="V872" s="43"/>
      <c r="W872" s="43"/>
      <c r="X872" s="43"/>
      <c r="Y872" s="43"/>
      <c r="Z872" s="43"/>
      <c r="AA872" s="187"/>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row>
    <row r="873" spans="1:49" ht="13">
      <c r="A873" s="43"/>
      <c r="B873" s="43"/>
      <c r="C873" s="186"/>
      <c r="D873" s="43"/>
      <c r="E873" s="43"/>
      <c r="F873" s="43"/>
      <c r="G873" s="43"/>
      <c r="H873" s="43"/>
      <c r="I873" s="187"/>
      <c r="J873" s="188"/>
      <c r="K873" s="43"/>
      <c r="L873" s="43"/>
      <c r="M873" s="43"/>
      <c r="N873" s="43"/>
      <c r="O873" s="43"/>
      <c r="P873" s="43"/>
      <c r="Q873" s="43"/>
      <c r="R873" s="43"/>
      <c r="S873" s="43"/>
      <c r="T873" s="43"/>
      <c r="U873" s="43"/>
      <c r="V873" s="43"/>
      <c r="W873" s="43"/>
      <c r="X873" s="43"/>
      <c r="Y873" s="43"/>
      <c r="Z873" s="43"/>
      <c r="AA873" s="187"/>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row>
    <row r="874" spans="1:49" ht="13">
      <c r="A874" s="43"/>
      <c r="B874" s="43"/>
      <c r="C874" s="186"/>
      <c r="D874" s="43"/>
      <c r="E874" s="43"/>
      <c r="F874" s="43"/>
      <c r="G874" s="43"/>
      <c r="H874" s="43"/>
      <c r="I874" s="187"/>
      <c r="J874" s="188"/>
      <c r="K874" s="43"/>
      <c r="L874" s="43"/>
      <c r="M874" s="43"/>
      <c r="N874" s="43"/>
      <c r="O874" s="43"/>
      <c r="P874" s="43"/>
      <c r="Q874" s="43"/>
      <c r="R874" s="43"/>
      <c r="S874" s="43"/>
      <c r="T874" s="43"/>
      <c r="U874" s="43"/>
      <c r="V874" s="43"/>
      <c r="W874" s="43"/>
      <c r="X874" s="43"/>
      <c r="Y874" s="43"/>
      <c r="Z874" s="43"/>
      <c r="AA874" s="187"/>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row>
    <row r="875" spans="1:49" ht="13">
      <c r="A875" s="43"/>
      <c r="B875" s="43"/>
      <c r="C875" s="186"/>
      <c r="D875" s="43"/>
      <c r="E875" s="43"/>
      <c r="F875" s="43"/>
      <c r="G875" s="43"/>
      <c r="H875" s="43"/>
      <c r="I875" s="187"/>
      <c r="J875" s="188"/>
      <c r="K875" s="43"/>
      <c r="L875" s="43"/>
      <c r="M875" s="43"/>
      <c r="N875" s="43"/>
      <c r="O875" s="43"/>
      <c r="P875" s="43"/>
      <c r="Q875" s="43"/>
      <c r="R875" s="43"/>
      <c r="S875" s="43"/>
      <c r="T875" s="43"/>
      <c r="U875" s="43"/>
      <c r="V875" s="43"/>
      <c r="W875" s="43"/>
      <c r="X875" s="43"/>
      <c r="Y875" s="43"/>
      <c r="Z875" s="43"/>
      <c r="AA875" s="187"/>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row>
    <row r="876" spans="1:49" ht="13">
      <c r="A876" s="43"/>
      <c r="B876" s="43"/>
      <c r="C876" s="186"/>
      <c r="D876" s="43"/>
      <c r="E876" s="43"/>
      <c r="F876" s="43"/>
      <c r="G876" s="43"/>
      <c r="H876" s="43"/>
      <c r="I876" s="187"/>
      <c r="J876" s="188"/>
      <c r="K876" s="43"/>
      <c r="L876" s="43"/>
      <c r="M876" s="43"/>
      <c r="N876" s="43"/>
      <c r="O876" s="43"/>
      <c r="P876" s="43"/>
      <c r="Q876" s="43"/>
      <c r="R876" s="43"/>
      <c r="S876" s="43"/>
      <c r="T876" s="43"/>
      <c r="U876" s="43"/>
      <c r="V876" s="43"/>
      <c r="W876" s="43"/>
      <c r="X876" s="43"/>
      <c r="Y876" s="43"/>
      <c r="Z876" s="43"/>
      <c r="AA876" s="187"/>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row>
    <row r="877" spans="1:49" ht="13">
      <c r="A877" s="43"/>
      <c r="B877" s="43"/>
      <c r="C877" s="186"/>
      <c r="D877" s="43"/>
      <c r="E877" s="43"/>
      <c r="F877" s="43"/>
      <c r="G877" s="43"/>
      <c r="H877" s="43"/>
      <c r="I877" s="187"/>
      <c r="J877" s="188"/>
      <c r="K877" s="43"/>
      <c r="L877" s="43"/>
      <c r="M877" s="43"/>
      <c r="N877" s="43"/>
      <c r="O877" s="43"/>
      <c r="P877" s="43"/>
      <c r="Q877" s="43"/>
      <c r="R877" s="43"/>
      <c r="S877" s="43"/>
      <c r="T877" s="43"/>
      <c r="U877" s="43"/>
      <c r="V877" s="43"/>
      <c r="W877" s="43"/>
      <c r="X877" s="43"/>
      <c r="Y877" s="43"/>
      <c r="Z877" s="43"/>
      <c r="AA877" s="187"/>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row>
    <row r="878" spans="1:49" ht="13">
      <c r="A878" s="43"/>
      <c r="B878" s="43"/>
      <c r="C878" s="186"/>
      <c r="D878" s="43"/>
      <c r="E878" s="43"/>
      <c r="F878" s="43"/>
      <c r="G878" s="43"/>
      <c r="H878" s="43"/>
      <c r="I878" s="187"/>
      <c r="J878" s="188"/>
      <c r="K878" s="43"/>
      <c r="L878" s="43"/>
      <c r="M878" s="43"/>
      <c r="N878" s="43"/>
      <c r="O878" s="43"/>
      <c r="P878" s="43"/>
      <c r="Q878" s="43"/>
      <c r="R878" s="43"/>
      <c r="S878" s="43"/>
      <c r="T878" s="43"/>
      <c r="U878" s="43"/>
      <c r="V878" s="43"/>
      <c r="W878" s="43"/>
      <c r="X878" s="43"/>
      <c r="Y878" s="43"/>
      <c r="Z878" s="43"/>
      <c r="AA878" s="187"/>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row>
    <row r="879" spans="1:49" ht="13">
      <c r="A879" s="43"/>
      <c r="B879" s="43"/>
      <c r="C879" s="186"/>
      <c r="D879" s="43"/>
      <c r="E879" s="43"/>
      <c r="F879" s="43"/>
      <c r="G879" s="43"/>
      <c r="H879" s="43"/>
      <c r="I879" s="187"/>
      <c r="J879" s="188"/>
      <c r="K879" s="43"/>
      <c r="L879" s="43"/>
      <c r="M879" s="43"/>
      <c r="N879" s="43"/>
      <c r="O879" s="43"/>
      <c r="P879" s="43"/>
      <c r="Q879" s="43"/>
      <c r="R879" s="43"/>
      <c r="S879" s="43"/>
      <c r="T879" s="43"/>
      <c r="U879" s="43"/>
      <c r="V879" s="43"/>
      <c r="W879" s="43"/>
      <c r="X879" s="43"/>
      <c r="Y879" s="43"/>
      <c r="Z879" s="43"/>
      <c r="AA879" s="187"/>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row>
    <row r="880" spans="1:49" ht="13">
      <c r="A880" s="43"/>
      <c r="B880" s="43"/>
      <c r="C880" s="186"/>
      <c r="D880" s="43"/>
      <c r="E880" s="43"/>
      <c r="F880" s="43"/>
      <c r="G880" s="43"/>
      <c r="H880" s="43"/>
      <c r="I880" s="187"/>
      <c r="J880" s="188"/>
      <c r="K880" s="43"/>
      <c r="L880" s="43"/>
      <c r="M880" s="43"/>
      <c r="N880" s="43"/>
      <c r="O880" s="43"/>
      <c r="P880" s="43"/>
      <c r="Q880" s="43"/>
      <c r="R880" s="43"/>
      <c r="S880" s="43"/>
      <c r="T880" s="43"/>
      <c r="U880" s="43"/>
      <c r="V880" s="43"/>
      <c r="W880" s="43"/>
      <c r="X880" s="43"/>
      <c r="Y880" s="43"/>
      <c r="Z880" s="43"/>
      <c r="AA880" s="187"/>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row>
    <row r="881" spans="1:49" ht="13">
      <c r="A881" s="43"/>
      <c r="B881" s="43"/>
      <c r="C881" s="186"/>
      <c r="D881" s="43"/>
      <c r="E881" s="43"/>
      <c r="F881" s="43"/>
      <c r="G881" s="43"/>
      <c r="H881" s="43"/>
      <c r="I881" s="187"/>
      <c r="J881" s="188"/>
      <c r="K881" s="43"/>
      <c r="L881" s="43"/>
      <c r="M881" s="43"/>
      <c r="N881" s="43"/>
      <c r="O881" s="43"/>
      <c r="P881" s="43"/>
      <c r="Q881" s="43"/>
      <c r="R881" s="43"/>
      <c r="S881" s="43"/>
      <c r="T881" s="43"/>
      <c r="U881" s="43"/>
      <c r="V881" s="43"/>
      <c r="W881" s="43"/>
      <c r="X881" s="43"/>
      <c r="Y881" s="43"/>
      <c r="Z881" s="43"/>
      <c r="AA881" s="187"/>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row>
    <row r="882" spans="1:49" ht="13">
      <c r="A882" s="43"/>
      <c r="B882" s="43"/>
      <c r="C882" s="186"/>
      <c r="D882" s="43"/>
      <c r="E882" s="43"/>
      <c r="F882" s="43"/>
      <c r="G882" s="43"/>
      <c r="H882" s="43"/>
      <c r="I882" s="187"/>
      <c r="J882" s="188"/>
      <c r="K882" s="43"/>
      <c r="L882" s="43"/>
      <c r="M882" s="43"/>
      <c r="N882" s="43"/>
      <c r="O882" s="43"/>
      <c r="P882" s="43"/>
      <c r="Q882" s="43"/>
      <c r="R882" s="43"/>
      <c r="S882" s="43"/>
      <c r="T882" s="43"/>
      <c r="U882" s="43"/>
      <c r="V882" s="43"/>
      <c r="W882" s="43"/>
      <c r="X882" s="43"/>
      <c r="Y882" s="43"/>
      <c r="Z882" s="43"/>
      <c r="AA882" s="187"/>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row>
    <row r="883" spans="1:49" ht="13">
      <c r="A883" s="43"/>
      <c r="B883" s="43"/>
      <c r="C883" s="186"/>
      <c r="D883" s="43"/>
      <c r="E883" s="43"/>
      <c r="F883" s="43"/>
      <c r="G883" s="43"/>
      <c r="H883" s="43"/>
      <c r="I883" s="187"/>
      <c r="J883" s="188"/>
      <c r="K883" s="43"/>
      <c r="L883" s="43"/>
      <c r="M883" s="43"/>
      <c r="N883" s="43"/>
      <c r="O883" s="43"/>
      <c r="P883" s="43"/>
      <c r="Q883" s="43"/>
      <c r="R883" s="43"/>
      <c r="S883" s="43"/>
      <c r="T883" s="43"/>
      <c r="U883" s="43"/>
      <c r="V883" s="43"/>
      <c r="W883" s="43"/>
      <c r="X883" s="43"/>
      <c r="Y883" s="43"/>
      <c r="Z883" s="43"/>
      <c r="AA883" s="187"/>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row>
    <row r="884" spans="1:49" ht="13">
      <c r="A884" s="43"/>
      <c r="B884" s="43"/>
      <c r="C884" s="186"/>
      <c r="D884" s="43"/>
      <c r="E884" s="43"/>
      <c r="F884" s="43"/>
      <c r="G884" s="43"/>
      <c r="H884" s="43"/>
      <c r="I884" s="187"/>
      <c r="J884" s="188"/>
      <c r="K884" s="43"/>
      <c r="L884" s="43"/>
      <c r="M884" s="43"/>
      <c r="N884" s="43"/>
      <c r="O884" s="43"/>
      <c r="P884" s="43"/>
      <c r="Q884" s="43"/>
      <c r="R884" s="43"/>
      <c r="S884" s="43"/>
      <c r="T884" s="43"/>
      <c r="U884" s="43"/>
      <c r="V884" s="43"/>
      <c r="W884" s="43"/>
      <c r="X884" s="43"/>
      <c r="Y884" s="43"/>
      <c r="Z884" s="43"/>
      <c r="AA884" s="187"/>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row>
    <row r="885" spans="1:49" ht="13">
      <c r="A885" s="43"/>
      <c r="B885" s="43"/>
      <c r="C885" s="186"/>
      <c r="D885" s="43"/>
      <c r="E885" s="43"/>
      <c r="F885" s="43"/>
      <c r="G885" s="43"/>
      <c r="H885" s="43"/>
      <c r="I885" s="187"/>
      <c r="J885" s="188"/>
      <c r="K885" s="43"/>
      <c r="L885" s="43"/>
      <c r="M885" s="43"/>
      <c r="N885" s="43"/>
      <c r="O885" s="43"/>
      <c r="P885" s="43"/>
      <c r="Q885" s="43"/>
      <c r="R885" s="43"/>
      <c r="S885" s="43"/>
      <c r="T885" s="43"/>
      <c r="U885" s="43"/>
      <c r="V885" s="43"/>
      <c r="W885" s="43"/>
      <c r="X885" s="43"/>
      <c r="Y885" s="43"/>
      <c r="Z885" s="43"/>
      <c r="AA885" s="187"/>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row>
    <row r="886" spans="1:49" ht="13">
      <c r="A886" s="43"/>
      <c r="B886" s="43"/>
      <c r="C886" s="186"/>
      <c r="D886" s="43"/>
      <c r="E886" s="43"/>
      <c r="F886" s="43"/>
      <c r="G886" s="43"/>
      <c r="H886" s="43"/>
      <c r="I886" s="187"/>
      <c r="J886" s="188"/>
      <c r="K886" s="43"/>
      <c r="L886" s="43"/>
      <c r="M886" s="43"/>
      <c r="N886" s="43"/>
      <c r="O886" s="43"/>
      <c r="P886" s="43"/>
      <c r="Q886" s="43"/>
      <c r="R886" s="43"/>
      <c r="S886" s="43"/>
      <c r="T886" s="43"/>
      <c r="U886" s="43"/>
      <c r="V886" s="43"/>
      <c r="W886" s="43"/>
      <c r="X886" s="43"/>
      <c r="Y886" s="43"/>
      <c r="Z886" s="43"/>
      <c r="AA886" s="187"/>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row>
    <row r="887" spans="1:49" ht="13">
      <c r="A887" s="43"/>
      <c r="B887" s="43"/>
      <c r="C887" s="186"/>
      <c r="D887" s="43"/>
      <c r="E887" s="43"/>
      <c r="F887" s="43"/>
      <c r="G887" s="43"/>
      <c r="H887" s="43"/>
      <c r="I887" s="187"/>
      <c r="J887" s="188"/>
      <c r="K887" s="43"/>
      <c r="L887" s="43"/>
      <c r="M887" s="43"/>
      <c r="N887" s="43"/>
      <c r="O887" s="43"/>
      <c r="P887" s="43"/>
      <c r="Q887" s="43"/>
      <c r="R887" s="43"/>
      <c r="S887" s="43"/>
      <c r="T887" s="43"/>
      <c r="U887" s="43"/>
      <c r="V887" s="43"/>
      <c r="W887" s="43"/>
      <c r="X887" s="43"/>
      <c r="Y887" s="43"/>
      <c r="Z887" s="43"/>
      <c r="AA887" s="187"/>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row>
    <row r="888" spans="1:49" ht="13">
      <c r="A888" s="43"/>
      <c r="B888" s="43"/>
      <c r="C888" s="186"/>
      <c r="D888" s="43"/>
      <c r="E888" s="43"/>
      <c r="F888" s="43"/>
      <c r="G888" s="43"/>
      <c r="H888" s="43"/>
      <c r="I888" s="187"/>
      <c r="J888" s="188"/>
      <c r="K888" s="43"/>
      <c r="L888" s="43"/>
      <c r="M888" s="43"/>
      <c r="N888" s="43"/>
      <c r="O888" s="43"/>
      <c r="P888" s="43"/>
      <c r="Q888" s="43"/>
      <c r="R888" s="43"/>
      <c r="S888" s="43"/>
      <c r="T888" s="43"/>
      <c r="U888" s="43"/>
      <c r="V888" s="43"/>
      <c r="W888" s="43"/>
      <c r="X888" s="43"/>
      <c r="Y888" s="43"/>
      <c r="Z888" s="43"/>
      <c r="AA888" s="187"/>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row>
    <row r="889" spans="1:49" ht="13">
      <c r="A889" s="43"/>
      <c r="B889" s="43"/>
      <c r="C889" s="186"/>
      <c r="D889" s="43"/>
      <c r="E889" s="43"/>
      <c r="F889" s="43"/>
      <c r="G889" s="43"/>
      <c r="H889" s="43"/>
      <c r="I889" s="187"/>
      <c r="J889" s="188"/>
      <c r="K889" s="43"/>
      <c r="L889" s="43"/>
      <c r="M889" s="43"/>
      <c r="N889" s="43"/>
      <c r="O889" s="43"/>
      <c r="P889" s="43"/>
      <c r="Q889" s="43"/>
      <c r="R889" s="43"/>
      <c r="S889" s="43"/>
      <c r="T889" s="43"/>
      <c r="U889" s="43"/>
      <c r="V889" s="43"/>
      <c r="W889" s="43"/>
      <c r="X889" s="43"/>
      <c r="Y889" s="43"/>
      <c r="Z889" s="43"/>
      <c r="AA889" s="187"/>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row>
    <row r="890" spans="1:49" ht="13">
      <c r="A890" s="43"/>
      <c r="B890" s="43"/>
      <c r="C890" s="186"/>
      <c r="D890" s="43"/>
      <c r="E890" s="43"/>
      <c r="F890" s="43"/>
      <c r="G890" s="43"/>
      <c r="H890" s="43"/>
      <c r="I890" s="187"/>
      <c r="J890" s="188"/>
      <c r="K890" s="43"/>
      <c r="L890" s="43"/>
      <c r="M890" s="43"/>
      <c r="N890" s="43"/>
      <c r="O890" s="43"/>
      <c r="P890" s="43"/>
      <c r="Q890" s="43"/>
      <c r="R890" s="43"/>
      <c r="S890" s="43"/>
      <c r="T890" s="43"/>
      <c r="U890" s="43"/>
      <c r="V890" s="43"/>
      <c r="W890" s="43"/>
      <c r="X890" s="43"/>
      <c r="Y890" s="43"/>
      <c r="Z890" s="43"/>
      <c r="AA890" s="187"/>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row>
    <row r="891" spans="1:49" ht="13">
      <c r="A891" s="43"/>
      <c r="B891" s="43"/>
      <c r="C891" s="186"/>
      <c r="D891" s="43"/>
      <c r="E891" s="43"/>
      <c r="F891" s="43"/>
      <c r="G891" s="43"/>
      <c r="H891" s="43"/>
      <c r="I891" s="187"/>
      <c r="J891" s="188"/>
      <c r="K891" s="43"/>
      <c r="L891" s="43"/>
      <c r="M891" s="43"/>
      <c r="N891" s="43"/>
      <c r="O891" s="43"/>
      <c r="P891" s="43"/>
      <c r="Q891" s="43"/>
      <c r="R891" s="43"/>
      <c r="S891" s="43"/>
      <c r="T891" s="43"/>
      <c r="U891" s="43"/>
      <c r="V891" s="43"/>
      <c r="W891" s="43"/>
      <c r="X891" s="43"/>
      <c r="Y891" s="43"/>
      <c r="Z891" s="43"/>
      <c r="AA891" s="187"/>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row>
    <row r="892" spans="1:49" ht="13">
      <c r="A892" s="43"/>
      <c r="B892" s="43"/>
      <c r="C892" s="186"/>
      <c r="D892" s="43"/>
      <c r="E892" s="43"/>
      <c r="F892" s="43"/>
      <c r="G892" s="43"/>
      <c r="H892" s="43"/>
      <c r="I892" s="187"/>
      <c r="J892" s="188"/>
      <c r="K892" s="43"/>
      <c r="L892" s="43"/>
      <c r="M892" s="43"/>
      <c r="N892" s="43"/>
      <c r="O892" s="43"/>
      <c r="P892" s="43"/>
      <c r="Q892" s="43"/>
      <c r="R892" s="43"/>
      <c r="S892" s="43"/>
      <c r="T892" s="43"/>
      <c r="U892" s="43"/>
      <c r="V892" s="43"/>
      <c r="W892" s="43"/>
      <c r="X892" s="43"/>
      <c r="Y892" s="43"/>
      <c r="Z892" s="43"/>
      <c r="AA892" s="187"/>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row>
    <row r="893" spans="1:49" ht="13">
      <c r="A893" s="43"/>
      <c r="B893" s="43"/>
      <c r="C893" s="186"/>
      <c r="D893" s="43"/>
      <c r="E893" s="43"/>
      <c r="F893" s="43"/>
      <c r="G893" s="43"/>
      <c r="H893" s="43"/>
      <c r="I893" s="187"/>
      <c r="J893" s="188"/>
      <c r="K893" s="43"/>
      <c r="L893" s="43"/>
      <c r="M893" s="43"/>
      <c r="N893" s="43"/>
      <c r="O893" s="43"/>
      <c r="P893" s="43"/>
      <c r="Q893" s="43"/>
      <c r="R893" s="43"/>
      <c r="S893" s="43"/>
      <c r="T893" s="43"/>
      <c r="U893" s="43"/>
      <c r="V893" s="43"/>
      <c r="W893" s="43"/>
      <c r="X893" s="43"/>
      <c r="Y893" s="43"/>
      <c r="Z893" s="43"/>
      <c r="AA893" s="187"/>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row>
    <row r="894" spans="1:49" ht="13">
      <c r="A894" s="43"/>
      <c r="B894" s="43"/>
      <c r="C894" s="186"/>
      <c r="D894" s="43"/>
      <c r="E894" s="43"/>
      <c r="F894" s="43"/>
      <c r="G894" s="43"/>
      <c r="H894" s="43"/>
      <c r="I894" s="187"/>
      <c r="J894" s="188"/>
      <c r="K894" s="43"/>
      <c r="L894" s="43"/>
      <c r="M894" s="43"/>
      <c r="N894" s="43"/>
      <c r="O894" s="43"/>
      <c r="P894" s="43"/>
      <c r="Q894" s="43"/>
      <c r="R894" s="43"/>
      <c r="S894" s="43"/>
      <c r="T894" s="43"/>
      <c r="U894" s="43"/>
      <c r="V894" s="43"/>
      <c r="W894" s="43"/>
      <c r="X894" s="43"/>
      <c r="Y894" s="43"/>
      <c r="Z894" s="43"/>
      <c r="AA894" s="187"/>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row>
    <row r="895" spans="1:49" ht="13">
      <c r="A895" s="43"/>
      <c r="B895" s="43"/>
      <c r="C895" s="186"/>
      <c r="D895" s="43"/>
      <c r="E895" s="43"/>
      <c r="F895" s="43"/>
      <c r="G895" s="43"/>
      <c r="H895" s="43"/>
      <c r="I895" s="187"/>
      <c r="J895" s="188"/>
      <c r="K895" s="43"/>
      <c r="L895" s="43"/>
      <c r="M895" s="43"/>
      <c r="N895" s="43"/>
      <c r="O895" s="43"/>
      <c r="P895" s="43"/>
      <c r="Q895" s="43"/>
      <c r="R895" s="43"/>
      <c r="S895" s="43"/>
      <c r="T895" s="43"/>
      <c r="U895" s="43"/>
      <c r="V895" s="43"/>
      <c r="W895" s="43"/>
      <c r="X895" s="43"/>
      <c r="Y895" s="43"/>
      <c r="Z895" s="43"/>
      <c r="AA895" s="187"/>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row>
    <row r="896" spans="1:49" ht="13">
      <c r="A896" s="43"/>
      <c r="B896" s="43"/>
      <c r="C896" s="186"/>
      <c r="D896" s="43"/>
      <c r="E896" s="43"/>
      <c r="F896" s="43"/>
      <c r="G896" s="43"/>
      <c r="H896" s="43"/>
      <c r="I896" s="187"/>
      <c r="J896" s="188"/>
      <c r="K896" s="43"/>
      <c r="L896" s="43"/>
      <c r="M896" s="43"/>
      <c r="N896" s="43"/>
      <c r="O896" s="43"/>
      <c r="P896" s="43"/>
      <c r="Q896" s="43"/>
      <c r="R896" s="43"/>
      <c r="S896" s="43"/>
      <c r="T896" s="43"/>
      <c r="U896" s="43"/>
      <c r="V896" s="43"/>
      <c r="W896" s="43"/>
      <c r="X896" s="43"/>
      <c r="Y896" s="43"/>
      <c r="Z896" s="43"/>
      <c r="AA896" s="187"/>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row>
    <row r="897" spans="1:49" ht="13">
      <c r="A897" s="43"/>
      <c r="B897" s="43"/>
      <c r="C897" s="186"/>
      <c r="D897" s="43"/>
      <c r="E897" s="43"/>
      <c r="F897" s="43"/>
      <c r="G897" s="43"/>
      <c r="H897" s="43"/>
      <c r="I897" s="187"/>
      <c r="J897" s="188"/>
      <c r="K897" s="43"/>
      <c r="L897" s="43"/>
      <c r="M897" s="43"/>
      <c r="N897" s="43"/>
      <c r="O897" s="43"/>
      <c r="P897" s="43"/>
      <c r="Q897" s="43"/>
      <c r="R897" s="43"/>
      <c r="S897" s="43"/>
      <c r="T897" s="43"/>
      <c r="U897" s="43"/>
      <c r="V897" s="43"/>
      <c r="W897" s="43"/>
      <c r="X897" s="43"/>
      <c r="Y897" s="43"/>
      <c r="Z897" s="43"/>
      <c r="AA897" s="187"/>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row>
    <row r="898" spans="1:49" ht="13">
      <c r="A898" s="43"/>
      <c r="B898" s="43"/>
      <c r="C898" s="186"/>
      <c r="D898" s="43"/>
      <c r="E898" s="43"/>
      <c r="F898" s="43"/>
      <c r="G898" s="43"/>
      <c r="H898" s="43"/>
      <c r="I898" s="187"/>
      <c r="J898" s="188"/>
      <c r="K898" s="43"/>
      <c r="L898" s="43"/>
      <c r="M898" s="43"/>
      <c r="N898" s="43"/>
      <c r="O898" s="43"/>
      <c r="P898" s="43"/>
      <c r="Q898" s="43"/>
      <c r="R898" s="43"/>
      <c r="S898" s="43"/>
      <c r="T898" s="43"/>
      <c r="U898" s="43"/>
      <c r="V898" s="43"/>
      <c r="W898" s="43"/>
      <c r="X898" s="43"/>
      <c r="Y898" s="43"/>
      <c r="Z898" s="43"/>
      <c r="AA898" s="187"/>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row>
    <row r="899" spans="1:49" ht="13">
      <c r="A899" s="43"/>
      <c r="B899" s="43"/>
      <c r="C899" s="186"/>
      <c r="D899" s="43"/>
      <c r="E899" s="43"/>
      <c r="F899" s="43"/>
      <c r="G899" s="43"/>
      <c r="H899" s="43"/>
      <c r="I899" s="187"/>
      <c r="J899" s="188"/>
      <c r="K899" s="43"/>
      <c r="L899" s="43"/>
      <c r="M899" s="43"/>
      <c r="N899" s="43"/>
      <c r="O899" s="43"/>
      <c r="P899" s="43"/>
      <c r="Q899" s="43"/>
      <c r="R899" s="43"/>
      <c r="S899" s="43"/>
      <c r="T899" s="43"/>
      <c r="U899" s="43"/>
      <c r="V899" s="43"/>
      <c r="W899" s="43"/>
      <c r="X899" s="43"/>
      <c r="Y899" s="43"/>
      <c r="Z899" s="43"/>
      <c r="AA899" s="187"/>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row>
    <row r="900" spans="1:49" ht="13">
      <c r="A900" s="43"/>
      <c r="B900" s="43"/>
      <c r="C900" s="186"/>
      <c r="D900" s="43"/>
      <c r="E900" s="43"/>
      <c r="F900" s="43"/>
      <c r="G900" s="43"/>
      <c r="H900" s="43"/>
      <c r="I900" s="187"/>
      <c r="J900" s="188"/>
      <c r="K900" s="43"/>
      <c r="L900" s="43"/>
      <c r="M900" s="43"/>
      <c r="N900" s="43"/>
      <c r="O900" s="43"/>
      <c r="P900" s="43"/>
      <c r="Q900" s="43"/>
      <c r="R900" s="43"/>
      <c r="S900" s="43"/>
      <c r="T900" s="43"/>
      <c r="U900" s="43"/>
      <c r="V900" s="43"/>
      <c r="W900" s="43"/>
      <c r="X900" s="43"/>
      <c r="Y900" s="43"/>
      <c r="Z900" s="43"/>
      <c r="AA900" s="187"/>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row>
    <row r="901" spans="1:49" ht="13">
      <c r="A901" s="43"/>
      <c r="B901" s="43"/>
      <c r="C901" s="186"/>
      <c r="D901" s="43"/>
      <c r="E901" s="43"/>
      <c r="F901" s="43"/>
      <c r="G901" s="43"/>
      <c r="H901" s="43"/>
      <c r="I901" s="187"/>
      <c r="J901" s="188"/>
      <c r="K901" s="43"/>
      <c r="L901" s="43"/>
      <c r="M901" s="43"/>
      <c r="N901" s="43"/>
      <c r="O901" s="43"/>
      <c r="P901" s="43"/>
      <c r="Q901" s="43"/>
      <c r="R901" s="43"/>
      <c r="S901" s="43"/>
      <c r="T901" s="43"/>
      <c r="U901" s="43"/>
      <c r="V901" s="43"/>
      <c r="W901" s="43"/>
      <c r="X901" s="43"/>
      <c r="Y901" s="43"/>
      <c r="Z901" s="43"/>
      <c r="AA901" s="187"/>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row>
    <row r="902" spans="1:49" ht="13">
      <c r="A902" s="43"/>
      <c r="B902" s="43"/>
      <c r="C902" s="186"/>
      <c r="D902" s="43"/>
      <c r="E902" s="43"/>
      <c r="F902" s="43"/>
      <c r="G902" s="43"/>
      <c r="H902" s="43"/>
      <c r="I902" s="187"/>
      <c r="J902" s="188"/>
      <c r="K902" s="43"/>
      <c r="L902" s="43"/>
      <c r="M902" s="43"/>
      <c r="N902" s="43"/>
      <c r="O902" s="43"/>
      <c r="P902" s="43"/>
      <c r="Q902" s="43"/>
      <c r="R902" s="43"/>
      <c r="S902" s="43"/>
      <c r="T902" s="43"/>
      <c r="U902" s="43"/>
      <c r="V902" s="43"/>
      <c r="W902" s="43"/>
      <c r="X902" s="43"/>
      <c r="Y902" s="43"/>
      <c r="Z902" s="43"/>
      <c r="AA902" s="187"/>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row>
    <row r="903" spans="1:49" ht="13">
      <c r="A903" s="43"/>
      <c r="B903" s="43"/>
      <c r="C903" s="186"/>
      <c r="D903" s="43"/>
      <c r="E903" s="43"/>
      <c r="F903" s="43"/>
      <c r="G903" s="43"/>
      <c r="H903" s="43"/>
      <c r="I903" s="187"/>
      <c r="J903" s="188"/>
      <c r="K903" s="43"/>
      <c r="L903" s="43"/>
      <c r="M903" s="43"/>
      <c r="N903" s="43"/>
      <c r="O903" s="43"/>
      <c r="P903" s="43"/>
      <c r="Q903" s="43"/>
      <c r="R903" s="43"/>
      <c r="S903" s="43"/>
      <c r="T903" s="43"/>
      <c r="U903" s="43"/>
      <c r="V903" s="43"/>
      <c r="W903" s="43"/>
      <c r="X903" s="43"/>
      <c r="Y903" s="43"/>
      <c r="Z903" s="43"/>
      <c r="AA903" s="187"/>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row>
    <row r="904" spans="1:49" ht="13">
      <c r="A904" s="43"/>
      <c r="B904" s="43"/>
      <c r="C904" s="186"/>
      <c r="D904" s="43"/>
      <c r="E904" s="43"/>
      <c r="F904" s="43"/>
      <c r="G904" s="43"/>
      <c r="H904" s="43"/>
      <c r="I904" s="187"/>
      <c r="J904" s="188"/>
      <c r="K904" s="43"/>
      <c r="L904" s="43"/>
      <c r="M904" s="43"/>
      <c r="N904" s="43"/>
      <c r="O904" s="43"/>
      <c r="P904" s="43"/>
      <c r="Q904" s="43"/>
      <c r="R904" s="43"/>
      <c r="S904" s="43"/>
      <c r="T904" s="43"/>
      <c r="U904" s="43"/>
      <c r="V904" s="43"/>
      <c r="W904" s="43"/>
      <c r="X904" s="43"/>
      <c r="Y904" s="43"/>
      <c r="Z904" s="43"/>
      <c r="AA904" s="187"/>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row>
    <row r="905" spans="1:49" ht="13">
      <c r="A905" s="43"/>
      <c r="B905" s="43"/>
      <c r="C905" s="186"/>
      <c r="D905" s="43"/>
      <c r="E905" s="43"/>
      <c r="F905" s="43"/>
      <c r="G905" s="43"/>
      <c r="H905" s="43"/>
      <c r="I905" s="187"/>
      <c r="J905" s="188"/>
      <c r="K905" s="43"/>
      <c r="L905" s="43"/>
      <c r="M905" s="43"/>
      <c r="N905" s="43"/>
      <c r="O905" s="43"/>
      <c r="P905" s="43"/>
      <c r="Q905" s="43"/>
      <c r="R905" s="43"/>
      <c r="S905" s="43"/>
      <c r="T905" s="43"/>
      <c r="U905" s="43"/>
      <c r="V905" s="43"/>
      <c r="W905" s="43"/>
      <c r="X905" s="43"/>
      <c r="Y905" s="43"/>
      <c r="Z905" s="43"/>
      <c r="AA905" s="187"/>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row>
    <row r="906" spans="1:49" ht="13">
      <c r="A906" s="43"/>
      <c r="B906" s="43"/>
      <c r="C906" s="186"/>
      <c r="D906" s="43"/>
      <c r="E906" s="43"/>
      <c r="F906" s="43"/>
      <c r="G906" s="43"/>
      <c r="H906" s="43"/>
      <c r="I906" s="187"/>
      <c r="J906" s="188"/>
      <c r="K906" s="43"/>
      <c r="L906" s="43"/>
      <c r="M906" s="43"/>
      <c r="N906" s="43"/>
      <c r="O906" s="43"/>
      <c r="P906" s="43"/>
      <c r="Q906" s="43"/>
      <c r="R906" s="43"/>
      <c r="S906" s="43"/>
      <c r="T906" s="43"/>
      <c r="U906" s="43"/>
      <c r="V906" s="43"/>
      <c r="W906" s="43"/>
      <c r="X906" s="43"/>
      <c r="Y906" s="43"/>
      <c r="Z906" s="43"/>
      <c r="AA906" s="187"/>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row>
    <row r="907" spans="1:49" ht="13">
      <c r="A907" s="43"/>
      <c r="B907" s="43"/>
      <c r="C907" s="186"/>
      <c r="D907" s="43"/>
      <c r="E907" s="43"/>
      <c r="F907" s="43"/>
      <c r="G907" s="43"/>
      <c r="H907" s="43"/>
      <c r="I907" s="187"/>
      <c r="J907" s="188"/>
      <c r="K907" s="43"/>
      <c r="L907" s="43"/>
      <c r="M907" s="43"/>
      <c r="N907" s="43"/>
      <c r="O907" s="43"/>
      <c r="P907" s="43"/>
      <c r="Q907" s="43"/>
      <c r="R907" s="43"/>
      <c r="S907" s="43"/>
      <c r="T907" s="43"/>
      <c r="U907" s="43"/>
      <c r="V907" s="43"/>
      <c r="W907" s="43"/>
      <c r="X907" s="43"/>
      <c r="Y907" s="43"/>
      <c r="Z907" s="43"/>
      <c r="AA907" s="187"/>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row>
    <row r="908" spans="1:49" ht="13">
      <c r="A908" s="43"/>
      <c r="B908" s="43"/>
      <c r="C908" s="186"/>
      <c r="D908" s="43"/>
      <c r="E908" s="43"/>
      <c r="F908" s="43"/>
      <c r="G908" s="43"/>
      <c r="H908" s="43"/>
      <c r="I908" s="187"/>
      <c r="J908" s="188"/>
      <c r="K908" s="43"/>
      <c r="L908" s="43"/>
      <c r="M908" s="43"/>
      <c r="N908" s="43"/>
      <c r="O908" s="43"/>
      <c r="P908" s="43"/>
      <c r="Q908" s="43"/>
      <c r="R908" s="43"/>
      <c r="S908" s="43"/>
      <c r="T908" s="43"/>
      <c r="U908" s="43"/>
      <c r="V908" s="43"/>
      <c r="W908" s="43"/>
      <c r="X908" s="43"/>
      <c r="Y908" s="43"/>
      <c r="Z908" s="43"/>
      <c r="AA908" s="187"/>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row>
    <row r="909" spans="1:49" ht="13">
      <c r="A909" s="43"/>
      <c r="B909" s="43"/>
      <c r="C909" s="186"/>
      <c r="D909" s="43"/>
      <c r="E909" s="43"/>
      <c r="F909" s="43"/>
      <c r="G909" s="43"/>
      <c r="H909" s="43"/>
      <c r="I909" s="187"/>
      <c r="J909" s="188"/>
      <c r="K909" s="43"/>
      <c r="L909" s="43"/>
      <c r="M909" s="43"/>
      <c r="N909" s="43"/>
      <c r="O909" s="43"/>
      <c r="P909" s="43"/>
      <c r="Q909" s="43"/>
      <c r="R909" s="43"/>
      <c r="S909" s="43"/>
      <c r="T909" s="43"/>
      <c r="U909" s="43"/>
      <c r="V909" s="43"/>
      <c r="W909" s="43"/>
      <c r="X909" s="43"/>
      <c r="Y909" s="43"/>
      <c r="Z909" s="43"/>
      <c r="AA909" s="187"/>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row>
    <row r="910" spans="1:49" ht="13">
      <c r="A910" s="43"/>
      <c r="B910" s="43"/>
      <c r="C910" s="186"/>
      <c r="D910" s="43"/>
      <c r="E910" s="43"/>
      <c r="F910" s="43"/>
      <c r="G910" s="43"/>
      <c r="H910" s="43"/>
      <c r="I910" s="187"/>
      <c r="J910" s="188"/>
      <c r="K910" s="43"/>
      <c r="L910" s="43"/>
      <c r="M910" s="43"/>
      <c r="N910" s="43"/>
      <c r="O910" s="43"/>
      <c r="P910" s="43"/>
      <c r="Q910" s="43"/>
      <c r="R910" s="43"/>
      <c r="S910" s="43"/>
      <c r="T910" s="43"/>
      <c r="U910" s="43"/>
      <c r="V910" s="43"/>
      <c r="W910" s="43"/>
      <c r="X910" s="43"/>
      <c r="Y910" s="43"/>
      <c r="Z910" s="43"/>
      <c r="AA910" s="187"/>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row>
    <row r="911" spans="1:49" ht="13">
      <c r="A911" s="43"/>
      <c r="B911" s="43"/>
      <c r="C911" s="186"/>
      <c r="D911" s="43"/>
      <c r="E911" s="43"/>
      <c r="F911" s="43"/>
      <c r="G911" s="43"/>
      <c r="H911" s="43"/>
      <c r="I911" s="187"/>
      <c r="J911" s="188"/>
      <c r="K911" s="43"/>
      <c r="L911" s="43"/>
      <c r="M911" s="43"/>
      <c r="N911" s="43"/>
      <c r="O911" s="43"/>
      <c r="P911" s="43"/>
      <c r="Q911" s="43"/>
      <c r="R911" s="43"/>
      <c r="S911" s="43"/>
      <c r="T911" s="43"/>
      <c r="U911" s="43"/>
      <c r="V911" s="43"/>
      <c r="W911" s="43"/>
      <c r="X911" s="43"/>
      <c r="Y911" s="43"/>
      <c r="Z911" s="43"/>
      <c r="AA911" s="187"/>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row>
    <row r="912" spans="1:49" ht="13">
      <c r="A912" s="43"/>
      <c r="B912" s="43"/>
      <c r="C912" s="186"/>
      <c r="D912" s="43"/>
      <c r="E912" s="43"/>
      <c r="F912" s="43"/>
      <c r="G912" s="43"/>
      <c r="H912" s="43"/>
      <c r="I912" s="187"/>
      <c r="J912" s="188"/>
      <c r="K912" s="43"/>
      <c r="L912" s="43"/>
      <c r="M912" s="43"/>
      <c r="N912" s="43"/>
      <c r="O912" s="43"/>
      <c r="P912" s="43"/>
      <c r="Q912" s="43"/>
      <c r="R912" s="43"/>
      <c r="S912" s="43"/>
      <c r="T912" s="43"/>
      <c r="U912" s="43"/>
      <c r="V912" s="43"/>
      <c r="W912" s="43"/>
      <c r="X912" s="43"/>
      <c r="Y912" s="43"/>
      <c r="Z912" s="43"/>
      <c r="AA912" s="187"/>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row>
    <row r="913" spans="1:49" ht="13">
      <c r="A913" s="43"/>
      <c r="B913" s="43"/>
      <c r="C913" s="186"/>
      <c r="D913" s="43"/>
      <c r="E913" s="43"/>
      <c r="F913" s="43"/>
      <c r="G913" s="43"/>
      <c r="H913" s="43"/>
      <c r="I913" s="187"/>
      <c r="J913" s="188"/>
      <c r="K913" s="43"/>
      <c r="L913" s="43"/>
      <c r="M913" s="43"/>
      <c r="N913" s="43"/>
      <c r="O913" s="43"/>
      <c r="P913" s="43"/>
      <c r="Q913" s="43"/>
      <c r="R913" s="43"/>
      <c r="S913" s="43"/>
      <c r="T913" s="43"/>
      <c r="U913" s="43"/>
      <c r="V913" s="43"/>
      <c r="W913" s="43"/>
      <c r="X913" s="43"/>
      <c r="Y913" s="43"/>
      <c r="Z913" s="43"/>
      <c r="AA913" s="187"/>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row>
    <row r="914" spans="1:49" ht="13">
      <c r="A914" s="43"/>
      <c r="B914" s="43"/>
      <c r="C914" s="186"/>
      <c r="D914" s="43"/>
      <c r="E914" s="43"/>
      <c r="F914" s="43"/>
      <c r="G914" s="43"/>
      <c r="H914" s="43"/>
      <c r="I914" s="187"/>
      <c r="J914" s="188"/>
      <c r="K914" s="43"/>
      <c r="L914" s="43"/>
      <c r="M914" s="43"/>
      <c r="N914" s="43"/>
      <c r="O914" s="43"/>
      <c r="P914" s="43"/>
      <c r="Q914" s="43"/>
      <c r="R914" s="43"/>
      <c r="S914" s="43"/>
      <c r="T914" s="43"/>
      <c r="U914" s="43"/>
      <c r="V914" s="43"/>
      <c r="W914" s="43"/>
      <c r="X914" s="43"/>
      <c r="Y914" s="43"/>
      <c r="Z914" s="43"/>
      <c r="AA914" s="187"/>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row>
    <row r="915" spans="1:49" ht="13">
      <c r="A915" s="43"/>
      <c r="B915" s="43"/>
      <c r="C915" s="186"/>
      <c r="D915" s="43"/>
      <c r="E915" s="43"/>
      <c r="F915" s="43"/>
      <c r="G915" s="43"/>
      <c r="H915" s="43"/>
      <c r="I915" s="187"/>
      <c r="J915" s="188"/>
      <c r="K915" s="43"/>
      <c r="L915" s="43"/>
      <c r="M915" s="43"/>
      <c r="N915" s="43"/>
      <c r="O915" s="43"/>
      <c r="P915" s="43"/>
      <c r="Q915" s="43"/>
      <c r="R915" s="43"/>
      <c r="S915" s="43"/>
      <c r="T915" s="43"/>
      <c r="U915" s="43"/>
      <c r="V915" s="43"/>
      <c r="W915" s="43"/>
      <c r="X915" s="43"/>
      <c r="Y915" s="43"/>
      <c r="Z915" s="43"/>
      <c r="AA915" s="187"/>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row>
    <row r="916" spans="1:49" ht="13">
      <c r="A916" s="43"/>
      <c r="B916" s="43"/>
      <c r="C916" s="186"/>
      <c r="D916" s="43"/>
      <c r="E916" s="43"/>
      <c r="F916" s="43"/>
      <c r="G916" s="43"/>
      <c r="H916" s="43"/>
      <c r="I916" s="187"/>
      <c r="J916" s="188"/>
      <c r="K916" s="43"/>
      <c r="L916" s="43"/>
      <c r="M916" s="43"/>
      <c r="N916" s="43"/>
      <c r="O916" s="43"/>
      <c r="P916" s="43"/>
      <c r="Q916" s="43"/>
      <c r="R916" s="43"/>
      <c r="S916" s="43"/>
      <c r="T916" s="43"/>
      <c r="U916" s="43"/>
      <c r="V916" s="43"/>
      <c r="W916" s="43"/>
      <c r="X916" s="43"/>
      <c r="Y916" s="43"/>
      <c r="Z916" s="43"/>
      <c r="AA916" s="187"/>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row>
    <row r="917" spans="1:49" ht="13">
      <c r="A917" s="43"/>
      <c r="B917" s="43"/>
      <c r="C917" s="186"/>
      <c r="D917" s="43"/>
      <c r="E917" s="43"/>
      <c r="F917" s="43"/>
      <c r="G917" s="43"/>
      <c r="H917" s="43"/>
      <c r="I917" s="187"/>
      <c r="J917" s="188"/>
      <c r="K917" s="43"/>
      <c r="L917" s="43"/>
      <c r="M917" s="43"/>
      <c r="N917" s="43"/>
      <c r="O917" s="43"/>
      <c r="P917" s="43"/>
      <c r="Q917" s="43"/>
      <c r="R917" s="43"/>
      <c r="S917" s="43"/>
      <c r="T917" s="43"/>
      <c r="U917" s="43"/>
      <c r="V917" s="43"/>
      <c r="W917" s="43"/>
      <c r="X917" s="43"/>
      <c r="Y917" s="43"/>
      <c r="Z917" s="43"/>
      <c r="AA917" s="187"/>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row>
    <row r="918" spans="1:49" ht="13">
      <c r="A918" s="43"/>
      <c r="B918" s="43"/>
      <c r="C918" s="186"/>
      <c r="D918" s="43"/>
      <c r="E918" s="43"/>
      <c r="F918" s="43"/>
      <c r="G918" s="43"/>
      <c r="H918" s="43"/>
      <c r="I918" s="187"/>
      <c r="J918" s="188"/>
      <c r="K918" s="43"/>
      <c r="L918" s="43"/>
      <c r="M918" s="43"/>
      <c r="N918" s="43"/>
      <c r="O918" s="43"/>
      <c r="P918" s="43"/>
      <c r="Q918" s="43"/>
      <c r="R918" s="43"/>
      <c r="S918" s="43"/>
      <c r="T918" s="43"/>
      <c r="U918" s="43"/>
      <c r="V918" s="43"/>
      <c r="W918" s="43"/>
      <c r="X918" s="43"/>
      <c r="Y918" s="43"/>
      <c r="Z918" s="43"/>
      <c r="AA918" s="187"/>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row>
    <row r="919" spans="1:49" ht="13">
      <c r="A919" s="43"/>
      <c r="B919" s="43"/>
      <c r="C919" s="186"/>
      <c r="D919" s="43"/>
      <c r="E919" s="43"/>
      <c r="F919" s="43"/>
      <c r="G919" s="43"/>
      <c r="H919" s="43"/>
      <c r="I919" s="187"/>
      <c r="J919" s="188"/>
      <c r="K919" s="43"/>
      <c r="L919" s="43"/>
      <c r="M919" s="43"/>
      <c r="N919" s="43"/>
      <c r="O919" s="43"/>
      <c r="P919" s="43"/>
      <c r="Q919" s="43"/>
      <c r="R919" s="43"/>
      <c r="S919" s="43"/>
      <c r="T919" s="43"/>
      <c r="U919" s="43"/>
      <c r="V919" s="43"/>
      <c r="W919" s="43"/>
      <c r="X919" s="43"/>
      <c r="Y919" s="43"/>
      <c r="Z919" s="43"/>
      <c r="AA919" s="187"/>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row>
    <row r="920" spans="1:49" ht="13">
      <c r="A920" s="43"/>
      <c r="B920" s="43"/>
      <c r="C920" s="186"/>
      <c r="D920" s="43"/>
      <c r="E920" s="43"/>
      <c r="F920" s="43"/>
      <c r="G920" s="43"/>
      <c r="H920" s="43"/>
      <c r="I920" s="187"/>
      <c r="J920" s="188"/>
      <c r="K920" s="43"/>
      <c r="L920" s="43"/>
      <c r="M920" s="43"/>
      <c r="N920" s="43"/>
      <c r="O920" s="43"/>
      <c r="P920" s="43"/>
      <c r="Q920" s="43"/>
      <c r="R920" s="43"/>
      <c r="S920" s="43"/>
      <c r="T920" s="43"/>
      <c r="U920" s="43"/>
      <c r="V920" s="43"/>
      <c r="W920" s="43"/>
      <c r="X920" s="43"/>
      <c r="Y920" s="43"/>
      <c r="Z920" s="43"/>
      <c r="AA920" s="187"/>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row>
    <row r="921" spans="1:49" ht="13">
      <c r="A921" s="43"/>
      <c r="B921" s="43"/>
      <c r="C921" s="186"/>
      <c r="D921" s="43"/>
      <c r="E921" s="43"/>
      <c r="F921" s="43"/>
      <c r="G921" s="43"/>
      <c r="H921" s="43"/>
      <c r="I921" s="187"/>
      <c r="J921" s="188"/>
      <c r="K921" s="43"/>
      <c r="L921" s="43"/>
      <c r="M921" s="43"/>
      <c r="N921" s="43"/>
      <c r="O921" s="43"/>
      <c r="P921" s="43"/>
      <c r="Q921" s="43"/>
      <c r="R921" s="43"/>
      <c r="S921" s="43"/>
      <c r="T921" s="43"/>
      <c r="U921" s="43"/>
      <c r="V921" s="43"/>
      <c r="W921" s="43"/>
      <c r="X921" s="43"/>
      <c r="Y921" s="43"/>
      <c r="Z921" s="43"/>
      <c r="AA921" s="187"/>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row>
    <row r="922" spans="1:49" ht="13">
      <c r="A922" s="43"/>
      <c r="B922" s="43"/>
      <c r="C922" s="186"/>
      <c r="D922" s="43"/>
      <c r="E922" s="43"/>
      <c r="F922" s="43"/>
      <c r="G922" s="43"/>
      <c r="H922" s="43"/>
      <c r="I922" s="187"/>
      <c r="J922" s="188"/>
      <c r="K922" s="43"/>
      <c r="L922" s="43"/>
      <c r="M922" s="43"/>
      <c r="N922" s="43"/>
      <c r="O922" s="43"/>
      <c r="P922" s="43"/>
      <c r="Q922" s="43"/>
      <c r="R922" s="43"/>
      <c r="S922" s="43"/>
      <c r="T922" s="43"/>
      <c r="U922" s="43"/>
      <c r="V922" s="43"/>
      <c r="W922" s="43"/>
      <c r="X922" s="43"/>
      <c r="Y922" s="43"/>
      <c r="Z922" s="43"/>
      <c r="AA922" s="187"/>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row>
    <row r="923" spans="1:49" ht="13">
      <c r="A923" s="43"/>
      <c r="B923" s="43"/>
      <c r="C923" s="186"/>
      <c r="D923" s="43"/>
      <c r="E923" s="43"/>
      <c r="F923" s="43"/>
      <c r="G923" s="43"/>
      <c r="H923" s="43"/>
      <c r="I923" s="187"/>
      <c r="J923" s="188"/>
      <c r="K923" s="43"/>
      <c r="L923" s="43"/>
      <c r="M923" s="43"/>
      <c r="N923" s="43"/>
      <c r="O923" s="43"/>
      <c r="P923" s="43"/>
      <c r="Q923" s="43"/>
      <c r="R923" s="43"/>
      <c r="S923" s="43"/>
      <c r="T923" s="43"/>
      <c r="U923" s="43"/>
      <c r="V923" s="43"/>
      <c r="W923" s="43"/>
      <c r="X923" s="43"/>
      <c r="Y923" s="43"/>
      <c r="Z923" s="43"/>
      <c r="AA923" s="187"/>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row>
    <row r="924" spans="1:49" ht="13">
      <c r="A924" s="43"/>
      <c r="B924" s="43"/>
      <c r="C924" s="186"/>
      <c r="D924" s="43"/>
      <c r="E924" s="43"/>
      <c r="F924" s="43"/>
      <c r="G924" s="43"/>
      <c r="H924" s="43"/>
      <c r="I924" s="187"/>
      <c r="J924" s="188"/>
      <c r="K924" s="43"/>
      <c r="L924" s="43"/>
      <c r="M924" s="43"/>
      <c r="N924" s="43"/>
      <c r="O924" s="43"/>
      <c r="P924" s="43"/>
      <c r="Q924" s="43"/>
      <c r="R924" s="43"/>
      <c r="S924" s="43"/>
      <c r="T924" s="43"/>
      <c r="U924" s="43"/>
      <c r="V924" s="43"/>
      <c r="W924" s="43"/>
      <c r="X924" s="43"/>
      <c r="Y924" s="43"/>
      <c r="Z924" s="43"/>
      <c r="AA924" s="187"/>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row>
    <row r="925" spans="1:49" ht="13">
      <c r="A925" s="43"/>
      <c r="B925" s="43"/>
      <c r="C925" s="186"/>
      <c r="D925" s="43"/>
      <c r="E925" s="43"/>
      <c r="F925" s="43"/>
      <c r="G925" s="43"/>
      <c r="H925" s="43"/>
      <c r="I925" s="187"/>
      <c r="J925" s="188"/>
      <c r="K925" s="43"/>
      <c r="L925" s="43"/>
      <c r="M925" s="43"/>
      <c r="N925" s="43"/>
      <c r="O925" s="43"/>
      <c r="P925" s="43"/>
      <c r="Q925" s="43"/>
      <c r="R925" s="43"/>
      <c r="S925" s="43"/>
      <c r="T925" s="43"/>
      <c r="U925" s="43"/>
      <c r="V925" s="43"/>
      <c r="W925" s="43"/>
      <c r="X925" s="43"/>
      <c r="Y925" s="43"/>
      <c r="Z925" s="43"/>
      <c r="AA925" s="187"/>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row>
    <row r="926" spans="1:49" ht="13">
      <c r="A926" s="43"/>
      <c r="B926" s="43"/>
      <c r="C926" s="186"/>
      <c r="D926" s="43"/>
      <c r="E926" s="43"/>
      <c r="F926" s="43"/>
      <c r="G926" s="43"/>
      <c r="H926" s="43"/>
      <c r="I926" s="187"/>
      <c r="J926" s="188"/>
      <c r="K926" s="43"/>
      <c r="L926" s="43"/>
      <c r="M926" s="43"/>
      <c r="N926" s="43"/>
      <c r="O926" s="43"/>
      <c r="P926" s="43"/>
      <c r="Q926" s="43"/>
      <c r="R926" s="43"/>
      <c r="S926" s="43"/>
      <c r="T926" s="43"/>
      <c r="U926" s="43"/>
      <c r="V926" s="43"/>
      <c r="W926" s="43"/>
      <c r="X926" s="43"/>
      <c r="Y926" s="43"/>
      <c r="Z926" s="43"/>
      <c r="AA926" s="187"/>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row>
    <row r="927" spans="1:49" ht="13">
      <c r="A927" s="43"/>
      <c r="B927" s="43"/>
      <c r="C927" s="186"/>
      <c r="D927" s="43"/>
      <c r="E927" s="43"/>
      <c r="F927" s="43"/>
      <c r="G927" s="43"/>
      <c r="H927" s="43"/>
      <c r="I927" s="187"/>
      <c r="J927" s="188"/>
      <c r="K927" s="43"/>
      <c r="L927" s="43"/>
      <c r="M927" s="43"/>
      <c r="N927" s="43"/>
      <c r="O927" s="43"/>
      <c r="P927" s="43"/>
      <c r="Q927" s="43"/>
      <c r="R927" s="43"/>
      <c r="S927" s="43"/>
      <c r="T927" s="43"/>
      <c r="U927" s="43"/>
      <c r="V927" s="43"/>
      <c r="W927" s="43"/>
      <c r="X927" s="43"/>
      <c r="Y927" s="43"/>
      <c r="Z927" s="43"/>
      <c r="AA927" s="187"/>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row>
    <row r="928" spans="1:49" ht="13">
      <c r="A928" s="43"/>
      <c r="B928" s="43"/>
      <c r="C928" s="186"/>
      <c r="D928" s="43"/>
      <c r="E928" s="43"/>
      <c r="F928" s="43"/>
      <c r="G928" s="43"/>
      <c r="H928" s="43"/>
      <c r="I928" s="187"/>
      <c r="J928" s="188"/>
      <c r="K928" s="43"/>
      <c r="L928" s="43"/>
      <c r="M928" s="43"/>
      <c r="N928" s="43"/>
      <c r="O928" s="43"/>
      <c r="P928" s="43"/>
      <c r="Q928" s="43"/>
      <c r="R928" s="43"/>
      <c r="S928" s="43"/>
      <c r="T928" s="43"/>
      <c r="U928" s="43"/>
      <c r="V928" s="43"/>
      <c r="W928" s="43"/>
      <c r="X928" s="43"/>
      <c r="Y928" s="43"/>
      <c r="Z928" s="43"/>
      <c r="AA928" s="187"/>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row>
    <row r="929" spans="1:49" ht="13">
      <c r="A929" s="43"/>
      <c r="B929" s="43"/>
      <c r="C929" s="186"/>
      <c r="D929" s="43"/>
      <c r="E929" s="43"/>
      <c r="F929" s="43"/>
      <c r="G929" s="43"/>
      <c r="H929" s="43"/>
      <c r="I929" s="187"/>
      <c r="J929" s="188"/>
      <c r="K929" s="43"/>
      <c r="L929" s="43"/>
      <c r="M929" s="43"/>
      <c r="N929" s="43"/>
      <c r="O929" s="43"/>
      <c r="P929" s="43"/>
      <c r="Q929" s="43"/>
      <c r="R929" s="43"/>
      <c r="S929" s="43"/>
      <c r="T929" s="43"/>
      <c r="U929" s="43"/>
      <c r="V929" s="43"/>
      <c r="W929" s="43"/>
      <c r="X929" s="43"/>
      <c r="Y929" s="43"/>
      <c r="Z929" s="43"/>
      <c r="AA929" s="187"/>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row>
    <row r="930" spans="1:49" ht="13">
      <c r="A930" s="43"/>
      <c r="B930" s="43"/>
      <c r="C930" s="186"/>
      <c r="D930" s="43"/>
      <c r="E930" s="43"/>
      <c r="F930" s="43"/>
      <c r="G930" s="43"/>
      <c r="H930" s="43"/>
      <c r="I930" s="187"/>
      <c r="J930" s="188"/>
      <c r="K930" s="43"/>
      <c r="L930" s="43"/>
      <c r="M930" s="43"/>
      <c r="N930" s="43"/>
      <c r="O930" s="43"/>
      <c r="P930" s="43"/>
      <c r="Q930" s="43"/>
      <c r="R930" s="43"/>
      <c r="S930" s="43"/>
      <c r="T930" s="43"/>
      <c r="U930" s="43"/>
      <c r="V930" s="43"/>
      <c r="W930" s="43"/>
      <c r="X930" s="43"/>
      <c r="Y930" s="43"/>
      <c r="Z930" s="43"/>
      <c r="AA930" s="187"/>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row>
    <row r="931" spans="1:49" ht="13">
      <c r="A931" s="43"/>
      <c r="B931" s="43"/>
      <c r="C931" s="186"/>
      <c r="D931" s="43"/>
      <c r="E931" s="43"/>
      <c r="F931" s="43"/>
      <c r="G931" s="43"/>
      <c r="H931" s="43"/>
      <c r="I931" s="187"/>
      <c r="J931" s="188"/>
      <c r="K931" s="43"/>
      <c r="L931" s="43"/>
      <c r="M931" s="43"/>
      <c r="N931" s="43"/>
      <c r="O931" s="43"/>
      <c r="P931" s="43"/>
      <c r="Q931" s="43"/>
      <c r="R931" s="43"/>
      <c r="S931" s="43"/>
      <c r="T931" s="43"/>
      <c r="U931" s="43"/>
      <c r="V931" s="43"/>
      <c r="W931" s="43"/>
      <c r="X931" s="43"/>
      <c r="Y931" s="43"/>
      <c r="Z931" s="43"/>
      <c r="AA931" s="187"/>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row>
    <row r="932" spans="1:49" ht="13">
      <c r="A932" s="43"/>
      <c r="B932" s="43"/>
      <c r="C932" s="186"/>
      <c r="D932" s="43"/>
      <c r="E932" s="43"/>
      <c r="F932" s="43"/>
      <c r="G932" s="43"/>
      <c r="H932" s="43"/>
      <c r="I932" s="187"/>
      <c r="J932" s="188"/>
      <c r="K932" s="43"/>
      <c r="L932" s="43"/>
      <c r="M932" s="43"/>
      <c r="N932" s="43"/>
      <c r="O932" s="43"/>
      <c r="P932" s="43"/>
      <c r="Q932" s="43"/>
      <c r="R932" s="43"/>
      <c r="S932" s="43"/>
      <c r="T932" s="43"/>
      <c r="U932" s="43"/>
      <c r="V932" s="43"/>
      <c r="W932" s="43"/>
      <c r="X932" s="43"/>
      <c r="Y932" s="43"/>
      <c r="Z932" s="43"/>
      <c r="AA932" s="187"/>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row>
    <row r="933" spans="1:49" ht="13">
      <c r="A933" s="43"/>
      <c r="B933" s="43"/>
      <c r="C933" s="186"/>
      <c r="D933" s="43"/>
      <c r="E933" s="43"/>
      <c r="F933" s="43"/>
      <c r="G933" s="43"/>
      <c r="H933" s="43"/>
      <c r="I933" s="187"/>
      <c r="J933" s="188"/>
      <c r="K933" s="43"/>
      <c r="L933" s="43"/>
      <c r="M933" s="43"/>
      <c r="N933" s="43"/>
      <c r="O933" s="43"/>
      <c r="P933" s="43"/>
      <c r="Q933" s="43"/>
      <c r="R933" s="43"/>
      <c r="S933" s="43"/>
      <c r="T933" s="43"/>
      <c r="U933" s="43"/>
      <c r="V933" s="43"/>
      <c r="W933" s="43"/>
      <c r="X933" s="43"/>
      <c r="Y933" s="43"/>
      <c r="Z933" s="43"/>
      <c r="AA933" s="187"/>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row>
    <row r="934" spans="1:49" ht="13">
      <c r="A934" s="43"/>
      <c r="B934" s="43"/>
      <c r="C934" s="186"/>
      <c r="D934" s="43"/>
      <c r="E934" s="43"/>
      <c r="F934" s="43"/>
      <c r="G934" s="43"/>
      <c r="H934" s="43"/>
      <c r="I934" s="187"/>
      <c r="J934" s="188"/>
      <c r="K934" s="43"/>
      <c r="L934" s="43"/>
      <c r="M934" s="43"/>
      <c r="N934" s="43"/>
      <c r="O934" s="43"/>
      <c r="P934" s="43"/>
      <c r="Q934" s="43"/>
      <c r="R934" s="43"/>
      <c r="S934" s="43"/>
      <c r="T934" s="43"/>
      <c r="U934" s="43"/>
      <c r="V934" s="43"/>
      <c r="W934" s="43"/>
      <c r="X934" s="43"/>
      <c r="Y934" s="43"/>
      <c r="Z934" s="43"/>
      <c r="AA934" s="187"/>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row>
    <row r="935" spans="1:49" ht="13">
      <c r="A935" s="43"/>
      <c r="B935" s="43"/>
      <c r="C935" s="186"/>
      <c r="D935" s="43"/>
      <c r="E935" s="43"/>
      <c r="F935" s="43"/>
      <c r="G935" s="43"/>
      <c r="H935" s="43"/>
      <c r="I935" s="187"/>
      <c r="J935" s="188"/>
      <c r="K935" s="43"/>
      <c r="L935" s="43"/>
      <c r="M935" s="43"/>
      <c r="N935" s="43"/>
      <c r="O935" s="43"/>
      <c r="P935" s="43"/>
      <c r="Q935" s="43"/>
      <c r="R935" s="43"/>
      <c r="S935" s="43"/>
      <c r="T935" s="43"/>
      <c r="U935" s="43"/>
      <c r="V935" s="43"/>
      <c r="W935" s="43"/>
      <c r="X935" s="43"/>
      <c r="Y935" s="43"/>
      <c r="Z935" s="43"/>
      <c r="AA935" s="187"/>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row>
    <row r="936" spans="1:49" ht="13">
      <c r="A936" s="43"/>
      <c r="B936" s="43"/>
      <c r="C936" s="186"/>
      <c r="D936" s="43"/>
      <c r="E936" s="43"/>
      <c r="F936" s="43"/>
      <c r="G936" s="43"/>
      <c r="H936" s="43"/>
      <c r="I936" s="187"/>
      <c r="J936" s="188"/>
      <c r="K936" s="43"/>
      <c r="L936" s="43"/>
      <c r="M936" s="43"/>
      <c r="N936" s="43"/>
      <c r="O936" s="43"/>
      <c r="P936" s="43"/>
      <c r="Q936" s="43"/>
      <c r="R936" s="43"/>
      <c r="S936" s="43"/>
      <c r="T936" s="43"/>
      <c r="U936" s="43"/>
      <c r="V936" s="43"/>
      <c r="W936" s="43"/>
      <c r="X936" s="43"/>
      <c r="Y936" s="43"/>
      <c r="Z936" s="43"/>
      <c r="AA936" s="187"/>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row>
    <row r="937" spans="1:49" ht="13">
      <c r="A937" s="43"/>
      <c r="B937" s="43"/>
      <c r="C937" s="186"/>
      <c r="D937" s="43"/>
      <c r="E937" s="43"/>
      <c r="F937" s="43"/>
      <c r="G937" s="43"/>
      <c r="H937" s="43"/>
      <c r="I937" s="187"/>
      <c r="J937" s="188"/>
      <c r="K937" s="43"/>
      <c r="L937" s="43"/>
      <c r="M937" s="43"/>
      <c r="N937" s="43"/>
      <c r="O937" s="43"/>
      <c r="P937" s="43"/>
      <c r="Q937" s="43"/>
      <c r="R937" s="43"/>
      <c r="S937" s="43"/>
      <c r="T937" s="43"/>
      <c r="U937" s="43"/>
      <c r="V937" s="43"/>
      <c r="W937" s="43"/>
      <c r="X937" s="43"/>
      <c r="Y937" s="43"/>
      <c r="Z937" s="43"/>
      <c r="AA937" s="187"/>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row>
    <row r="938" spans="1:49" ht="13">
      <c r="A938" s="43"/>
      <c r="B938" s="43"/>
      <c r="C938" s="186"/>
      <c r="D938" s="43"/>
      <c r="E938" s="43"/>
      <c r="F938" s="43"/>
      <c r="G938" s="43"/>
      <c r="H938" s="43"/>
      <c r="I938" s="187"/>
      <c r="J938" s="188"/>
      <c r="K938" s="43"/>
      <c r="L938" s="43"/>
      <c r="M938" s="43"/>
      <c r="N938" s="43"/>
      <c r="O938" s="43"/>
      <c r="P938" s="43"/>
      <c r="Q938" s="43"/>
      <c r="R938" s="43"/>
      <c r="S938" s="43"/>
      <c r="T938" s="43"/>
      <c r="U938" s="43"/>
      <c r="V938" s="43"/>
      <c r="W938" s="43"/>
      <c r="X938" s="43"/>
      <c r="Y938" s="43"/>
      <c r="Z938" s="43"/>
      <c r="AA938" s="187"/>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row>
    <row r="939" spans="1:49" ht="13">
      <c r="A939" s="43"/>
      <c r="B939" s="43"/>
      <c r="C939" s="186"/>
      <c r="D939" s="43"/>
      <c r="E939" s="43"/>
      <c r="F939" s="43"/>
      <c r="G939" s="43"/>
      <c r="H939" s="43"/>
      <c r="I939" s="187"/>
      <c r="J939" s="188"/>
      <c r="K939" s="43"/>
      <c r="L939" s="43"/>
      <c r="M939" s="43"/>
      <c r="N939" s="43"/>
      <c r="O939" s="43"/>
      <c r="P939" s="43"/>
      <c r="Q939" s="43"/>
      <c r="R939" s="43"/>
      <c r="S939" s="43"/>
      <c r="T939" s="43"/>
      <c r="U939" s="43"/>
      <c r="V939" s="43"/>
      <c r="W939" s="43"/>
      <c r="X939" s="43"/>
      <c r="Y939" s="43"/>
      <c r="Z939" s="43"/>
      <c r="AA939" s="187"/>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row>
    <row r="940" spans="1:49" ht="13">
      <c r="A940" s="43"/>
      <c r="B940" s="43"/>
      <c r="C940" s="186"/>
      <c r="D940" s="43"/>
      <c r="E940" s="43"/>
      <c r="F940" s="43"/>
      <c r="G940" s="43"/>
      <c r="H940" s="43"/>
      <c r="I940" s="187"/>
      <c r="J940" s="188"/>
      <c r="K940" s="43"/>
      <c r="L940" s="43"/>
      <c r="M940" s="43"/>
      <c r="N940" s="43"/>
      <c r="O940" s="43"/>
      <c r="P940" s="43"/>
      <c r="Q940" s="43"/>
      <c r="R940" s="43"/>
      <c r="S940" s="43"/>
      <c r="T940" s="43"/>
      <c r="U940" s="43"/>
      <c r="V940" s="43"/>
      <c r="W940" s="43"/>
      <c r="X940" s="43"/>
      <c r="Y940" s="43"/>
      <c r="Z940" s="43"/>
      <c r="AA940" s="187"/>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row>
    <row r="941" spans="1:49" ht="13">
      <c r="A941" s="43"/>
      <c r="B941" s="43"/>
      <c r="C941" s="186"/>
      <c r="D941" s="43"/>
      <c r="E941" s="43"/>
      <c r="F941" s="43"/>
      <c r="G941" s="43"/>
      <c r="H941" s="43"/>
      <c r="I941" s="187"/>
      <c r="J941" s="188"/>
      <c r="K941" s="43"/>
      <c r="L941" s="43"/>
      <c r="M941" s="43"/>
      <c r="N941" s="43"/>
      <c r="O941" s="43"/>
      <c r="P941" s="43"/>
      <c r="Q941" s="43"/>
      <c r="R941" s="43"/>
      <c r="S941" s="43"/>
      <c r="T941" s="43"/>
      <c r="U941" s="43"/>
      <c r="V941" s="43"/>
      <c r="W941" s="43"/>
      <c r="X941" s="43"/>
      <c r="Y941" s="43"/>
      <c r="Z941" s="43"/>
      <c r="AA941" s="187"/>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row>
    <row r="942" spans="1:49" ht="13">
      <c r="A942" s="43"/>
      <c r="B942" s="43"/>
      <c r="C942" s="186"/>
      <c r="D942" s="43"/>
      <c r="E942" s="43"/>
      <c r="F942" s="43"/>
      <c r="G942" s="43"/>
      <c r="H942" s="43"/>
      <c r="I942" s="187"/>
      <c r="J942" s="188"/>
      <c r="K942" s="43"/>
      <c r="L942" s="43"/>
      <c r="M942" s="43"/>
      <c r="N942" s="43"/>
      <c r="O942" s="43"/>
      <c r="P942" s="43"/>
      <c r="Q942" s="43"/>
      <c r="R942" s="43"/>
      <c r="S942" s="43"/>
      <c r="T942" s="43"/>
      <c r="U942" s="43"/>
      <c r="V942" s="43"/>
      <c r="W942" s="43"/>
      <c r="X942" s="43"/>
      <c r="Y942" s="43"/>
      <c r="Z942" s="43"/>
      <c r="AA942" s="187"/>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row>
    <row r="943" spans="1:49" ht="13">
      <c r="A943" s="43"/>
      <c r="B943" s="43"/>
      <c r="C943" s="186"/>
      <c r="D943" s="43"/>
      <c r="E943" s="43"/>
      <c r="F943" s="43"/>
      <c r="G943" s="43"/>
      <c r="H943" s="43"/>
      <c r="I943" s="187"/>
      <c r="J943" s="188"/>
      <c r="K943" s="43"/>
      <c r="L943" s="43"/>
      <c r="M943" s="43"/>
      <c r="N943" s="43"/>
      <c r="O943" s="43"/>
      <c r="P943" s="43"/>
      <c r="Q943" s="43"/>
      <c r="R943" s="43"/>
      <c r="S943" s="43"/>
      <c r="T943" s="43"/>
      <c r="U943" s="43"/>
      <c r="V943" s="43"/>
      <c r="W943" s="43"/>
      <c r="X943" s="43"/>
      <c r="Y943" s="43"/>
      <c r="Z943" s="43"/>
      <c r="AA943" s="187"/>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row>
    <row r="944" spans="1:49" ht="13">
      <c r="A944" s="43"/>
      <c r="B944" s="43"/>
      <c r="C944" s="186"/>
      <c r="D944" s="43"/>
      <c r="E944" s="43"/>
      <c r="F944" s="43"/>
      <c r="G944" s="43"/>
      <c r="H944" s="43"/>
      <c r="I944" s="187"/>
      <c r="J944" s="188"/>
      <c r="K944" s="43"/>
      <c r="L944" s="43"/>
      <c r="M944" s="43"/>
      <c r="N944" s="43"/>
      <c r="O944" s="43"/>
      <c r="P944" s="43"/>
      <c r="Q944" s="43"/>
      <c r="R944" s="43"/>
      <c r="S944" s="43"/>
      <c r="T944" s="43"/>
      <c r="U944" s="43"/>
      <c r="V944" s="43"/>
      <c r="W944" s="43"/>
      <c r="X944" s="43"/>
      <c r="Y944" s="43"/>
      <c r="Z944" s="43"/>
      <c r="AA944" s="187"/>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row>
    <row r="945" spans="1:49" ht="13">
      <c r="A945" s="43"/>
      <c r="B945" s="43"/>
      <c r="C945" s="186"/>
      <c r="D945" s="43"/>
      <c r="E945" s="43"/>
      <c r="F945" s="43"/>
      <c r="G945" s="43"/>
      <c r="H945" s="43"/>
      <c r="I945" s="187"/>
      <c r="J945" s="188"/>
      <c r="K945" s="43"/>
      <c r="L945" s="43"/>
      <c r="M945" s="43"/>
      <c r="N945" s="43"/>
      <c r="O945" s="43"/>
      <c r="P945" s="43"/>
      <c r="Q945" s="43"/>
      <c r="R945" s="43"/>
      <c r="S945" s="43"/>
      <c r="T945" s="43"/>
      <c r="U945" s="43"/>
      <c r="V945" s="43"/>
      <c r="W945" s="43"/>
      <c r="X945" s="43"/>
      <c r="Y945" s="43"/>
      <c r="Z945" s="43"/>
      <c r="AA945" s="187"/>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row>
    <row r="946" spans="1:49" ht="13">
      <c r="A946" s="43"/>
      <c r="B946" s="43"/>
      <c r="C946" s="186"/>
      <c r="D946" s="43"/>
      <c r="E946" s="43"/>
      <c r="F946" s="43"/>
      <c r="G946" s="43"/>
      <c r="H946" s="43"/>
      <c r="I946" s="187"/>
      <c r="J946" s="188"/>
      <c r="K946" s="43"/>
      <c r="L946" s="43"/>
      <c r="M946" s="43"/>
      <c r="N946" s="43"/>
      <c r="O946" s="43"/>
      <c r="P946" s="43"/>
      <c r="Q946" s="43"/>
      <c r="R946" s="43"/>
      <c r="S946" s="43"/>
      <c r="T946" s="43"/>
      <c r="U946" s="43"/>
      <c r="V946" s="43"/>
      <c r="W946" s="43"/>
      <c r="X946" s="43"/>
      <c r="Y946" s="43"/>
      <c r="Z946" s="43"/>
      <c r="AA946" s="187"/>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row>
    <row r="947" spans="1:49" ht="13">
      <c r="A947" s="43"/>
      <c r="B947" s="43"/>
      <c r="C947" s="186"/>
      <c r="D947" s="43"/>
      <c r="E947" s="43"/>
      <c r="F947" s="43"/>
      <c r="G947" s="43"/>
      <c r="H947" s="43"/>
      <c r="I947" s="187"/>
      <c r="J947" s="188"/>
      <c r="K947" s="43"/>
      <c r="L947" s="43"/>
      <c r="M947" s="43"/>
      <c r="N947" s="43"/>
      <c r="O947" s="43"/>
      <c r="P947" s="43"/>
      <c r="Q947" s="43"/>
      <c r="R947" s="43"/>
      <c r="S947" s="43"/>
      <c r="T947" s="43"/>
      <c r="U947" s="43"/>
      <c r="V947" s="43"/>
      <c r="W947" s="43"/>
      <c r="X947" s="43"/>
      <c r="Y947" s="43"/>
      <c r="Z947" s="43"/>
      <c r="AA947" s="187"/>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row>
    <row r="948" spans="1:49" ht="13">
      <c r="A948" s="43"/>
      <c r="B948" s="43"/>
      <c r="C948" s="186"/>
      <c r="D948" s="43"/>
      <c r="E948" s="43"/>
      <c r="F948" s="43"/>
      <c r="G948" s="43"/>
      <c r="H948" s="43"/>
      <c r="I948" s="187"/>
      <c r="J948" s="188"/>
      <c r="K948" s="43"/>
      <c r="L948" s="43"/>
      <c r="M948" s="43"/>
      <c r="N948" s="43"/>
      <c r="O948" s="43"/>
      <c r="P948" s="43"/>
      <c r="Q948" s="43"/>
      <c r="R948" s="43"/>
      <c r="S948" s="43"/>
      <c r="T948" s="43"/>
      <c r="U948" s="43"/>
      <c r="V948" s="43"/>
      <c r="W948" s="43"/>
      <c r="X948" s="43"/>
      <c r="Y948" s="43"/>
      <c r="Z948" s="43"/>
      <c r="AA948" s="187"/>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row>
    <row r="949" spans="1:49" ht="13">
      <c r="A949" s="43"/>
      <c r="B949" s="43"/>
      <c r="C949" s="186"/>
      <c r="D949" s="43"/>
      <c r="E949" s="43"/>
      <c r="F949" s="43"/>
      <c r="G949" s="43"/>
      <c r="H949" s="43"/>
      <c r="I949" s="187"/>
      <c r="J949" s="188"/>
      <c r="K949" s="43"/>
      <c r="L949" s="43"/>
      <c r="M949" s="43"/>
      <c r="N949" s="43"/>
      <c r="O949" s="43"/>
      <c r="P949" s="43"/>
      <c r="Q949" s="43"/>
      <c r="R949" s="43"/>
      <c r="S949" s="43"/>
      <c r="T949" s="43"/>
      <c r="U949" s="43"/>
      <c r="V949" s="43"/>
      <c r="W949" s="43"/>
      <c r="X949" s="43"/>
      <c r="Y949" s="43"/>
      <c r="Z949" s="43"/>
      <c r="AA949" s="187"/>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row>
    <row r="950" spans="1:49" ht="13">
      <c r="A950" s="43"/>
      <c r="B950" s="43"/>
      <c r="C950" s="186"/>
      <c r="D950" s="43"/>
      <c r="E950" s="43"/>
      <c r="F950" s="43"/>
      <c r="G950" s="43"/>
      <c r="H950" s="43"/>
      <c r="I950" s="187"/>
      <c r="J950" s="188"/>
      <c r="K950" s="43"/>
      <c r="L950" s="43"/>
      <c r="M950" s="43"/>
      <c r="N950" s="43"/>
      <c r="O950" s="43"/>
      <c r="P950" s="43"/>
      <c r="Q950" s="43"/>
      <c r="R950" s="43"/>
      <c r="S950" s="43"/>
      <c r="T950" s="43"/>
      <c r="U950" s="43"/>
      <c r="V950" s="43"/>
      <c r="W950" s="43"/>
      <c r="X950" s="43"/>
      <c r="Y950" s="43"/>
      <c r="Z950" s="43"/>
      <c r="AA950" s="187"/>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row>
    <row r="951" spans="1:49" ht="13">
      <c r="A951" s="43"/>
      <c r="B951" s="43"/>
      <c r="C951" s="186"/>
      <c r="D951" s="43"/>
      <c r="E951" s="43"/>
      <c r="F951" s="43"/>
      <c r="G951" s="43"/>
      <c r="H951" s="43"/>
      <c r="I951" s="187"/>
      <c r="J951" s="188"/>
      <c r="K951" s="43"/>
      <c r="L951" s="43"/>
      <c r="M951" s="43"/>
      <c r="N951" s="43"/>
      <c r="O951" s="43"/>
      <c r="P951" s="43"/>
      <c r="Q951" s="43"/>
      <c r="R951" s="43"/>
      <c r="S951" s="43"/>
      <c r="T951" s="43"/>
      <c r="U951" s="43"/>
      <c r="V951" s="43"/>
      <c r="W951" s="43"/>
      <c r="X951" s="43"/>
      <c r="Y951" s="43"/>
      <c r="Z951" s="43"/>
      <c r="AA951" s="187"/>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row>
    <row r="952" spans="1:49" ht="13">
      <c r="A952" s="43"/>
      <c r="B952" s="43"/>
      <c r="C952" s="186"/>
      <c r="D952" s="43"/>
      <c r="E952" s="43"/>
      <c r="F952" s="43"/>
      <c r="G952" s="43"/>
      <c r="H952" s="43"/>
      <c r="I952" s="187"/>
      <c r="J952" s="188"/>
      <c r="K952" s="43"/>
      <c r="L952" s="43"/>
      <c r="M952" s="43"/>
      <c r="N952" s="43"/>
      <c r="O952" s="43"/>
      <c r="P952" s="43"/>
      <c r="Q952" s="43"/>
      <c r="R952" s="43"/>
      <c r="S952" s="43"/>
      <c r="T952" s="43"/>
      <c r="U952" s="43"/>
      <c r="V952" s="43"/>
      <c r="W952" s="43"/>
      <c r="X952" s="43"/>
      <c r="Y952" s="43"/>
      <c r="Z952" s="43"/>
      <c r="AA952" s="187"/>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row>
    <row r="953" spans="1:49" ht="13">
      <c r="A953" s="43"/>
      <c r="B953" s="43"/>
      <c r="C953" s="186"/>
      <c r="D953" s="43"/>
      <c r="E953" s="43"/>
      <c r="F953" s="43"/>
      <c r="G953" s="43"/>
      <c r="H953" s="43"/>
      <c r="I953" s="187"/>
      <c r="J953" s="188"/>
      <c r="K953" s="43"/>
      <c r="L953" s="43"/>
      <c r="M953" s="43"/>
      <c r="N953" s="43"/>
      <c r="O953" s="43"/>
      <c r="P953" s="43"/>
      <c r="Q953" s="43"/>
      <c r="R953" s="43"/>
      <c r="S953" s="43"/>
      <c r="T953" s="43"/>
      <c r="U953" s="43"/>
      <c r="V953" s="43"/>
      <c r="W953" s="43"/>
      <c r="X953" s="43"/>
      <c r="Y953" s="43"/>
      <c r="Z953" s="43"/>
      <c r="AA953" s="187"/>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row>
    <row r="954" spans="1:49" ht="13">
      <c r="A954" s="43"/>
      <c r="B954" s="43"/>
      <c r="C954" s="186"/>
      <c r="D954" s="43"/>
      <c r="E954" s="43"/>
      <c r="F954" s="43"/>
      <c r="G954" s="43"/>
      <c r="H954" s="43"/>
      <c r="I954" s="187"/>
      <c r="J954" s="188"/>
      <c r="K954" s="43"/>
      <c r="L954" s="43"/>
      <c r="M954" s="43"/>
      <c r="N954" s="43"/>
      <c r="O954" s="43"/>
      <c r="P954" s="43"/>
      <c r="Q954" s="43"/>
      <c r="R954" s="43"/>
      <c r="S954" s="43"/>
      <c r="T954" s="43"/>
      <c r="U954" s="43"/>
      <c r="V954" s="43"/>
      <c r="W954" s="43"/>
      <c r="X954" s="43"/>
      <c r="Y954" s="43"/>
      <c r="Z954" s="43"/>
      <c r="AA954" s="187"/>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row>
    <row r="955" spans="1:49" ht="13">
      <c r="A955" s="43"/>
      <c r="B955" s="43"/>
      <c r="C955" s="186"/>
      <c r="D955" s="43"/>
      <c r="E955" s="43"/>
      <c r="F955" s="43"/>
      <c r="G955" s="43"/>
      <c r="H955" s="43"/>
      <c r="I955" s="187"/>
      <c r="J955" s="188"/>
      <c r="K955" s="43"/>
      <c r="L955" s="43"/>
      <c r="M955" s="43"/>
      <c r="N955" s="43"/>
      <c r="O955" s="43"/>
      <c r="P955" s="43"/>
      <c r="Q955" s="43"/>
      <c r="R955" s="43"/>
      <c r="S955" s="43"/>
      <c r="T955" s="43"/>
      <c r="U955" s="43"/>
      <c r="V955" s="43"/>
      <c r="W955" s="43"/>
      <c r="X955" s="43"/>
      <c r="Y955" s="43"/>
      <c r="Z955" s="43"/>
      <c r="AA955" s="187"/>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row>
    <row r="956" spans="1:49" ht="13">
      <c r="A956" s="43"/>
      <c r="B956" s="43"/>
      <c r="C956" s="186"/>
      <c r="D956" s="43"/>
      <c r="E956" s="43"/>
      <c r="F956" s="43"/>
      <c r="G956" s="43"/>
      <c r="H956" s="43"/>
      <c r="I956" s="187"/>
      <c r="J956" s="188"/>
      <c r="K956" s="43"/>
      <c r="L956" s="43"/>
      <c r="M956" s="43"/>
      <c r="N956" s="43"/>
      <c r="O956" s="43"/>
      <c r="P956" s="43"/>
      <c r="Q956" s="43"/>
      <c r="R956" s="43"/>
      <c r="S956" s="43"/>
      <c r="T956" s="43"/>
      <c r="U956" s="43"/>
      <c r="V956" s="43"/>
      <c r="W956" s="43"/>
      <c r="X956" s="43"/>
      <c r="Y956" s="43"/>
      <c r="Z956" s="43"/>
      <c r="AA956" s="187"/>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row>
    <row r="957" spans="1:49" ht="13">
      <c r="A957" s="43"/>
      <c r="B957" s="43"/>
      <c r="C957" s="186"/>
      <c r="D957" s="43"/>
      <c r="E957" s="43"/>
      <c r="F957" s="43"/>
      <c r="G957" s="43"/>
      <c r="H957" s="43"/>
      <c r="I957" s="187"/>
      <c r="J957" s="188"/>
      <c r="K957" s="43"/>
      <c r="L957" s="43"/>
      <c r="M957" s="43"/>
      <c r="N957" s="43"/>
      <c r="O957" s="43"/>
      <c r="P957" s="43"/>
      <c r="Q957" s="43"/>
      <c r="R957" s="43"/>
      <c r="S957" s="43"/>
      <c r="T957" s="43"/>
      <c r="U957" s="43"/>
      <c r="V957" s="43"/>
      <c r="W957" s="43"/>
      <c r="X957" s="43"/>
      <c r="Y957" s="43"/>
      <c r="Z957" s="43"/>
      <c r="AA957" s="187"/>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row>
    <row r="958" spans="1:49" ht="13">
      <c r="A958" s="43"/>
      <c r="B958" s="43"/>
      <c r="C958" s="186"/>
      <c r="D958" s="43"/>
      <c r="E958" s="43"/>
      <c r="F958" s="43"/>
      <c r="G958" s="43"/>
      <c r="H958" s="43"/>
      <c r="I958" s="187"/>
      <c r="J958" s="188"/>
      <c r="K958" s="43"/>
      <c r="L958" s="43"/>
      <c r="M958" s="43"/>
      <c r="N958" s="43"/>
      <c r="O958" s="43"/>
      <c r="P958" s="43"/>
      <c r="Q958" s="43"/>
      <c r="R958" s="43"/>
      <c r="S958" s="43"/>
      <c r="T958" s="43"/>
      <c r="U958" s="43"/>
      <c r="V958" s="43"/>
      <c r="W958" s="43"/>
      <c r="X958" s="43"/>
      <c r="Y958" s="43"/>
      <c r="Z958" s="43"/>
      <c r="AA958" s="187"/>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row>
    <row r="959" spans="1:49" ht="13">
      <c r="A959" s="43"/>
      <c r="B959" s="43"/>
      <c r="C959" s="186"/>
      <c r="D959" s="43"/>
      <c r="E959" s="43"/>
      <c r="F959" s="43"/>
      <c r="G959" s="43"/>
      <c r="H959" s="43"/>
      <c r="I959" s="187"/>
      <c r="J959" s="188"/>
      <c r="K959" s="43"/>
      <c r="L959" s="43"/>
      <c r="M959" s="43"/>
      <c r="N959" s="43"/>
      <c r="O959" s="43"/>
      <c r="P959" s="43"/>
      <c r="Q959" s="43"/>
      <c r="R959" s="43"/>
      <c r="S959" s="43"/>
      <c r="T959" s="43"/>
      <c r="U959" s="43"/>
      <c r="V959" s="43"/>
      <c r="W959" s="43"/>
      <c r="X959" s="43"/>
      <c r="Y959" s="43"/>
      <c r="Z959" s="43"/>
      <c r="AA959" s="187"/>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row>
    <row r="960" spans="1:49" ht="13">
      <c r="A960" s="43"/>
      <c r="B960" s="43"/>
      <c r="C960" s="186"/>
      <c r="D960" s="43"/>
      <c r="E960" s="43"/>
      <c r="F960" s="43"/>
      <c r="G960" s="43"/>
      <c r="H960" s="43"/>
      <c r="I960" s="187"/>
      <c r="J960" s="188"/>
      <c r="K960" s="43"/>
      <c r="L960" s="43"/>
      <c r="M960" s="43"/>
      <c r="N960" s="43"/>
      <c r="O960" s="43"/>
      <c r="P960" s="43"/>
      <c r="Q960" s="43"/>
      <c r="R960" s="43"/>
      <c r="S960" s="43"/>
      <c r="T960" s="43"/>
      <c r="U960" s="43"/>
      <c r="V960" s="43"/>
      <c r="W960" s="43"/>
      <c r="X960" s="43"/>
      <c r="Y960" s="43"/>
      <c r="Z960" s="43"/>
      <c r="AA960" s="187"/>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row>
  </sheetData>
  <autoFilter ref="A1:AH842" xr:uid="{00000000-0001-0000-0200-000000000000}"/>
  <mergeCells count="15">
    <mergeCell ref="K828:M828"/>
    <mergeCell ref="K829:M829"/>
    <mergeCell ref="K830:M830"/>
    <mergeCell ref="K686:M686"/>
    <mergeCell ref="K722:M722"/>
    <mergeCell ref="K724:M724"/>
    <mergeCell ref="K741:M741"/>
    <mergeCell ref="K742:M742"/>
    <mergeCell ref="K750:M750"/>
    <mergeCell ref="K754:M754"/>
    <mergeCell ref="K763:M763"/>
    <mergeCell ref="K765:M765"/>
    <mergeCell ref="K766:M766"/>
    <mergeCell ref="K771:M771"/>
    <mergeCell ref="K827:M827"/>
  </mergeCells>
  <conditionalFormatting sqref="G1:G556 H558 G559:G960 I600:I601">
    <cfRule type="cellIs" dxfId="0" priority="1" operator="equal">
      <formula>0</formula>
    </cfRule>
  </conditionalFormatting>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I27" r:id="rId26" xr:uid="{00000000-0004-0000-0200-000019000000}"/>
    <hyperlink ref="I28" r:id="rId27" xr:uid="{00000000-0004-0000-0200-00001A000000}"/>
    <hyperlink ref="I29" r:id="rId28" xr:uid="{00000000-0004-0000-0200-00001B000000}"/>
    <hyperlink ref="I30" r:id="rId29" xr:uid="{00000000-0004-0000-0200-00001C000000}"/>
    <hyperlink ref="I31" r:id="rId30" xr:uid="{00000000-0004-0000-0200-00001D000000}"/>
    <hyperlink ref="I32" r:id="rId31" xr:uid="{00000000-0004-0000-0200-00001E000000}"/>
    <hyperlink ref="I33" r:id="rId32" xr:uid="{00000000-0004-0000-0200-00001F000000}"/>
    <hyperlink ref="I34" r:id="rId33" xr:uid="{00000000-0004-0000-0200-000020000000}"/>
    <hyperlink ref="I35" r:id="rId34" xr:uid="{00000000-0004-0000-0200-000021000000}"/>
    <hyperlink ref="I36" r:id="rId35" xr:uid="{00000000-0004-0000-0200-000022000000}"/>
    <hyperlink ref="I37" r:id="rId36" xr:uid="{00000000-0004-0000-0200-000023000000}"/>
    <hyperlink ref="I38" r:id="rId37" xr:uid="{00000000-0004-0000-0200-000024000000}"/>
    <hyperlink ref="I39" r:id="rId38" xr:uid="{00000000-0004-0000-0200-000025000000}"/>
    <hyperlink ref="I40" r:id="rId39" xr:uid="{00000000-0004-0000-0200-000026000000}"/>
    <hyperlink ref="I41" r:id="rId40" xr:uid="{00000000-0004-0000-0200-000027000000}"/>
    <hyperlink ref="I42" r:id="rId41" xr:uid="{00000000-0004-0000-0200-000028000000}"/>
    <hyperlink ref="I43" r:id="rId42" xr:uid="{00000000-0004-0000-0200-000029000000}"/>
    <hyperlink ref="F44" r:id="rId43" xr:uid="{00000000-0004-0000-0200-00002A000000}"/>
    <hyperlink ref="I44" r:id="rId44" xr:uid="{00000000-0004-0000-0200-00002B000000}"/>
    <hyperlink ref="I45" r:id="rId45" xr:uid="{00000000-0004-0000-0200-00002C000000}"/>
    <hyperlink ref="F46" r:id="rId46" xr:uid="{00000000-0004-0000-0200-00002D000000}"/>
    <hyperlink ref="I46" r:id="rId47" xr:uid="{00000000-0004-0000-0200-00002E000000}"/>
    <hyperlink ref="F47" r:id="rId48" xr:uid="{00000000-0004-0000-0200-00002F000000}"/>
    <hyperlink ref="I47" r:id="rId49" xr:uid="{00000000-0004-0000-0200-000030000000}"/>
    <hyperlink ref="F48" r:id="rId50" xr:uid="{00000000-0004-0000-0200-000031000000}"/>
    <hyperlink ref="I48" r:id="rId51" xr:uid="{00000000-0004-0000-0200-000032000000}"/>
    <hyperlink ref="I49" r:id="rId52" xr:uid="{00000000-0004-0000-0200-000033000000}"/>
    <hyperlink ref="I50" r:id="rId53" xr:uid="{00000000-0004-0000-0200-000034000000}"/>
    <hyperlink ref="I51" r:id="rId54" xr:uid="{00000000-0004-0000-0200-000035000000}"/>
    <hyperlink ref="I52" r:id="rId55" xr:uid="{00000000-0004-0000-0200-000036000000}"/>
    <hyperlink ref="I53" r:id="rId56" xr:uid="{00000000-0004-0000-0200-000037000000}"/>
    <hyperlink ref="I54" r:id="rId57" xr:uid="{00000000-0004-0000-0200-000038000000}"/>
    <hyperlink ref="I55" r:id="rId58" xr:uid="{00000000-0004-0000-0200-000039000000}"/>
    <hyperlink ref="I56" r:id="rId59" xr:uid="{00000000-0004-0000-0200-00003A000000}"/>
    <hyperlink ref="I57" r:id="rId60" xr:uid="{00000000-0004-0000-0200-00003B000000}"/>
    <hyperlink ref="I58" r:id="rId61" xr:uid="{00000000-0004-0000-0200-00003C000000}"/>
    <hyperlink ref="I59" r:id="rId62" xr:uid="{00000000-0004-0000-0200-00003D000000}"/>
    <hyperlink ref="I60" r:id="rId63" xr:uid="{00000000-0004-0000-0200-00003E000000}"/>
    <hyperlink ref="I61" r:id="rId64" xr:uid="{00000000-0004-0000-0200-00003F000000}"/>
    <hyperlink ref="I62" r:id="rId65" xr:uid="{00000000-0004-0000-0200-000040000000}"/>
    <hyperlink ref="I63" r:id="rId66" xr:uid="{00000000-0004-0000-0200-000041000000}"/>
    <hyperlink ref="I64" r:id="rId67" xr:uid="{00000000-0004-0000-0200-000042000000}"/>
    <hyperlink ref="I65" r:id="rId68" xr:uid="{00000000-0004-0000-0200-000043000000}"/>
    <hyperlink ref="I66" r:id="rId69" xr:uid="{00000000-0004-0000-0200-000044000000}"/>
    <hyperlink ref="I67" r:id="rId70" xr:uid="{00000000-0004-0000-0200-000045000000}"/>
    <hyperlink ref="I68" r:id="rId71" xr:uid="{00000000-0004-0000-0200-000046000000}"/>
    <hyperlink ref="I69" r:id="rId72" xr:uid="{00000000-0004-0000-0200-000047000000}"/>
    <hyperlink ref="I70" r:id="rId73" xr:uid="{00000000-0004-0000-0200-000048000000}"/>
    <hyperlink ref="I71" r:id="rId74" xr:uid="{00000000-0004-0000-0200-000049000000}"/>
    <hyperlink ref="I72" r:id="rId75" xr:uid="{00000000-0004-0000-0200-00004A000000}"/>
    <hyperlink ref="I73" r:id="rId76" xr:uid="{00000000-0004-0000-0200-00004B000000}"/>
    <hyperlink ref="I74" r:id="rId77" xr:uid="{00000000-0004-0000-0200-00004C000000}"/>
    <hyperlink ref="I75" r:id="rId78" xr:uid="{00000000-0004-0000-0200-00004D000000}"/>
    <hyperlink ref="I76" r:id="rId79" xr:uid="{00000000-0004-0000-0200-00004E000000}"/>
    <hyperlink ref="I77" r:id="rId80" xr:uid="{00000000-0004-0000-0200-00004F000000}"/>
    <hyperlink ref="I78" r:id="rId81" xr:uid="{00000000-0004-0000-0200-000050000000}"/>
    <hyperlink ref="I79" r:id="rId82" xr:uid="{00000000-0004-0000-0200-000051000000}"/>
    <hyperlink ref="I80" r:id="rId83" xr:uid="{00000000-0004-0000-0200-000052000000}"/>
    <hyperlink ref="I81" r:id="rId84" xr:uid="{00000000-0004-0000-0200-000053000000}"/>
    <hyperlink ref="I82" r:id="rId85" xr:uid="{00000000-0004-0000-0200-000054000000}"/>
    <hyperlink ref="I83" r:id="rId86" xr:uid="{00000000-0004-0000-0200-000055000000}"/>
    <hyperlink ref="I84" r:id="rId87" xr:uid="{00000000-0004-0000-0200-000056000000}"/>
    <hyperlink ref="I85" r:id="rId88" xr:uid="{00000000-0004-0000-0200-000057000000}"/>
    <hyperlink ref="I86" r:id="rId89" xr:uid="{00000000-0004-0000-0200-000058000000}"/>
    <hyperlink ref="I87" r:id="rId90" xr:uid="{00000000-0004-0000-0200-000059000000}"/>
    <hyperlink ref="I88" r:id="rId91" xr:uid="{00000000-0004-0000-0200-00005A000000}"/>
    <hyperlink ref="I89" r:id="rId92" xr:uid="{00000000-0004-0000-0200-00005B000000}"/>
    <hyperlink ref="I90" r:id="rId93" xr:uid="{00000000-0004-0000-0200-00005C000000}"/>
    <hyperlink ref="I91" r:id="rId94" xr:uid="{00000000-0004-0000-0200-00005D000000}"/>
    <hyperlink ref="I92" r:id="rId95" xr:uid="{00000000-0004-0000-0200-00005E000000}"/>
    <hyperlink ref="I93" r:id="rId96" xr:uid="{00000000-0004-0000-0200-00005F000000}"/>
    <hyperlink ref="I94" r:id="rId97" xr:uid="{00000000-0004-0000-0200-000060000000}"/>
    <hyperlink ref="I95" r:id="rId98" xr:uid="{00000000-0004-0000-0200-000061000000}"/>
    <hyperlink ref="I96" r:id="rId99" xr:uid="{00000000-0004-0000-0200-000062000000}"/>
    <hyperlink ref="I97" r:id="rId100" xr:uid="{00000000-0004-0000-0200-000063000000}"/>
    <hyperlink ref="I98" r:id="rId101" xr:uid="{00000000-0004-0000-0200-000064000000}"/>
    <hyperlink ref="I99" r:id="rId102" xr:uid="{00000000-0004-0000-0200-000065000000}"/>
    <hyperlink ref="I100" r:id="rId103" xr:uid="{00000000-0004-0000-0200-000066000000}"/>
    <hyperlink ref="I101" r:id="rId104" xr:uid="{00000000-0004-0000-0200-000067000000}"/>
    <hyperlink ref="I102" r:id="rId105" xr:uid="{00000000-0004-0000-0200-000068000000}"/>
    <hyperlink ref="I103" r:id="rId106" xr:uid="{00000000-0004-0000-0200-000069000000}"/>
    <hyperlink ref="I104" r:id="rId107" xr:uid="{00000000-0004-0000-0200-00006A000000}"/>
    <hyperlink ref="I105" r:id="rId108" xr:uid="{00000000-0004-0000-0200-00006B000000}"/>
    <hyperlink ref="I106" r:id="rId109" xr:uid="{00000000-0004-0000-0200-00006C000000}"/>
    <hyperlink ref="I107" r:id="rId110" xr:uid="{00000000-0004-0000-0200-00006D000000}"/>
    <hyperlink ref="I108" r:id="rId111" xr:uid="{00000000-0004-0000-0200-00006E000000}"/>
    <hyperlink ref="I109" r:id="rId112" xr:uid="{00000000-0004-0000-0200-00006F000000}"/>
    <hyperlink ref="I110" r:id="rId113" xr:uid="{00000000-0004-0000-0200-000070000000}"/>
    <hyperlink ref="I111" r:id="rId114" xr:uid="{00000000-0004-0000-0200-000071000000}"/>
    <hyperlink ref="I112" r:id="rId115" xr:uid="{00000000-0004-0000-0200-000072000000}"/>
    <hyperlink ref="I113" r:id="rId116" xr:uid="{00000000-0004-0000-0200-000073000000}"/>
    <hyperlink ref="I114" r:id="rId117" xr:uid="{00000000-0004-0000-0200-000074000000}"/>
    <hyperlink ref="I115" r:id="rId118" xr:uid="{00000000-0004-0000-0200-000075000000}"/>
    <hyperlink ref="I116" r:id="rId119" xr:uid="{00000000-0004-0000-0200-000076000000}"/>
    <hyperlink ref="I117" r:id="rId120" xr:uid="{00000000-0004-0000-0200-000077000000}"/>
    <hyperlink ref="I118" r:id="rId121" location="metadata_info_tab_contents" xr:uid="{00000000-0004-0000-0200-000078000000}"/>
    <hyperlink ref="I119" r:id="rId122" xr:uid="{00000000-0004-0000-0200-000079000000}"/>
    <hyperlink ref="I120" r:id="rId123" xr:uid="{00000000-0004-0000-0200-00007A000000}"/>
    <hyperlink ref="I121" r:id="rId124" xr:uid="{00000000-0004-0000-0200-00007B000000}"/>
    <hyperlink ref="I122" r:id="rId125" xr:uid="{00000000-0004-0000-0200-00007C000000}"/>
    <hyperlink ref="I123" r:id="rId126" xr:uid="{00000000-0004-0000-0200-00007D000000}"/>
    <hyperlink ref="I124" r:id="rId127" xr:uid="{00000000-0004-0000-0200-00007E000000}"/>
    <hyperlink ref="I125" r:id="rId128" xr:uid="{00000000-0004-0000-0200-00007F000000}"/>
    <hyperlink ref="I126" r:id="rId129" xr:uid="{00000000-0004-0000-0200-000080000000}"/>
    <hyperlink ref="H127" r:id="rId130" xr:uid="{00000000-0004-0000-0200-000081000000}"/>
    <hyperlink ref="I127" r:id="rId131" xr:uid="{00000000-0004-0000-0200-000082000000}"/>
    <hyperlink ref="I128" r:id="rId132" xr:uid="{00000000-0004-0000-0200-000083000000}"/>
    <hyperlink ref="I129" r:id="rId133" xr:uid="{00000000-0004-0000-0200-000084000000}"/>
    <hyperlink ref="I130" r:id="rId134" xr:uid="{00000000-0004-0000-0200-000085000000}"/>
    <hyperlink ref="I131" r:id="rId135" xr:uid="{00000000-0004-0000-0200-000086000000}"/>
    <hyperlink ref="I132" r:id="rId136" xr:uid="{00000000-0004-0000-0200-000087000000}"/>
    <hyperlink ref="I133" r:id="rId137" xr:uid="{00000000-0004-0000-0200-000088000000}"/>
    <hyperlink ref="I134" r:id="rId138" xr:uid="{00000000-0004-0000-0200-000089000000}"/>
    <hyperlink ref="I135" r:id="rId139" xr:uid="{00000000-0004-0000-0200-00008A000000}"/>
    <hyperlink ref="I136" r:id="rId140" xr:uid="{00000000-0004-0000-0200-00008B000000}"/>
    <hyperlink ref="I137" r:id="rId141" xr:uid="{00000000-0004-0000-0200-00008C000000}"/>
    <hyperlink ref="I138" r:id="rId142" xr:uid="{00000000-0004-0000-0200-00008D000000}"/>
    <hyperlink ref="I139" r:id="rId143" xr:uid="{00000000-0004-0000-0200-00008E000000}"/>
    <hyperlink ref="I140" r:id="rId144" xr:uid="{00000000-0004-0000-0200-00008F000000}"/>
    <hyperlink ref="I141" r:id="rId145" xr:uid="{00000000-0004-0000-0200-000090000000}"/>
    <hyperlink ref="I142" r:id="rId146" xr:uid="{00000000-0004-0000-0200-000091000000}"/>
    <hyperlink ref="I143" r:id="rId147" xr:uid="{00000000-0004-0000-0200-000092000000}"/>
    <hyperlink ref="I144" r:id="rId148" xr:uid="{00000000-0004-0000-0200-000093000000}"/>
    <hyperlink ref="I145" r:id="rId149" xr:uid="{00000000-0004-0000-0200-000094000000}"/>
    <hyperlink ref="I146" r:id="rId150" xr:uid="{00000000-0004-0000-0200-000095000000}"/>
    <hyperlink ref="I149" r:id="rId151" xr:uid="{00000000-0004-0000-0200-000096000000}"/>
    <hyperlink ref="I150" r:id="rId152" xr:uid="{00000000-0004-0000-0200-000097000000}"/>
    <hyperlink ref="I151" r:id="rId153" xr:uid="{00000000-0004-0000-0200-000098000000}"/>
    <hyperlink ref="I152" r:id="rId154" xr:uid="{00000000-0004-0000-0200-000099000000}"/>
    <hyperlink ref="I153" r:id="rId155" xr:uid="{00000000-0004-0000-0200-00009A000000}"/>
    <hyperlink ref="I154" r:id="rId156" xr:uid="{00000000-0004-0000-0200-00009B000000}"/>
    <hyperlink ref="I155" r:id="rId157" xr:uid="{00000000-0004-0000-0200-00009C000000}"/>
    <hyperlink ref="I156" r:id="rId158" xr:uid="{00000000-0004-0000-0200-00009D000000}"/>
    <hyperlink ref="I157" r:id="rId159" xr:uid="{00000000-0004-0000-0200-00009E000000}"/>
    <hyperlink ref="I158" r:id="rId160" xr:uid="{00000000-0004-0000-0200-00009F000000}"/>
    <hyperlink ref="I159" r:id="rId161" xr:uid="{00000000-0004-0000-0200-0000A0000000}"/>
    <hyperlink ref="I160" r:id="rId162" xr:uid="{00000000-0004-0000-0200-0000A1000000}"/>
    <hyperlink ref="I161" r:id="rId163" xr:uid="{00000000-0004-0000-0200-0000A2000000}"/>
    <hyperlink ref="I162" r:id="rId164" xr:uid="{00000000-0004-0000-0200-0000A3000000}"/>
    <hyperlink ref="I163" r:id="rId165" xr:uid="{00000000-0004-0000-0200-0000A4000000}"/>
    <hyperlink ref="I164" r:id="rId166" xr:uid="{00000000-0004-0000-0200-0000A5000000}"/>
    <hyperlink ref="I165" r:id="rId167" xr:uid="{00000000-0004-0000-0200-0000A6000000}"/>
    <hyperlink ref="I166" r:id="rId168" xr:uid="{00000000-0004-0000-0200-0000A7000000}"/>
    <hyperlink ref="I167" r:id="rId169" xr:uid="{00000000-0004-0000-0200-0000A8000000}"/>
    <hyperlink ref="I168" r:id="rId170" xr:uid="{00000000-0004-0000-0200-0000A9000000}"/>
    <hyperlink ref="I169" r:id="rId171" xr:uid="{00000000-0004-0000-0200-0000AA000000}"/>
    <hyperlink ref="I170" r:id="rId172" xr:uid="{00000000-0004-0000-0200-0000AB000000}"/>
    <hyperlink ref="I171" r:id="rId173" xr:uid="{00000000-0004-0000-0200-0000AC000000}"/>
    <hyperlink ref="I172" r:id="rId174" xr:uid="{00000000-0004-0000-0200-0000AD000000}"/>
    <hyperlink ref="I173" r:id="rId175" xr:uid="{00000000-0004-0000-0200-0000AE000000}"/>
    <hyperlink ref="I174" r:id="rId176" xr:uid="{00000000-0004-0000-0200-0000AF000000}"/>
    <hyperlink ref="I175" r:id="rId177" xr:uid="{00000000-0004-0000-0200-0000B0000000}"/>
    <hyperlink ref="I176" r:id="rId178" xr:uid="{00000000-0004-0000-0200-0000B1000000}"/>
    <hyperlink ref="I177" r:id="rId179" location=".YbENxmDMLIV" xr:uid="{00000000-0004-0000-0200-0000B2000000}"/>
    <hyperlink ref="I179" r:id="rId180" xr:uid="{00000000-0004-0000-0200-0000B3000000}"/>
    <hyperlink ref="I180" r:id="rId181" xr:uid="{00000000-0004-0000-0200-0000B4000000}"/>
    <hyperlink ref="I181" r:id="rId182" xr:uid="{00000000-0004-0000-0200-0000B5000000}"/>
    <hyperlink ref="I182" r:id="rId183" xr:uid="{00000000-0004-0000-0200-0000B6000000}"/>
    <hyperlink ref="I183" r:id="rId184" xr:uid="{00000000-0004-0000-0200-0000B7000000}"/>
    <hyperlink ref="I184" r:id="rId185" xr:uid="{00000000-0004-0000-0200-0000B8000000}"/>
    <hyperlink ref="I185" r:id="rId186" xr:uid="{00000000-0004-0000-0200-0000B9000000}"/>
    <hyperlink ref="I186" r:id="rId187" xr:uid="{00000000-0004-0000-0200-0000BA000000}"/>
    <hyperlink ref="I187" r:id="rId188" xr:uid="{00000000-0004-0000-0200-0000BB000000}"/>
    <hyperlink ref="I188" r:id="rId189" xr:uid="{00000000-0004-0000-0200-0000BC000000}"/>
    <hyperlink ref="I189" r:id="rId190" xr:uid="{00000000-0004-0000-0200-0000BD000000}"/>
    <hyperlink ref="I190" r:id="rId191" xr:uid="{00000000-0004-0000-0200-0000BE000000}"/>
    <hyperlink ref="I191" r:id="rId192" xr:uid="{00000000-0004-0000-0200-0000BF000000}"/>
    <hyperlink ref="I192" r:id="rId193" xr:uid="{00000000-0004-0000-0200-0000C0000000}"/>
    <hyperlink ref="I193" r:id="rId194" xr:uid="{00000000-0004-0000-0200-0000C1000000}"/>
    <hyperlink ref="I194" r:id="rId195" xr:uid="{00000000-0004-0000-0200-0000C2000000}"/>
    <hyperlink ref="I195" r:id="rId196" xr:uid="{00000000-0004-0000-0200-0000C3000000}"/>
    <hyperlink ref="I196" r:id="rId197" xr:uid="{00000000-0004-0000-0200-0000C4000000}"/>
    <hyperlink ref="I197" r:id="rId198" xr:uid="{00000000-0004-0000-0200-0000C5000000}"/>
    <hyperlink ref="I198" r:id="rId199" xr:uid="{00000000-0004-0000-0200-0000C6000000}"/>
    <hyperlink ref="I199" r:id="rId200" xr:uid="{00000000-0004-0000-0200-0000C7000000}"/>
    <hyperlink ref="I200" r:id="rId201" xr:uid="{00000000-0004-0000-0200-0000C8000000}"/>
    <hyperlink ref="I201" r:id="rId202" xr:uid="{00000000-0004-0000-0200-0000C9000000}"/>
    <hyperlink ref="I202" r:id="rId203" xr:uid="{00000000-0004-0000-0200-0000CA000000}"/>
    <hyperlink ref="I203" r:id="rId204" xr:uid="{00000000-0004-0000-0200-0000CB000000}"/>
    <hyperlink ref="I204" r:id="rId205" xr:uid="{00000000-0004-0000-0200-0000CC000000}"/>
    <hyperlink ref="I205" r:id="rId206" xr:uid="{00000000-0004-0000-0200-0000CD000000}"/>
    <hyperlink ref="I206" r:id="rId207" xr:uid="{00000000-0004-0000-0200-0000CE000000}"/>
    <hyperlink ref="I207" r:id="rId208" xr:uid="{00000000-0004-0000-0200-0000CF000000}"/>
    <hyperlink ref="I208" r:id="rId209" xr:uid="{00000000-0004-0000-0200-0000D0000000}"/>
    <hyperlink ref="I209" r:id="rId210" xr:uid="{00000000-0004-0000-0200-0000D1000000}"/>
    <hyperlink ref="I210" r:id="rId211" xr:uid="{00000000-0004-0000-0200-0000D2000000}"/>
    <hyperlink ref="I211" r:id="rId212" xr:uid="{00000000-0004-0000-0200-0000D3000000}"/>
    <hyperlink ref="I212" r:id="rId213" xr:uid="{00000000-0004-0000-0200-0000D4000000}"/>
    <hyperlink ref="I213" r:id="rId214" xr:uid="{00000000-0004-0000-0200-0000D5000000}"/>
    <hyperlink ref="I214" r:id="rId215" xr:uid="{00000000-0004-0000-0200-0000D6000000}"/>
    <hyperlink ref="I215" r:id="rId216" xr:uid="{00000000-0004-0000-0200-0000D7000000}"/>
    <hyperlink ref="I216" r:id="rId217" xr:uid="{00000000-0004-0000-0200-0000D8000000}"/>
    <hyperlink ref="I217" r:id="rId218" xr:uid="{00000000-0004-0000-0200-0000D9000000}"/>
    <hyperlink ref="I218" r:id="rId219" xr:uid="{00000000-0004-0000-0200-0000DA000000}"/>
    <hyperlink ref="I219" r:id="rId220" xr:uid="{00000000-0004-0000-0200-0000DB000000}"/>
    <hyperlink ref="I220" r:id="rId221" xr:uid="{00000000-0004-0000-0200-0000DC000000}"/>
    <hyperlink ref="I221" r:id="rId222" xr:uid="{00000000-0004-0000-0200-0000DD000000}"/>
    <hyperlink ref="I222" r:id="rId223" xr:uid="{00000000-0004-0000-0200-0000DE000000}"/>
    <hyperlink ref="I223" r:id="rId224" xr:uid="{00000000-0004-0000-0200-0000DF000000}"/>
    <hyperlink ref="I224" r:id="rId225" xr:uid="{00000000-0004-0000-0200-0000E0000000}"/>
    <hyperlink ref="I225" r:id="rId226" xr:uid="{00000000-0004-0000-0200-0000E1000000}"/>
    <hyperlink ref="I226" r:id="rId227" xr:uid="{00000000-0004-0000-0200-0000E2000000}"/>
    <hyperlink ref="I227" r:id="rId228" xr:uid="{00000000-0004-0000-0200-0000E3000000}"/>
    <hyperlink ref="I228" r:id="rId229" xr:uid="{00000000-0004-0000-0200-0000E4000000}"/>
    <hyperlink ref="I229" r:id="rId230" xr:uid="{00000000-0004-0000-0200-0000E5000000}"/>
    <hyperlink ref="I230" r:id="rId231" xr:uid="{00000000-0004-0000-0200-0000E6000000}"/>
    <hyperlink ref="I231" r:id="rId232" xr:uid="{00000000-0004-0000-0200-0000E7000000}"/>
    <hyperlink ref="I232" r:id="rId233" xr:uid="{00000000-0004-0000-0200-0000E8000000}"/>
    <hyperlink ref="I233" r:id="rId234" xr:uid="{00000000-0004-0000-0200-0000E9000000}"/>
    <hyperlink ref="I234" r:id="rId235" xr:uid="{00000000-0004-0000-0200-0000EA000000}"/>
    <hyperlink ref="I235" r:id="rId236" xr:uid="{00000000-0004-0000-0200-0000EB000000}"/>
    <hyperlink ref="I236" r:id="rId237" xr:uid="{00000000-0004-0000-0200-0000EC000000}"/>
    <hyperlink ref="I237" r:id="rId238" xr:uid="{00000000-0004-0000-0200-0000ED000000}"/>
    <hyperlink ref="I238" r:id="rId239" xr:uid="{00000000-0004-0000-0200-0000EE000000}"/>
    <hyperlink ref="I239" r:id="rId240" xr:uid="{00000000-0004-0000-0200-0000EF000000}"/>
    <hyperlink ref="I240" r:id="rId241" xr:uid="{00000000-0004-0000-0200-0000F0000000}"/>
    <hyperlink ref="I241" r:id="rId242" xr:uid="{00000000-0004-0000-0200-0000F1000000}"/>
    <hyperlink ref="I242" r:id="rId243" xr:uid="{00000000-0004-0000-0200-0000F2000000}"/>
    <hyperlink ref="I243" r:id="rId244" xr:uid="{00000000-0004-0000-0200-0000F3000000}"/>
    <hyperlink ref="I244" r:id="rId245" xr:uid="{00000000-0004-0000-0200-0000F4000000}"/>
    <hyperlink ref="I245" r:id="rId246" xr:uid="{00000000-0004-0000-0200-0000F5000000}"/>
    <hyperlink ref="I246" r:id="rId247" xr:uid="{00000000-0004-0000-0200-0000F6000000}"/>
    <hyperlink ref="I247" r:id="rId248" xr:uid="{00000000-0004-0000-0200-0000F7000000}"/>
    <hyperlink ref="I248" r:id="rId249" xr:uid="{00000000-0004-0000-0200-0000F8000000}"/>
    <hyperlink ref="I249" r:id="rId250" xr:uid="{00000000-0004-0000-0200-0000F9000000}"/>
    <hyperlink ref="I250" r:id="rId251" xr:uid="{00000000-0004-0000-0200-0000FA000000}"/>
    <hyperlink ref="I251" r:id="rId252" xr:uid="{00000000-0004-0000-0200-0000FB000000}"/>
    <hyperlink ref="I252" r:id="rId253" xr:uid="{00000000-0004-0000-0200-0000FC000000}"/>
    <hyperlink ref="I253" r:id="rId254" xr:uid="{00000000-0004-0000-0200-0000FD000000}"/>
    <hyperlink ref="I254" r:id="rId255" xr:uid="{00000000-0004-0000-0200-0000FE000000}"/>
    <hyperlink ref="I255" r:id="rId256" xr:uid="{00000000-0004-0000-0200-0000FF000000}"/>
    <hyperlink ref="I256" r:id="rId257" xr:uid="{00000000-0004-0000-0200-000000010000}"/>
    <hyperlink ref="I257" r:id="rId258" xr:uid="{00000000-0004-0000-0200-000001010000}"/>
    <hyperlink ref="I258" r:id="rId259" xr:uid="{00000000-0004-0000-0200-000002010000}"/>
    <hyperlink ref="I259" r:id="rId260" xr:uid="{00000000-0004-0000-0200-000003010000}"/>
    <hyperlink ref="I260" r:id="rId261" xr:uid="{00000000-0004-0000-0200-000004010000}"/>
    <hyperlink ref="I261" r:id="rId262" xr:uid="{00000000-0004-0000-0200-000005010000}"/>
    <hyperlink ref="I262" r:id="rId263" xr:uid="{00000000-0004-0000-0200-000006010000}"/>
    <hyperlink ref="I263" r:id="rId264" xr:uid="{00000000-0004-0000-0200-000007010000}"/>
    <hyperlink ref="I264" r:id="rId265" xr:uid="{00000000-0004-0000-0200-000008010000}"/>
    <hyperlink ref="I265" r:id="rId266" xr:uid="{00000000-0004-0000-0200-000009010000}"/>
    <hyperlink ref="I266" r:id="rId267" xr:uid="{00000000-0004-0000-0200-00000A010000}"/>
    <hyperlink ref="I267" r:id="rId268" xr:uid="{00000000-0004-0000-0200-00000B010000}"/>
    <hyperlink ref="I268" r:id="rId269" xr:uid="{00000000-0004-0000-0200-00000C010000}"/>
    <hyperlink ref="I269" r:id="rId270" xr:uid="{00000000-0004-0000-0200-00000D010000}"/>
    <hyperlink ref="I270" r:id="rId271" xr:uid="{00000000-0004-0000-0200-00000E010000}"/>
    <hyperlink ref="I271" r:id="rId272" xr:uid="{00000000-0004-0000-0200-00000F010000}"/>
    <hyperlink ref="I272" r:id="rId273" xr:uid="{00000000-0004-0000-0200-000010010000}"/>
    <hyperlink ref="I273" r:id="rId274" xr:uid="{00000000-0004-0000-0200-000011010000}"/>
    <hyperlink ref="I274" r:id="rId275" xr:uid="{00000000-0004-0000-0200-000012010000}"/>
    <hyperlink ref="I275" r:id="rId276" xr:uid="{00000000-0004-0000-0200-000013010000}"/>
    <hyperlink ref="I276" r:id="rId277" xr:uid="{00000000-0004-0000-0200-000014010000}"/>
    <hyperlink ref="I277" r:id="rId278" xr:uid="{00000000-0004-0000-0200-000015010000}"/>
    <hyperlink ref="I278" r:id="rId279" xr:uid="{00000000-0004-0000-0200-000016010000}"/>
    <hyperlink ref="I279" r:id="rId280" xr:uid="{00000000-0004-0000-0200-000017010000}"/>
    <hyperlink ref="I280" r:id="rId281" xr:uid="{00000000-0004-0000-0200-000018010000}"/>
    <hyperlink ref="I281" r:id="rId282" xr:uid="{00000000-0004-0000-0200-000019010000}"/>
    <hyperlink ref="I282" r:id="rId283" xr:uid="{00000000-0004-0000-0200-00001A010000}"/>
    <hyperlink ref="I283" r:id="rId284" xr:uid="{00000000-0004-0000-0200-00001B010000}"/>
    <hyperlink ref="I284" r:id="rId285" xr:uid="{00000000-0004-0000-0200-00001C010000}"/>
    <hyperlink ref="I285" r:id="rId286" xr:uid="{00000000-0004-0000-0200-00001D010000}"/>
    <hyperlink ref="I286" r:id="rId287" xr:uid="{00000000-0004-0000-0200-00001E010000}"/>
    <hyperlink ref="I287" r:id="rId288" xr:uid="{00000000-0004-0000-0200-00001F010000}"/>
    <hyperlink ref="I288" r:id="rId289" xr:uid="{00000000-0004-0000-0200-000020010000}"/>
    <hyperlink ref="I289" r:id="rId290" xr:uid="{00000000-0004-0000-0200-000021010000}"/>
    <hyperlink ref="I290" r:id="rId291" xr:uid="{00000000-0004-0000-0200-000022010000}"/>
    <hyperlink ref="I291" r:id="rId292" xr:uid="{00000000-0004-0000-0200-000023010000}"/>
    <hyperlink ref="I292" r:id="rId293" xr:uid="{00000000-0004-0000-0200-000024010000}"/>
    <hyperlink ref="I293" r:id="rId294" xr:uid="{00000000-0004-0000-0200-000025010000}"/>
    <hyperlink ref="I294" r:id="rId295" xr:uid="{00000000-0004-0000-0200-000026010000}"/>
    <hyperlink ref="I295" r:id="rId296" xr:uid="{00000000-0004-0000-0200-000027010000}"/>
    <hyperlink ref="I296" r:id="rId297" xr:uid="{00000000-0004-0000-0200-000028010000}"/>
    <hyperlink ref="I297" r:id="rId298" xr:uid="{00000000-0004-0000-0200-000029010000}"/>
    <hyperlink ref="I298" r:id="rId299" xr:uid="{00000000-0004-0000-0200-00002A010000}"/>
    <hyperlink ref="I299" r:id="rId300" xr:uid="{00000000-0004-0000-0200-00002B010000}"/>
    <hyperlink ref="I300" r:id="rId301" xr:uid="{00000000-0004-0000-0200-00002C010000}"/>
    <hyperlink ref="I301" r:id="rId302" xr:uid="{00000000-0004-0000-0200-00002D010000}"/>
    <hyperlink ref="I302" r:id="rId303" xr:uid="{00000000-0004-0000-0200-00002E010000}"/>
    <hyperlink ref="I303" r:id="rId304" xr:uid="{00000000-0004-0000-0200-00002F010000}"/>
    <hyperlink ref="I304" r:id="rId305" xr:uid="{00000000-0004-0000-0200-000030010000}"/>
    <hyperlink ref="I305" r:id="rId306" xr:uid="{00000000-0004-0000-0200-000031010000}"/>
    <hyperlink ref="I306" r:id="rId307" xr:uid="{00000000-0004-0000-0200-000032010000}"/>
    <hyperlink ref="I307" r:id="rId308" xr:uid="{00000000-0004-0000-0200-000033010000}"/>
    <hyperlink ref="I308" r:id="rId309" xr:uid="{00000000-0004-0000-0200-000034010000}"/>
    <hyperlink ref="I309" r:id="rId310" xr:uid="{00000000-0004-0000-0200-000035010000}"/>
    <hyperlink ref="I310" r:id="rId311" xr:uid="{00000000-0004-0000-0200-000036010000}"/>
    <hyperlink ref="I311" r:id="rId312" xr:uid="{00000000-0004-0000-0200-000037010000}"/>
    <hyperlink ref="I312" r:id="rId313" xr:uid="{00000000-0004-0000-0200-000038010000}"/>
    <hyperlink ref="I313" r:id="rId314" xr:uid="{00000000-0004-0000-0200-000039010000}"/>
    <hyperlink ref="I314" r:id="rId315" xr:uid="{00000000-0004-0000-0200-00003A010000}"/>
    <hyperlink ref="I315" r:id="rId316" xr:uid="{00000000-0004-0000-0200-00003B010000}"/>
    <hyperlink ref="I316" r:id="rId317" xr:uid="{00000000-0004-0000-0200-00003C010000}"/>
    <hyperlink ref="I317" r:id="rId318" xr:uid="{00000000-0004-0000-0200-00003D010000}"/>
    <hyperlink ref="I318" r:id="rId319" xr:uid="{00000000-0004-0000-0200-00003E010000}"/>
    <hyperlink ref="I319" r:id="rId320" xr:uid="{00000000-0004-0000-0200-00003F010000}"/>
    <hyperlink ref="I320" r:id="rId321" xr:uid="{00000000-0004-0000-0200-000040010000}"/>
    <hyperlink ref="I321" r:id="rId322" xr:uid="{00000000-0004-0000-0200-000041010000}"/>
    <hyperlink ref="I322" r:id="rId323" xr:uid="{00000000-0004-0000-0200-000042010000}"/>
    <hyperlink ref="I323" r:id="rId324" xr:uid="{00000000-0004-0000-0200-000043010000}"/>
    <hyperlink ref="I324" r:id="rId325" xr:uid="{00000000-0004-0000-0200-000044010000}"/>
    <hyperlink ref="I325" r:id="rId326" xr:uid="{00000000-0004-0000-0200-000045010000}"/>
    <hyperlink ref="I326" r:id="rId327" xr:uid="{00000000-0004-0000-0200-000046010000}"/>
    <hyperlink ref="I327" r:id="rId328" xr:uid="{00000000-0004-0000-0200-000047010000}"/>
    <hyperlink ref="I328" r:id="rId329" xr:uid="{00000000-0004-0000-0200-000048010000}"/>
    <hyperlink ref="I329" r:id="rId330" xr:uid="{00000000-0004-0000-0200-000049010000}"/>
    <hyperlink ref="I330" r:id="rId331" xr:uid="{00000000-0004-0000-0200-00004A010000}"/>
    <hyperlink ref="I331" r:id="rId332" xr:uid="{00000000-0004-0000-0200-00004B010000}"/>
    <hyperlink ref="I332" r:id="rId333" xr:uid="{00000000-0004-0000-0200-00004C010000}"/>
    <hyperlink ref="I333" r:id="rId334" xr:uid="{00000000-0004-0000-0200-00004D010000}"/>
    <hyperlink ref="I334" r:id="rId335" xr:uid="{00000000-0004-0000-0200-00004E010000}"/>
    <hyperlink ref="I335" r:id="rId336" xr:uid="{00000000-0004-0000-0200-00004F010000}"/>
    <hyperlink ref="I336" r:id="rId337" xr:uid="{00000000-0004-0000-0200-000050010000}"/>
    <hyperlink ref="I337" r:id="rId338" xr:uid="{00000000-0004-0000-0200-000051010000}"/>
    <hyperlink ref="I338" r:id="rId339" xr:uid="{00000000-0004-0000-0200-000052010000}"/>
    <hyperlink ref="I339" r:id="rId340" xr:uid="{00000000-0004-0000-0200-000053010000}"/>
    <hyperlink ref="I340" r:id="rId341" xr:uid="{00000000-0004-0000-0200-000054010000}"/>
    <hyperlink ref="I341" r:id="rId342" xr:uid="{00000000-0004-0000-0200-000055010000}"/>
    <hyperlink ref="I342" r:id="rId343" xr:uid="{00000000-0004-0000-0200-000056010000}"/>
    <hyperlink ref="I343" r:id="rId344" xr:uid="{00000000-0004-0000-0200-000057010000}"/>
    <hyperlink ref="I344" r:id="rId345" xr:uid="{00000000-0004-0000-0200-000058010000}"/>
    <hyperlink ref="I345" r:id="rId346" xr:uid="{00000000-0004-0000-0200-000059010000}"/>
    <hyperlink ref="I346" r:id="rId347" xr:uid="{00000000-0004-0000-0200-00005A010000}"/>
    <hyperlink ref="I347" r:id="rId348" xr:uid="{00000000-0004-0000-0200-00005B010000}"/>
    <hyperlink ref="I348" r:id="rId349" xr:uid="{00000000-0004-0000-0200-00005C010000}"/>
    <hyperlink ref="I349" r:id="rId350" xr:uid="{00000000-0004-0000-0200-00005D010000}"/>
    <hyperlink ref="I350" r:id="rId351" xr:uid="{00000000-0004-0000-0200-00005E010000}"/>
    <hyperlink ref="I351" r:id="rId352" xr:uid="{00000000-0004-0000-0200-00005F010000}"/>
    <hyperlink ref="I352" r:id="rId353" xr:uid="{00000000-0004-0000-0200-000060010000}"/>
    <hyperlink ref="I353" r:id="rId354" xr:uid="{00000000-0004-0000-0200-000061010000}"/>
    <hyperlink ref="I354" r:id="rId355" xr:uid="{00000000-0004-0000-0200-000062010000}"/>
    <hyperlink ref="I355" r:id="rId356" xr:uid="{00000000-0004-0000-0200-000063010000}"/>
    <hyperlink ref="I356" r:id="rId357" xr:uid="{00000000-0004-0000-0200-000064010000}"/>
    <hyperlink ref="I357" r:id="rId358" xr:uid="{00000000-0004-0000-0200-000065010000}"/>
    <hyperlink ref="I358" r:id="rId359" xr:uid="{00000000-0004-0000-0200-000066010000}"/>
    <hyperlink ref="I359" r:id="rId360" xr:uid="{00000000-0004-0000-0200-000067010000}"/>
    <hyperlink ref="I360" r:id="rId361" xr:uid="{00000000-0004-0000-0200-000068010000}"/>
    <hyperlink ref="I361" r:id="rId362" xr:uid="{00000000-0004-0000-0200-000069010000}"/>
    <hyperlink ref="I362" r:id="rId363" xr:uid="{00000000-0004-0000-0200-00006A010000}"/>
    <hyperlink ref="I363" r:id="rId364" xr:uid="{00000000-0004-0000-0200-00006B010000}"/>
    <hyperlink ref="I364" r:id="rId365" xr:uid="{00000000-0004-0000-0200-00006C010000}"/>
    <hyperlink ref="I365" r:id="rId366" xr:uid="{00000000-0004-0000-0200-00006D010000}"/>
    <hyperlink ref="I366" r:id="rId367" xr:uid="{00000000-0004-0000-0200-00006E010000}"/>
    <hyperlink ref="I367" r:id="rId368" xr:uid="{00000000-0004-0000-0200-00006F010000}"/>
    <hyperlink ref="I368" r:id="rId369" xr:uid="{00000000-0004-0000-0200-000070010000}"/>
    <hyperlink ref="I369" r:id="rId370" xr:uid="{00000000-0004-0000-0200-000071010000}"/>
    <hyperlink ref="I370" r:id="rId371" xr:uid="{00000000-0004-0000-0200-000072010000}"/>
    <hyperlink ref="I371" r:id="rId372" xr:uid="{00000000-0004-0000-0200-000073010000}"/>
    <hyperlink ref="I372" r:id="rId373" xr:uid="{00000000-0004-0000-0200-000074010000}"/>
    <hyperlink ref="I373" r:id="rId374" xr:uid="{00000000-0004-0000-0200-000075010000}"/>
    <hyperlink ref="I374" r:id="rId375" xr:uid="{00000000-0004-0000-0200-000076010000}"/>
    <hyperlink ref="I375" r:id="rId376" xr:uid="{00000000-0004-0000-0200-000077010000}"/>
    <hyperlink ref="I376" r:id="rId377" xr:uid="{00000000-0004-0000-0200-000078010000}"/>
    <hyperlink ref="I377" r:id="rId378" xr:uid="{00000000-0004-0000-0200-000079010000}"/>
    <hyperlink ref="I378" r:id="rId379" xr:uid="{00000000-0004-0000-0200-00007A010000}"/>
    <hyperlink ref="I379" r:id="rId380" xr:uid="{00000000-0004-0000-0200-00007B010000}"/>
    <hyperlink ref="I380" r:id="rId381" xr:uid="{00000000-0004-0000-0200-00007C010000}"/>
    <hyperlink ref="I381" r:id="rId382" xr:uid="{00000000-0004-0000-0200-00007D010000}"/>
    <hyperlink ref="I382" r:id="rId383" xr:uid="{00000000-0004-0000-0200-00007E010000}"/>
    <hyperlink ref="I383" r:id="rId384" xr:uid="{00000000-0004-0000-0200-00007F010000}"/>
    <hyperlink ref="I384" r:id="rId385" xr:uid="{00000000-0004-0000-0200-000080010000}"/>
    <hyperlink ref="I385" r:id="rId386" xr:uid="{00000000-0004-0000-0200-000081010000}"/>
    <hyperlink ref="I386" r:id="rId387" xr:uid="{00000000-0004-0000-0200-000082010000}"/>
    <hyperlink ref="I387" r:id="rId388" xr:uid="{00000000-0004-0000-0200-000083010000}"/>
    <hyperlink ref="I388" r:id="rId389" xr:uid="{00000000-0004-0000-0200-000084010000}"/>
    <hyperlink ref="I389" r:id="rId390" xr:uid="{00000000-0004-0000-0200-000085010000}"/>
    <hyperlink ref="I390" r:id="rId391" xr:uid="{00000000-0004-0000-0200-000086010000}"/>
    <hyperlink ref="I391" r:id="rId392" xr:uid="{00000000-0004-0000-0200-000087010000}"/>
    <hyperlink ref="I392" r:id="rId393" xr:uid="{00000000-0004-0000-0200-000088010000}"/>
    <hyperlink ref="I393" r:id="rId394" xr:uid="{00000000-0004-0000-0200-000089010000}"/>
    <hyperlink ref="I394" r:id="rId395" xr:uid="{00000000-0004-0000-0200-00008A010000}"/>
    <hyperlink ref="I395" r:id="rId396" xr:uid="{00000000-0004-0000-0200-00008B010000}"/>
    <hyperlink ref="I396" r:id="rId397" xr:uid="{00000000-0004-0000-0200-00008C010000}"/>
    <hyperlink ref="I397" r:id="rId398" xr:uid="{00000000-0004-0000-0200-00008D010000}"/>
    <hyperlink ref="I398" r:id="rId399" xr:uid="{00000000-0004-0000-0200-00008E010000}"/>
    <hyperlink ref="I399" r:id="rId400" xr:uid="{00000000-0004-0000-0200-00008F010000}"/>
    <hyperlink ref="I400" r:id="rId401" xr:uid="{00000000-0004-0000-0200-000090010000}"/>
    <hyperlink ref="I401" r:id="rId402" xr:uid="{00000000-0004-0000-0200-000091010000}"/>
    <hyperlink ref="I402" r:id="rId403" xr:uid="{00000000-0004-0000-0200-000092010000}"/>
    <hyperlink ref="I403" r:id="rId404" xr:uid="{00000000-0004-0000-0200-000093010000}"/>
    <hyperlink ref="I404" r:id="rId405" xr:uid="{00000000-0004-0000-0200-000094010000}"/>
    <hyperlink ref="I405" r:id="rId406" xr:uid="{00000000-0004-0000-0200-000095010000}"/>
    <hyperlink ref="I406" r:id="rId407" xr:uid="{00000000-0004-0000-0200-000096010000}"/>
    <hyperlink ref="I407" r:id="rId408" xr:uid="{00000000-0004-0000-0200-000097010000}"/>
    <hyperlink ref="I408" r:id="rId409" xr:uid="{00000000-0004-0000-0200-000098010000}"/>
    <hyperlink ref="I409" r:id="rId410" xr:uid="{00000000-0004-0000-0200-000099010000}"/>
    <hyperlink ref="I410" r:id="rId411" xr:uid="{00000000-0004-0000-0200-00009A010000}"/>
    <hyperlink ref="I411" r:id="rId412" xr:uid="{00000000-0004-0000-0200-00009B010000}"/>
    <hyperlink ref="I412" r:id="rId413" xr:uid="{00000000-0004-0000-0200-00009C010000}"/>
    <hyperlink ref="I413" r:id="rId414" xr:uid="{00000000-0004-0000-0200-00009D010000}"/>
    <hyperlink ref="I414" r:id="rId415" xr:uid="{00000000-0004-0000-0200-00009E010000}"/>
    <hyperlink ref="I415" r:id="rId416" xr:uid="{00000000-0004-0000-0200-00009F010000}"/>
    <hyperlink ref="I416" r:id="rId417" xr:uid="{00000000-0004-0000-0200-0000A0010000}"/>
    <hyperlink ref="I417" r:id="rId418" xr:uid="{00000000-0004-0000-0200-0000A1010000}"/>
    <hyperlink ref="I418" r:id="rId419" xr:uid="{00000000-0004-0000-0200-0000A2010000}"/>
    <hyperlink ref="I419" r:id="rId420" xr:uid="{00000000-0004-0000-0200-0000A3010000}"/>
    <hyperlink ref="I420" r:id="rId421" xr:uid="{00000000-0004-0000-0200-0000A4010000}"/>
    <hyperlink ref="I421" r:id="rId422" xr:uid="{00000000-0004-0000-0200-0000A5010000}"/>
    <hyperlink ref="I422" r:id="rId423" xr:uid="{00000000-0004-0000-0200-0000A6010000}"/>
    <hyperlink ref="I423" r:id="rId424" xr:uid="{00000000-0004-0000-0200-0000A7010000}"/>
    <hyperlink ref="I424" r:id="rId425" xr:uid="{00000000-0004-0000-0200-0000A8010000}"/>
    <hyperlink ref="I425" r:id="rId426" xr:uid="{00000000-0004-0000-0200-0000A9010000}"/>
    <hyperlink ref="I426" r:id="rId427" xr:uid="{00000000-0004-0000-0200-0000AA010000}"/>
    <hyperlink ref="I427" r:id="rId428" xr:uid="{00000000-0004-0000-0200-0000AB010000}"/>
    <hyperlink ref="I428" r:id="rId429" xr:uid="{00000000-0004-0000-0200-0000AC010000}"/>
    <hyperlink ref="I429" r:id="rId430" xr:uid="{00000000-0004-0000-0200-0000AD010000}"/>
    <hyperlink ref="I430" r:id="rId431" xr:uid="{00000000-0004-0000-0200-0000AE010000}"/>
    <hyperlink ref="I431" r:id="rId432" xr:uid="{00000000-0004-0000-0200-0000AF010000}"/>
    <hyperlink ref="I432" r:id="rId433" xr:uid="{00000000-0004-0000-0200-0000B0010000}"/>
    <hyperlink ref="I433" r:id="rId434" xr:uid="{00000000-0004-0000-0200-0000B1010000}"/>
    <hyperlink ref="I434" r:id="rId435" xr:uid="{00000000-0004-0000-0200-0000B2010000}"/>
    <hyperlink ref="I435" r:id="rId436" xr:uid="{00000000-0004-0000-0200-0000B3010000}"/>
    <hyperlink ref="I436" r:id="rId437" xr:uid="{00000000-0004-0000-0200-0000B4010000}"/>
    <hyperlink ref="I437" r:id="rId438" xr:uid="{00000000-0004-0000-0200-0000B5010000}"/>
    <hyperlink ref="I438" r:id="rId439" xr:uid="{00000000-0004-0000-0200-0000B6010000}"/>
    <hyperlink ref="I439" r:id="rId440" xr:uid="{00000000-0004-0000-0200-0000B7010000}"/>
    <hyperlink ref="I440" r:id="rId441" xr:uid="{00000000-0004-0000-0200-0000B8010000}"/>
    <hyperlink ref="I441" r:id="rId442" xr:uid="{00000000-0004-0000-0200-0000B9010000}"/>
    <hyperlink ref="I442" r:id="rId443" xr:uid="{00000000-0004-0000-0200-0000BA010000}"/>
    <hyperlink ref="I443" r:id="rId444" xr:uid="{00000000-0004-0000-0200-0000BB010000}"/>
    <hyperlink ref="I444" r:id="rId445" xr:uid="{00000000-0004-0000-0200-0000BC010000}"/>
    <hyperlink ref="I445" r:id="rId446" xr:uid="{00000000-0004-0000-0200-0000BD010000}"/>
    <hyperlink ref="I446" r:id="rId447" xr:uid="{00000000-0004-0000-0200-0000BE010000}"/>
    <hyperlink ref="I447" r:id="rId448" xr:uid="{00000000-0004-0000-0200-0000BF010000}"/>
    <hyperlink ref="I448" r:id="rId449" xr:uid="{00000000-0004-0000-0200-0000C0010000}"/>
    <hyperlink ref="I449" r:id="rId450" xr:uid="{00000000-0004-0000-0200-0000C1010000}"/>
    <hyperlink ref="I450" r:id="rId451" xr:uid="{00000000-0004-0000-0200-0000C2010000}"/>
    <hyperlink ref="I451" r:id="rId452" xr:uid="{00000000-0004-0000-0200-0000C3010000}"/>
    <hyperlink ref="I452" r:id="rId453" xr:uid="{00000000-0004-0000-0200-0000C4010000}"/>
    <hyperlink ref="I453" r:id="rId454" xr:uid="{00000000-0004-0000-0200-0000C5010000}"/>
    <hyperlink ref="I454" r:id="rId455" xr:uid="{00000000-0004-0000-0200-0000C6010000}"/>
    <hyperlink ref="I455" r:id="rId456" xr:uid="{00000000-0004-0000-0200-0000C7010000}"/>
    <hyperlink ref="I456" r:id="rId457" xr:uid="{00000000-0004-0000-0200-0000C8010000}"/>
    <hyperlink ref="I457" r:id="rId458" xr:uid="{00000000-0004-0000-0200-0000C9010000}"/>
    <hyperlink ref="I458" r:id="rId459" xr:uid="{00000000-0004-0000-0200-0000CA010000}"/>
    <hyperlink ref="I459" r:id="rId460" xr:uid="{00000000-0004-0000-0200-0000CB010000}"/>
    <hyperlink ref="I460" r:id="rId461" xr:uid="{00000000-0004-0000-0200-0000CC010000}"/>
    <hyperlink ref="I461" r:id="rId462" xr:uid="{00000000-0004-0000-0200-0000CD010000}"/>
    <hyperlink ref="I462" r:id="rId463" xr:uid="{00000000-0004-0000-0200-0000CE010000}"/>
    <hyperlink ref="I463" r:id="rId464" xr:uid="{00000000-0004-0000-0200-0000CF010000}"/>
    <hyperlink ref="I464" r:id="rId465" xr:uid="{00000000-0004-0000-0200-0000D0010000}"/>
    <hyperlink ref="I465" r:id="rId466" xr:uid="{00000000-0004-0000-0200-0000D1010000}"/>
    <hyperlink ref="I466" r:id="rId467" xr:uid="{00000000-0004-0000-0200-0000D2010000}"/>
    <hyperlink ref="I467" r:id="rId468" xr:uid="{00000000-0004-0000-0200-0000D3010000}"/>
    <hyperlink ref="I468" r:id="rId469" xr:uid="{00000000-0004-0000-0200-0000D4010000}"/>
    <hyperlink ref="I469" r:id="rId470" xr:uid="{00000000-0004-0000-0200-0000D5010000}"/>
    <hyperlink ref="I470" r:id="rId471" xr:uid="{00000000-0004-0000-0200-0000D6010000}"/>
    <hyperlink ref="I471" r:id="rId472" xr:uid="{00000000-0004-0000-0200-0000D7010000}"/>
    <hyperlink ref="I472" r:id="rId473" xr:uid="{00000000-0004-0000-0200-0000D8010000}"/>
    <hyperlink ref="I473" r:id="rId474" xr:uid="{00000000-0004-0000-0200-0000D9010000}"/>
    <hyperlink ref="I474" r:id="rId475" xr:uid="{00000000-0004-0000-0200-0000DA010000}"/>
    <hyperlink ref="I475" r:id="rId476" xr:uid="{00000000-0004-0000-0200-0000DB010000}"/>
    <hyperlink ref="I476" r:id="rId477" xr:uid="{00000000-0004-0000-0200-0000DC010000}"/>
    <hyperlink ref="I477" r:id="rId478" xr:uid="{00000000-0004-0000-0200-0000DD010000}"/>
    <hyperlink ref="I478" r:id="rId479" xr:uid="{00000000-0004-0000-0200-0000DE010000}"/>
    <hyperlink ref="I479" r:id="rId480" xr:uid="{00000000-0004-0000-0200-0000DF010000}"/>
    <hyperlink ref="I480" r:id="rId481" xr:uid="{00000000-0004-0000-0200-0000E0010000}"/>
    <hyperlink ref="I481" r:id="rId482" xr:uid="{00000000-0004-0000-0200-0000E1010000}"/>
    <hyperlink ref="I482" r:id="rId483" xr:uid="{00000000-0004-0000-0200-0000E2010000}"/>
    <hyperlink ref="I483" r:id="rId484" xr:uid="{00000000-0004-0000-0200-0000E3010000}"/>
    <hyperlink ref="I484" r:id="rId485" xr:uid="{00000000-0004-0000-0200-0000E4010000}"/>
    <hyperlink ref="I485" r:id="rId486" xr:uid="{00000000-0004-0000-0200-0000E5010000}"/>
    <hyperlink ref="I486" r:id="rId487" xr:uid="{00000000-0004-0000-0200-0000E6010000}"/>
    <hyperlink ref="I487" r:id="rId488" xr:uid="{00000000-0004-0000-0200-0000E7010000}"/>
    <hyperlink ref="I488" r:id="rId489" xr:uid="{00000000-0004-0000-0200-0000E8010000}"/>
    <hyperlink ref="I489" r:id="rId490" xr:uid="{00000000-0004-0000-0200-0000E9010000}"/>
    <hyperlink ref="I490" r:id="rId491" xr:uid="{00000000-0004-0000-0200-0000EA010000}"/>
    <hyperlink ref="I491" r:id="rId492" xr:uid="{00000000-0004-0000-0200-0000EB010000}"/>
    <hyperlink ref="I492" r:id="rId493" xr:uid="{00000000-0004-0000-0200-0000EC010000}"/>
    <hyperlink ref="I493" r:id="rId494" xr:uid="{00000000-0004-0000-0200-0000ED010000}"/>
    <hyperlink ref="I494" r:id="rId495" xr:uid="{00000000-0004-0000-0200-0000EE010000}"/>
    <hyperlink ref="I495" r:id="rId496" xr:uid="{00000000-0004-0000-0200-0000EF010000}"/>
    <hyperlink ref="I496" r:id="rId497" xr:uid="{00000000-0004-0000-0200-0000F0010000}"/>
    <hyperlink ref="I497" r:id="rId498" xr:uid="{00000000-0004-0000-0200-0000F1010000}"/>
    <hyperlink ref="I498" r:id="rId499" xr:uid="{00000000-0004-0000-0200-0000F2010000}"/>
    <hyperlink ref="I499" r:id="rId500" xr:uid="{00000000-0004-0000-0200-0000F3010000}"/>
    <hyperlink ref="I500" r:id="rId501" xr:uid="{00000000-0004-0000-0200-0000F4010000}"/>
    <hyperlink ref="I501" r:id="rId502" xr:uid="{00000000-0004-0000-0200-0000F5010000}"/>
    <hyperlink ref="I502" r:id="rId503" xr:uid="{00000000-0004-0000-0200-0000F6010000}"/>
    <hyperlink ref="I503" r:id="rId504" xr:uid="{00000000-0004-0000-0200-0000F7010000}"/>
    <hyperlink ref="I504" r:id="rId505" xr:uid="{00000000-0004-0000-0200-0000F8010000}"/>
    <hyperlink ref="I505" r:id="rId506" xr:uid="{00000000-0004-0000-0200-0000F9010000}"/>
    <hyperlink ref="I506" r:id="rId507" xr:uid="{00000000-0004-0000-0200-0000FA010000}"/>
    <hyperlink ref="I507" r:id="rId508" xr:uid="{00000000-0004-0000-0200-0000FB010000}"/>
    <hyperlink ref="I508" r:id="rId509" xr:uid="{00000000-0004-0000-0200-0000FC010000}"/>
    <hyperlink ref="I509" r:id="rId510" xr:uid="{00000000-0004-0000-0200-0000FD010000}"/>
    <hyperlink ref="I510" r:id="rId511" xr:uid="{00000000-0004-0000-0200-0000FE010000}"/>
    <hyperlink ref="I511" r:id="rId512" xr:uid="{00000000-0004-0000-0200-0000FF010000}"/>
    <hyperlink ref="I512" r:id="rId513" xr:uid="{00000000-0004-0000-0200-000000020000}"/>
    <hyperlink ref="I513" r:id="rId514" xr:uid="{00000000-0004-0000-0200-000001020000}"/>
    <hyperlink ref="I514" r:id="rId515" xr:uid="{00000000-0004-0000-0200-000002020000}"/>
    <hyperlink ref="I515" r:id="rId516" xr:uid="{00000000-0004-0000-0200-000003020000}"/>
    <hyperlink ref="I516" r:id="rId517" xr:uid="{00000000-0004-0000-0200-000004020000}"/>
    <hyperlink ref="I517" r:id="rId518" xr:uid="{00000000-0004-0000-0200-000005020000}"/>
    <hyperlink ref="I518" r:id="rId519" xr:uid="{00000000-0004-0000-0200-000006020000}"/>
    <hyperlink ref="I519" r:id="rId520" xr:uid="{00000000-0004-0000-0200-000007020000}"/>
    <hyperlink ref="I520" r:id="rId521" xr:uid="{00000000-0004-0000-0200-000008020000}"/>
    <hyperlink ref="I521" r:id="rId522" xr:uid="{00000000-0004-0000-0200-000009020000}"/>
    <hyperlink ref="I522" r:id="rId523" xr:uid="{00000000-0004-0000-0200-00000A020000}"/>
    <hyperlink ref="I523" r:id="rId524" xr:uid="{00000000-0004-0000-0200-00000B020000}"/>
    <hyperlink ref="I524" r:id="rId525" xr:uid="{00000000-0004-0000-0200-00000C020000}"/>
    <hyperlink ref="I525" r:id="rId526" xr:uid="{00000000-0004-0000-0200-00000D020000}"/>
    <hyperlink ref="I526" r:id="rId527" xr:uid="{00000000-0004-0000-0200-00000E020000}"/>
    <hyperlink ref="I527" r:id="rId528" xr:uid="{00000000-0004-0000-0200-00000F020000}"/>
    <hyperlink ref="I528" r:id="rId529" xr:uid="{00000000-0004-0000-0200-000010020000}"/>
    <hyperlink ref="I529" r:id="rId530" xr:uid="{00000000-0004-0000-0200-000011020000}"/>
    <hyperlink ref="I530" r:id="rId531" xr:uid="{00000000-0004-0000-0200-000012020000}"/>
    <hyperlink ref="I531" r:id="rId532" xr:uid="{00000000-0004-0000-0200-000013020000}"/>
    <hyperlink ref="I532" r:id="rId533" xr:uid="{00000000-0004-0000-0200-000014020000}"/>
    <hyperlink ref="I533" r:id="rId534" xr:uid="{00000000-0004-0000-0200-000015020000}"/>
    <hyperlink ref="I534" r:id="rId535" xr:uid="{00000000-0004-0000-0200-000016020000}"/>
    <hyperlink ref="I535" r:id="rId536" xr:uid="{00000000-0004-0000-0200-000017020000}"/>
    <hyperlink ref="I536" r:id="rId537" xr:uid="{00000000-0004-0000-0200-000018020000}"/>
    <hyperlink ref="I537" r:id="rId538" xr:uid="{00000000-0004-0000-0200-000019020000}"/>
    <hyperlink ref="I538" r:id="rId539" xr:uid="{00000000-0004-0000-0200-00001A020000}"/>
    <hyperlink ref="I539" r:id="rId540" xr:uid="{00000000-0004-0000-0200-00001B020000}"/>
    <hyperlink ref="I540" r:id="rId541" xr:uid="{00000000-0004-0000-0200-00001C020000}"/>
    <hyperlink ref="I541" r:id="rId542" xr:uid="{00000000-0004-0000-0200-00001D020000}"/>
    <hyperlink ref="I542" r:id="rId543" xr:uid="{00000000-0004-0000-0200-00001E020000}"/>
    <hyperlink ref="I543" r:id="rId544" xr:uid="{00000000-0004-0000-0200-00001F020000}"/>
    <hyperlink ref="I544" r:id="rId545" xr:uid="{00000000-0004-0000-0200-000020020000}"/>
    <hyperlink ref="I545" r:id="rId546" xr:uid="{00000000-0004-0000-0200-000021020000}"/>
    <hyperlink ref="I546" r:id="rId547" xr:uid="{00000000-0004-0000-0200-000022020000}"/>
    <hyperlink ref="I547" r:id="rId548" xr:uid="{00000000-0004-0000-0200-000023020000}"/>
    <hyperlink ref="I548" r:id="rId549" xr:uid="{00000000-0004-0000-0200-000024020000}"/>
    <hyperlink ref="I549" r:id="rId550" xr:uid="{00000000-0004-0000-0200-000025020000}"/>
    <hyperlink ref="I550" r:id="rId551" xr:uid="{00000000-0004-0000-0200-000026020000}"/>
    <hyperlink ref="I551" r:id="rId552" xr:uid="{00000000-0004-0000-0200-000027020000}"/>
    <hyperlink ref="I552" r:id="rId553" xr:uid="{00000000-0004-0000-0200-000028020000}"/>
    <hyperlink ref="I553" r:id="rId554" xr:uid="{00000000-0004-0000-0200-000029020000}"/>
    <hyperlink ref="I554" r:id="rId555" xr:uid="{00000000-0004-0000-0200-00002A020000}"/>
    <hyperlink ref="I555" r:id="rId556" xr:uid="{00000000-0004-0000-0200-00002B020000}"/>
    <hyperlink ref="I556" r:id="rId557" xr:uid="{00000000-0004-0000-0200-00002C020000}"/>
    <hyperlink ref="I557" r:id="rId558" xr:uid="{00000000-0004-0000-0200-00002D020000}"/>
    <hyperlink ref="I558" r:id="rId559" xr:uid="{00000000-0004-0000-0200-00002E020000}"/>
    <hyperlink ref="I559" r:id="rId560" xr:uid="{00000000-0004-0000-0200-00002F020000}"/>
    <hyperlink ref="I560" r:id="rId561" xr:uid="{00000000-0004-0000-0200-000030020000}"/>
    <hyperlink ref="I561" r:id="rId562" xr:uid="{00000000-0004-0000-0200-000031020000}"/>
    <hyperlink ref="I562" r:id="rId563" xr:uid="{00000000-0004-0000-0200-000032020000}"/>
    <hyperlink ref="I563" r:id="rId564" xr:uid="{00000000-0004-0000-0200-000033020000}"/>
    <hyperlink ref="I564" r:id="rId565" xr:uid="{00000000-0004-0000-0200-000034020000}"/>
    <hyperlink ref="I565" r:id="rId566" xr:uid="{00000000-0004-0000-0200-000035020000}"/>
    <hyperlink ref="I566" r:id="rId567" xr:uid="{00000000-0004-0000-0200-000036020000}"/>
    <hyperlink ref="I567" r:id="rId568" xr:uid="{00000000-0004-0000-0200-000037020000}"/>
    <hyperlink ref="I568" r:id="rId569" xr:uid="{00000000-0004-0000-0200-000038020000}"/>
    <hyperlink ref="I569" r:id="rId570" xr:uid="{00000000-0004-0000-0200-000039020000}"/>
    <hyperlink ref="I570" r:id="rId571" xr:uid="{00000000-0004-0000-0200-00003A020000}"/>
    <hyperlink ref="I571" r:id="rId572" xr:uid="{00000000-0004-0000-0200-00003B020000}"/>
    <hyperlink ref="I572" r:id="rId573" xr:uid="{00000000-0004-0000-0200-00003C020000}"/>
    <hyperlink ref="I573" r:id="rId574" xr:uid="{00000000-0004-0000-0200-00003D020000}"/>
    <hyperlink ref="I574" r:id="rId575" xr:uid="{00000000-0004-0000-0200-00003E020000}"/>
    <hyperlink ref="I575" r:id="rId576" xr:uid="{00000000-0004-0000-0200-00003F020000}"/>
    <hyperlink ref="I576" r:id="rId577" xr:uid="{00000000-0004-0000-0200-000040020000}"/>
    <hyperlink ref="I577" r:id="rId578" xr:uid="{00000000-0004-0000-0200-000041020000}"/>
    <hyperlink ref="I578" r:id="rId579" xr:uid="{00000000-0004-0000-0200-000042020000}"/>
    <hyperlink ref="I579" r:id="rId580" xr:uid="{00000000-0004-0000-0200-000043020000}"/>
    <hyperlink ref="I580" r:id="rId581" xr:uid="{00000000-0004-0000-0200-000044020000}"/>
    <hyperlink ref="I581" r:id="rId582" xr:uid="{00000000-0004-0000-0200-000045020000}"/>
    <hyperlink ref="I582" r:id="rId583" xr:uid="{00000000-0004-0000-0200-000046020000}"/>
    <hyperlink ref="I583" r:id="rId584" xr:uid="{00000000-0004-0000-0200-000047020000}"/>
    <hyperlink ref="I584" r:id="rId585" xr:uid="{00000000-0004-0000-0200-000048020000}"/>
    <hyperlink ref="I585" r:id="rId586" xr:uid="{00000000-0004-0000-0200-000049020000}"/>
    <hyperlink ref="I586" r:id="rId587" xr:uid="{00000000-0004-0000-0200-00004A020000}"/>
    <hyperlink ref="I587" r:id="rId588" xr:uid="{00000000-0004-0000-0200-00004B020000}"/>
    <hyperlink ref="I588" r:id="rId589" xr:uid="{00000000-0004-0000-0200-00004C020000}"/>
    <hyperlink ref="I589" r:id="rId590" xr:uid="{00000000-0004-0000-0200-00004D020000}"/>
    <hyperlink ref="I590" r:id="rId591" xr:uid="{00000000-0004-0000-0200-00004E020000}"/>
    <hyperlink ref="I591" r:id="rId592" xr:uid="{00000000-0004-0000-0200-00004F020000}"/>
    <hyperlink ref="I592" r:id="rId593" xr:uid="{00000000-0004-0000-0200-000050020000}"/>
    <hyperlink ref="I593" r:id="rId594" xr:uid="{00000000-0004-0000-0200-000051020000}"/>
    <hyperlink ref="I594" r:id="rId595" xr:uid="{00000000-0004-0000-0200-000052020000}"/>
    <hyperlink ref="I595" r:id="rId596" xr:uid="{00000000-0004-0000-0200-000053020000}"/>
    <hyperlink ref="I596" r:id="rId597" xr:uid="{00000000-0004-0000-0200-000054020000}"/>
    <hyperlink ref="I597" r:id="rId598" xr:uid="{00000000-0004-0000-0200-000055020000}"/>
    <hyperlink ref="I598" r:id="rId599" xr:uid="{00000000-0004-0000-0200-000056020000}"/>
    <hyperlink ref="I599" r:id="rId600" xr:uid="{00000000-0004-0000-0200-000057020000}"/>
    <hyperlink ref="H600" r:id="rId601" xr:uid="{00000000-0004-0000-0200-000058020000}"/>
    <hyperlink ref="I600" r:id="rId602" xr:uid="{00000000-0004-0000-0200-000059020000}"/>
    <hyperlink ref="H601" r:id="rId603" xr:uid="{00000000-0004-0000-0200-00005A020000}"/>
    <hyperlink ref="I601" r:id="rId604" xr:uid="{00000000-0004-0000-0200-00005B020000}"/>
    <hyperlink ref="I602" r:id="rId605" xr:uid="{00000000-0004-0000-0200-00005C020000}"/>
    <hyperlink ref="I603" r:id="rId606" xr:uid="{00000000-0004-0000-0200-00005D020000}"/>
    <hyperlink ref="I604" r:id="rId607" xr:uid="{00000000-0004-0000-0200-00005E020000}"/>
    <hyperlink ref="I605" r:id="rId608" xr:uid="{00000000-0004-0000-0200-00005F020000}"/>
    <hyperlink ref="I606" r:id="rId609" xr:uid="{00000000-0004-0000-0200-000060020000}"/>
    <hyperlink ref="I607" r:id="rId610" xr:uid="{00000000-0004-0000-0200-000061020000}"/>
    <hyperlink ref="I608" r:id="rId611" xr:uid="{00000000-0004-0000-0200-000062020000}"/>
    <hyperlink ref="I609" r:id="rId612" xr:uid="{00000000-0004-0000-0200-000063020000}"/>
    <hyperlink ref="I610" r:id="rId613" xr:uid="{00000000-0004-0000-0200-000064020000}"/>
    <hyperlink ref="I611" r:id="rId614" xr:uid="{00000000-0004-0000-0200-000065020000}"/>
    <hyperlink ref="I612" r:id="rId615" xr:uid="{00000000-0004-0000-0200-000066020000}"/>
    <hyperlink ref="AJ612" r:id="rId616" xr:uid="{00000000-0004-0000-0200-000067020000}"/>
    <hyperlink ref="I613" r:id="rId617" xr:uid="{00000000-0004-0000-0200-000068020000}"/>
    <hyperlink ref="AJ613" r:id="rId618" xr:uid="{00000000-0004-0000-0200-000069020000}"/>
    <hyperlink ref="I614" r:id="rId619" xr:uid="{00000000-0004-0000-0200-00006A020000}"/>
    <hyperlink ref="AJ614" r:id="rId620" xr:uid="{00000000-0004-0000-0200-00006B020000}"/>
    <hyperlink ref="I615" r:id="rId621" xr:uid="{00000000-0004-0000-0200-00006C020000}"/>
    <hyperlink ref="AJ615" r:id="rId622" xr:uid="{00000000-0004-0000-0200-00006D020000}"/>
    <hyperlink ref="I616" r:id="rId623" xr:uid="{00000000-0004-0000-0200-00006E020000}"/>
    <hyperlink ref="AJ616" r:id="rId624" xr:uid="{00000000-0004-0000-0200-00006F020000}"/>
    <hyperlink ref="I617" r:id="rId625" xr:uid="{00000000-0004-0000-0200-000070020000}"/>
    <hyperlink ref="AJ617" r:id="rId626" xr:uid="{00000000-0004-0000-0200-000071020000}"/>
    <hyperlink ref="H618" r:id="rId627" xr:uid="{00000000-0004-0000-0200-000072020000}"/>
    <hyperlink ref="I618" r:id="rId628" xr:uid="{00000000-0004-0000-0200-000073020000}"/>
    <hyperlink ref="AJ618" r:id="rId629" xr:uid="{00000000-0004-0000-0200-000074020000}"/>
    <hyperlink ref="I619" r:id="rId630" xr:uid="{00000000-0004-0000-0200-000075020000}"/>
    <hyperlink ref="AJ619" r:id="rId631" xr:uid="{00000000-0004-0000-0200-000076020000}"/>
    <hyperlink ref="I620" r:id="rId632" xr:uid="{00000000-0004-0000-0200-000077020000}"/>
    <hyperlink ref="AJ620" r:id="rId633" xr:uid="{00000000-0004-0000-0200-000078020000}"/>
    <hyperlink ref="I621" r:id="rId634" xr:uid="{00000000-0004-0000-0200-000079020000}"/>
    <hyperlink ref="AJ621" r:id="rId635" xr:uid="{00000000-0004-0000-0200-00007A020000}"/>
    <hyperlink ref="I622" r:id="rId636" xr:uid="{00000000-0004-0000-0200-00007B020000}"/>
    <hyperlink ref="AJ622" r:id="rId637" xr:uid="{00000000-0004-0000-0200-00007C020000}"/>
    <hyperlink ref="I623" r:id="rId638" xr:uid="{00000000-0004-0000-0200-00007D020000}"/>
    <hyperlink ref="AJ623" r:id="rId639" xr:uid="{00000000-0004-0000-0200-00007E020000}"/>
    <hyperlink ref="I624" r:id="rId640" xr:uid="{00000000-0004-0000-0200-00007F020000}"/>
    <hyperlink ref="I625" r:id="rId641" xr:uid="{00000000-0004-0000-0200-000080020000}"/>
    <hyperlink ref="I626" r:id="rId642" xr:uid="{00000000-0004-0000-0200-000081020000}"/>
    <hyperlink ref="I627" r:id="rId643" xr:uid="{00000000-0004-0000-0200-000082020000}"/>
    <hyperlink ref="AJ627" r:id="rId644" xr:uid="{00000000-0004-0000-0200-000083020000}"/>
    <hyperlink ref="I628" r:id="rId645" xr:uid="{00000000-0004-0000-0200-000084020000}"/>
    <hyperlink ref="AJ628" r:id="rId646" xr:uid="{00000000-0004-0000-0200-000085020000}"/>
    <hyperlink ref="I629" r:id="rId647" xr:uid="{00000000-0004-0000-0200-000086020000}"/>
    <hyperlink ref="AJ629" r:id="rId648" xr:uid="{00000000-0004-0000-0200-000087020000}"/>
    <hyperlink ref="I630" r:id="rId649" xr:uid="{00000000-0004-0000-0200-000088020000}"/>
    <hyperlink ref="AJ630" r:id="rId650" xr:uid="{00000000-0004-0000-0200-000089020000}"/>
    <hyperlink ref="I631" r:id="rId651" xr:uid="{00000000-0004-0000-0200-00008A020000}"/>
    <hyperlink ref="AJ631" r:id="rId652" xr:uid="{00000000-0004-0000-0200-00008B020000}"/>
    <hyperlink ref="I632" r:id="rId653" xr:uid="{00000000-0004-0000-0200-00008C020000}"/>
    <hyperlink ref="AJ632" r:id="rId654" xr:uid="{00000000-0004-0000-0200-00008D020000}"/>
    <hyperlink ref="I633" r:id="rId655" xr:uid="{00000000-0004-0000-0200-00008E020000}"/>
    <hyperlink ref="I634" r:id="rId656" xr:uid="{00000000-0004-0000-0200-00008F020000}"/>
    <hyperlink ref="AJ634" r:id="rId657" xr:uid="{00000000-0004-0000-0200-000090020000}"/>
    <hyperlink ref="I635" r:id="rId658" xr:uid="{00000000-0004-0000-0200-000091020000}"/>
    <hyperlink ref="I636" r:id="rId659" xr:uid="{00000000-0004-0000-0200-000092020000}"/>
    <hyperlink ref="AJ636" r:id="rId660" xr:uid="{00000000-0004-0000-0200-000093020000}"/>
    <hyperlink ref="I637" r:id="rId661" xr:uid="{00000000-0004-0000-0200-000094020000}"/>
    <hyperlink ref="AJ637" r:id="rId662" xr:uid="{00000000-0004-0000-0200-000095020000}"/>
    <hyperlink ref="I638" r:id="rId663" xr:uid="{00000000-0004-0000-0200-000096020000}"/>
    <hyperlink ref="AJ638" r:id="rId664" xr:uid="{00000000-0004-0000-0200-000097020000}"/>
    <hyperlink ref="I639" r:id="rId665" xr:uid="{00000000-0004-0000-0200-000098020000}"/>
    <hyperlink ref="AJ639" r:id="rId666" xr:uid="{00000000-0004-0000-0200-000099020000}"/>
    <hyperlink ref="I640" r:id="rId667" xr:uid="{00000000-0004-0000-0200-00009A020000}"/>
    <hyperlink ref="AJ640" r:id="rId668" xr:uid="{00000000-0004-0000-0200-00009B020000}"/>
    <hyperlink ref="I641" r:id="rId669" xr:uid="{00000000-0004-0000-0200-00009C020000}"/>
    <hyperlink ref="AJ641" r:id="rId670" xr:uid="{00000000-0004-0000-0200-00009D020000}"/>
    <hyperlink ref="I642" r:id="rId671" xr:uid="{00000000-0004-0000-0200-00009E020000}"/>
    <hyperlink ref="AJ642" r:id="rId672" xr:uid="{00000000-0004-0000-0200-00009F020000}"/>
    <hyperlink ref="I643" r:id="rId673" xr:uid="{00000000-0004-0000-0200-0000A0020000}"/>
    <hyperlink ref="AJ643" r:id="rId674" xr:uid="{00000000-0004-0000-0200-0000A1020000}"/>
    <hyperlink ref="I644" r:id="rId675" xr:uid="{00000000-0004-0000-0200-0000A2020000}"/>
    <hyperlink ref="AJ644" r:id="rId676" xr:uid="{00000000-0004-0000-0200-0000A3020000}"/>
    <hyperlink ref="I645" r:id="rId677" xr:uid="{00000000-0004-0000-0200-0000A4020000}"/>
    <hyperlink ref="AJ645" r:id="rId678" xr:uid="{00000000-0004-0000-0200-0000A5020000}"/>
    <hyperlink ref="I646" r:id="rId679" xr:uid="{00000000-0004-0000-0200-0000A6020000}"/>
    <hyperlink ref="AJ646" r:id="rId680" xr:uid="{00000000-0004-0000-0200-0000A7020000}"/>
    <hyperlink ref="I647" r:id="rId681" xr:uid="{00000000-0004-0000-0200-0000A8020000}"/>
    <hyperlink ref="AJ647" r:id="rId682" xr:uid="{00000000-0004-0000-0200-0000A9020000}"/>
    <hyperlink ref="I648" r:id="rId683" xr:uid="{00000000-0004-0000-0200-0000AA020000}"/>
    <hyperlink ref="AJ648" r:id="rId684" xr:uid="{00000000-0004-0000-0200-0000AB020000}"/>
    <hyperlink ref="I649" r:id="rId685" xr:uid="{00000000-0004-0000-0200-0000AC020000}"/>
    <hyperlink ref="AJ649" r:id="rId686" xr:uid="{00000000-0004-0000-0200-0000AD020000}"/>
    <hyperlink ref="I650" r:id="rId687" xr:uid="{00000000-0004-0000-0200-0000AE020000}"/>
    <hyperlink ref="AJ650" r:id="rId688" xr:uid="{00000000-0004-0000-0200-0000AF020000}"/>
    <hyperlink ref="I651" r:id="rId689" xr:uid="{00000000-0004-0000-0200-0000B0020000}"/>
    <hyperlink ref="AJ651" r:id="rId690" xr:uid="{00000000-0004-0000-0200-0000B1020000}"/>
    <hyperlink ref="I652" r:id="rId691" xr:uid="{00000000-0004-0000-0200-0000B2020000}"/>
    <hyperlink ref="AJ652" r:id="rId692" xr:uid="{00000000-0004-0000-0200-0000B3020000}"/>
    <hyperlink ref="I653" r:id="rId693" xr:uid="{00000000-0004-0000-0200-0000B4020000}"/>
    <hyperlink ref="AJ653" r:id="rId694" xr:uid="{00000000-0004-0000-0200-0000B5020000}"/>
    <hyperlink ref="I654" r:id="rId695" xr:uid="{00000000-0004-0000-0200-0000B6020000}"/>
    <hyperlink ref="AJ654" r:id="rId696" xr:uid="{00000000-0004-0000-0200-0000B7020000}"/>
    <hyperlink ref="I655" r:id="rId697" xr:uid="{00000000-0004-0000-0200-0000B8020000}"/>
    <hyperlink ref="AJ655" r:id="rId698" xr:uid="{00000000-0004-0000-0200-0000B9020000}"/>
    <hyperlink ref="I656" r:id="rId699" xr:uid="{00000000-0004-0000-0200-0000BA020000}"/>
    <hyperlink ref="AJ656" r:id="rId700" xr:uid="{00000000-0004-0000-0200-0000BB020000}"/>
    <hyperlink ref="I657" r:id="rId701" xr:uid="{00000000-0004-0000-0200-0000BC020000}"/>
    <hyperlink ref="AJ657" r:id="rId702" xr:uid="{00000000-0004-0000-0200-0000BD020000}"/>
    <hyperlink ref="I658" r:id="rId703" xr:uid="{00000000-0004-0000-0200-0000BE020000}"/>
    <hyperlink ref="AJ658" r:id="rId704" xr:uid="{00000000-0004-0000-0200-0000BF020000}"/>
    <hyperlink ref="I659" r:id="rId705" xr:uid="{00000000-0004-0000-0200-0000C0020000}"/>
    <hyperlink ref="AJ659" r:id="rId706" xr:uid="{00000000-0004-0000-0200-0000C1020000}"/>
    <hyperlink ref="I660" r:id="rId707" xr:uid="{00000000-0004-0000-0200-0000C2020000}"/>
    <hyperlink ref="AJ660" r:id="rId708" xr:uid="{00000000-0004-0000-0200-0000C3020000}"/>
    <hyperlink ref="I661" r:id="rId709" xr:uid="{00000000-0004-0000-0200-0000C4020000}"/>
    <hyperlink ref="AJ661" r:id="rId710" xr:uid="{00000000-0004-0000-0200-0000C5020000}"/>
    <hyperlink ref="I662" r:id="rId711" xr:uid="{00000000-0004-0000-0200-0000C6020000}"/>
    <hyperlink ref="AJ662" r:id="rId712" xr:uid="{00000000-0004-0000-0200-0000C7020000}"/>
    <hyperlink ref="I663" r:id="rId713" xr:uid="{00000000-0004-0000-0200-0000C8020000}"/>
    <hyperlink ref="AJ663" r:id="rId714" xr:uid="{00000000-0004-0000-0200-0000C9020000}"/>
    <hyperlink ref="I664" r:id="rId715" xr:uid="{00000000-0004-0000-0200-0000CA020000}"/>
    <hyperlink ref="AJ664" r:id="rId716" xr:uid="{00000000-0004-0000-0200-0000CB020000}"/>
    <hyperlink ref="I665" r:id="rId717" xr:uid="{00000000-0004-0000-0200-0000CC020000}"/>
    <hyperlink ref="AJ665" r:id="rId718" xr:uid="{00000000-0004-0000-0200-0000CD020000}"/>
    <hyperlink ref="I666" r:id="rId719" xr:uid="{00000000-0004-0000-0200-0000CE020000}"/>
    <hyperlink ref="AJ666" r:id="rId720" xr:uid="{00000000-0004-0000-0200-0000CF020000}"/>
    <hyperlink ref="I667" r:id="rId721" xr:uid="{00000000-0004-0000-0200-0000D0020000}"/>
    <hyperlink ref="AJ667" r:id="rId722" xr:uid="{00000000-0004-0000-0200-0000D1020000}"/>
    <hyperlink ref="I668" r:id="rId723" xr:uid="{00000000-0004-0000-0200-0000D2020000}"/>
    <hyperlink ref="AJ668" r:id="rId724" xr:uid="{00000000-0004-0000-0200-0000D3020000}"/>
    <hyperlink ref="I669" r:id="rId725" xr:uid="{00000000-0004-0000-0200-0000D4020000}"/>
    <hyperlink ref="AJ669" r:id="rId726" xr:uid="{00000000-0004-0000-0200-0000D5020000}"/>
    <hyperlink ref="I670" r:id="rId727" xr:uid="{00000000-0004-0000-0200-0000D6020000}"/>
    <hyperlink ref="AJ670" r:id="rId728" xr:uid="{00000000-0004-0000-0200-0000D7020000}"/>
    <hyperlink ref="I671" r:id="rId729" xr:uid="{00000000-0004-0000-0200-0000D8020000}"/>
    <hyperlink ref="AJ671" r:id="rId730" xr:uid="{00000000-0004-0000-0200-0000D9020000}"/>
    <hyperlink ref="I672" r:id="rId731" xr:uid="{00000000-0004-0000-0200-0000DA020000}"/>
    <hyperlink ref="AJ672" r:id="rId732" xr:uid="{00000000-0004-0000-0200-0000DB020000}"/>
    <hyperlink ref="I673" r:id="rId733" xr:uid="{00000000-0004-0000-0200-0000DC020000}"/>
    <hyperlink ref="AJ673" r:id="rId734" xr:uid="{00000000-0004-0000-0200-0000DD020000}"/>
    <hyperlink ref="I674" r:id="rId735" xr:uid="{00000000-0004-0000-0200-0000DE020000}"/>
    <hyperlink ref="I675" r:id="rId736" xr:uid="{00000000-0004-0000-0200-0000DF020000}"/>
    <hyperlink ref="I676" r:id="rId737" xr:uid="{00000000-0004-0000-0200-0000E0020000}"/>
    <hyperlink ref="H677" r:id="rId738" xr:uid="{00000000-0004-0000-0200-0000E1020000}"/>
    <hyperlink ref="I677" r:id="rId739" xr:uid="{00000000-0004-0000-0200-0000E2020000}"/>
    <hyperlink ref="AJ677" r:id="rId740" xr:uid="{00000000-0004-0000-0200-0000E3020000}"/>
    <hyperlink ref="I678" r:id="rId741" xr:uid="{00000000-0004-0000-0200-0000E4020000}"/>
    <hyperlink ref="I679" r:id="rId742" xr:uid="{00000000-0004-0000-0200-0000E5020000}"/>
    <hyperlink ref="AJ679" r:id="rId743" xr:uid="{00000000-0004-0000-0200-0000E6020000}"/>
    <hyperlink ref="I680" r:id="rId744" xr:uid="{00000000-0004-0000-0200-0000E7020000}"/>
    <hyperlink ref="AJ680" r:id="rId745" xr:uid="{00000000-0004-0000-0200-0000E8020000}"/>
    <hyperlink ref="I681" r:id="rId746" xr:uid="{00000000-0004-0000-0200-0000E9020000}"/>
    <hyperlink ref="AJ681" r:id="rId747" xr:uid="{00000000-0004-0000-0200-0000EA020000}"/>
    <hyperlink ref="I682" r:id="rId748" xr:uid="{00000000-0004-0000-0200-0000EB020000}"/>
    <hyperlink ref="AJ682" r:id="rId749" xr:uid="{00000000-0004-0000-0200-0000EC020000}"/>
    <hyperlink ref="I683" r:id="rId750" xr:uid="{00000000-0004-0000-0200-0000ED020000}"/>
    <hyperlink ref="AJ683" r:id="rId751" xr:uid="{00000000-0004-0000-0200-0000EE020000}"/>
    <hyperlink ref="I684" r:id="rId752" xr:uid="{00000000-0004-0000-0200-0000EF020000}"/>
    <hyperlink ref="AJ684" r:id="rId753" xr:uid="{00000000-0004-0000-0200-0000F0020000}"/>
    <hyperlink ref="I685" r:id="rId754" xr:uid="{00000000-0004-0000-0200-0000F1020000}"/>
    <hyperlink ref="AJ685" r:id="rId755" xr:uid="{00000000-0004-0000-0200-0000F2020000}"/>
    <hyperlink ref="I686" r:id="rId756" xr:uid="{00000000-0004-0000-0200-0000F3020000}"/>
    <hyperlink ref="AJ686" r:id="rId757" xr:uid="{00000000-0004-0000-0200-0000F4020000}"/>
    <hyperlink ref="I687" r:id="rId758" xr:uid="{00000000-0004-0000-0200-0000F5020000}"/>
    <hyperlink ref="AJ687" r:id="rId759" xr:uid="{00000000-0004-0000-0200-0000F6020000}"/>
    <hyperlink ref="I688" r:id="rId760" xr:uid="{00000000-0004-0000-0200-0000F7020000}"/>
    <hyperlink ref="AJ688" r:id="rId761" xr:uid="{00000000-0004-0000-0200-0000F8020000}"/>
    <hyperlink ref="I689" r:id="rId762" xr:uid="{00000000-0004-0000-0200-0000F9020000}"/>
    <hyperlink ref="AJ689" r:id="rId763" xr:uid="{00000000-0004-0000-0200-0000FA020000}"/>
    <hyperlink ref="I690" r:id="rId764" xr:uid="{00000000-0004-0000-0200-0000FB020000}"/>
    <hyperlink ref="AJ690" r:id="rId765" xr:uid="{00000000-0004-0000-0200-0000FC020000}"/>
    <hyperlink ref="I691" r:id="rId766" xr:uid="{00000000-0004-0000-0200-0000FD020000}"/>
    <hyperlink ref="AJ691" r:id="rId767" xr:uid="{00000000-0004-0000-0200-0000FE020000}"/>
    <hyperlink ref="I692" r:id="rId768" xr:uid="{00000000-0004-0000-0200-0000FF020000}"/>
    <hyperlink ref="AJ692" r:id="rId769" xr:uid="{00000000-0004-0000-0200-000000030000}"/>
    <hyperlink ref="I693" r:id="rId770" xr:uid="{00000000-0004-0000-0200-000001030000}"/>
    <hyperlink ref="AJ693" r:id="rId771" xr:uid="{00000000-0004-0000-0200-000002030000}"/>
    <hyperlink ref="I694" r:id="rId772" xr:uid="{00000000-0004-0000-0200-000003030000}"/>
    <hyperlink ref="AJ694" r:id="rId773" xr:uid="{00000000-0004-0000-0200-000004030000}"/>
    <hyperlink ref="I695" r:id="rId774" xr:uid="{00000000-0004-0000-0200-000005030000}"/>
    <hyperlink ref="AJ695" r:id="rId775" xr:uid="{00000000-0004-0000-0200-000006030000}"/>
    <hyperlink ref="I696" r:id="rId776" xr:uid="{00000000-0004-0000-0200-000007030000}"/>
    <hyperlink ref="I697" r:id="rId777" xr:uid="{00000000-0004-0000-0200-000008030000}"/>
    <hyperlink ref="AJ697" r:id="rId778" xr:uid="{00000000-0004-0000-0200-000009030000}"/>
    <hyperlink ref="I698" r:id="rId779" xr:uid="{00000000-0004-0000-0200-00000A030000}"/>
    <hyperlink ref="AJ698" r:id="rId780" xr:uid="{00000000-0004-0000-0200-00000B030000}"/>
    <hyperlink ref="I699" r:id="rId781" xr:uid="{00000000-0004-0000-0200-00000C030000}"/>
    <hyperlink ref="AJ699" r:id="rId782" xr:uid="{00000000-0004-0000-0200-00000D030000}"/>
    <hyperlink ref="I700" r:id="rId783" xr:uid="{00000000-0004-0000-0200-00000E030000}"/>
    <hyperlink ref="AJ700" r:id="rId784" xr:uid="{00000000-0004-0000-0200-00000F030000}"/>
    <hyperlink ref="I701" r:id="rId785" xr:uid="{00000000-0004-0000-0200-000010030000}"/>
    <hyperlink ref="AJ701" r:id="rId786" xr:uid="{00000000-0004-0000-0200-000011030000}"/>
    <hyperlink ref="I702" r:id="rId787" xr:uid="{00000000-0004-0000-0200-000012030000}"/>
    <hyperlink ref="AJ702" r:id="rId788" xr:uid="{00000000-0004-0000-0200-000013030000}"/>
    <hyperlink ref="I703" r:id="rId789" xr:uid="{00000000-0004-0000-0200-000014030000}"/>
    <hyperlink ref="AJ703" r:id="rId790" xr:uid="{00000000-0004-0000-0200-000015030000}"/>
    <hyperlink ref="I704" r:id="rId791" xr:uid="{00000000-0004-0000-0200-000016030000}"/>
    <hyperlink ref="AJ704" r:id="rId792" xr:uid="{00000000-0004-0000-0200-000017030000}"/>
    <hyperlink ref="I705" r:id="rId793" xr:uid="{00000000-0004-0000-0200-000018030000}"/>
    <hyperlink ref="AJ705" r:id="rId794" xr:uid="{00000000-0004-0000-0200-000019030000}"/>
    <hyperlink ref="I706" r:id="rId795" xr:uid="{00000000-0004-0000-0200-00001A030000}"/>
    <hyperlink ref="AJ706" r:id="rId796" xr:uid="{00000000-0004-0000-0200-00001B030000}"/>
    <hyperlink ref="I707" r:id="rId797" xr:uid="{00000000-0004-0000-0200-00001C030000}"/>
    <hyperlink ref="AJ707" r:id="rId798" xr:uid="{00000000-0004-0000-0200-00001D030000}"/>
    <hyperlink ref="I708" r:id="rId799" xr:uid="{00000000-0004-0000-0200-00001E030000}"/>
    <hyperlink ref="AJ708" r:id="rId800" xr:uid="{00000000-0004-0000-0200-00001F030000}"/>
    <hyperlink ref="I709" r:id="rId801" xr:uid="{00000000-0004-0000-0200-000020030000}"/>
    <hyperlink ref="AJ709" r:id="rId802" xr:uid="{00000000-0004-0000-0200-000021030000}"/>
    <hyperlink ref="I710" r:id="rId803" xr:uid="{00000000-0004-0000-0200-000022030000}"/>
    <hyperlink ref="AJ710" r:id="rId804" xr:uid="{00000000-0004-0000-0200-000023030000}"/>
    <hyperlink ref="I711" r:id="rId805" xr:uid="{00000000-0004-0000-0200-000024030000}"/>
    <hyperlink ref="AJ711" r:id="rId806" xr:uid="{00000000-0004-0000-0200-000025030000}"/>
    <hyperlink ref="I712" r:id="rId807" xr:uid="{00000000-0004-0000-0200-000026030000}"/>
    <hyperlink ref="AJ712" r:id="rId808" xr:uid="{00000000-0004-0000-0200-000027030000}"/>
    <hyperlink ref="I713" r:id="rId809" xr:uid="{00000000-0004-0000-0200-000028030000}"/>
    <hyperlink ref="AJ713" r:id="rId810" xr:uid="{00000000-0004-0000-0200-000029030000}"/>
    <hyperlink ref="I714" r:id="rId811" xr:uid="{00000000-0004-0000-0200-00002A030000}"/>
    <hyperlink ref="AJ714" r:id="rId812" xr:uid="{00000000-0004-0000-0200-00002B030000}"/>
    <hyperlink ref="I715" r:id="rId813" xr:uid="{00000000-0004-0000-0200-00002C030000}"/>
    <hyperlink ref="AJ715" r:id="rId814" xr:uid="{00000000-0004-0000-0200-00002D030000}"/>
    <hyperlink ref="I716" r:id="rId815" xr:uid="{00000000-0004-0000-0200-00002E030000}"/>
    <hyperlink ref="AJ716" r:id="rId816" xr:uid="{00000000-0004-0000-0200-00002F030000}"/>
    <hyperlink ref="I717" r:id="rId817" xr:uid="{00000000-0004-0000-0200-000030030000}"/>
    <hyperlink ref="AJ717" r:id="rId818" xr:uid="{00000000-0004-0000-0200-000031030000}"/>
    <hyperlink ref="I718" r:id="rId819" xr:uid="{00000000-0004-0000-0200-000032030000}"/>
    <hyperlink ref="AJ718" r:id="rId820" xr:uid="{00000000-0004-0000-0200-000033030000}"/>
    <hyperlink ref="I719" r:id="rId821" xr:uid="{00000000-0004-0000-0200-000034030000}"/>
    <hyperlink ref="AJ719" r:id="rId822" xr:uid="{00000000-0004-0000-0200-000035030000}"/>
    <hyperlink ref="I720" r:id="rId823" xr:uid="{00000000-0004-0000-0200-000036030000}"/>
    <hyperlink ref="AJ720" r:id="rId824" xr:uid="{00000000-0004-0000-0200-000037030000}"/>
    <hyperlink ref="H721" r:id="rId825" xr:uid="{00000000-0004-0000-0200-000038030000}"/>
    <hyperlink ref="I721" r:id="rId826" xr:uid="{00000000-0004-0000-0200-000039030000}"/>
    <hyperlink ref="I722" r:id="rId827" xr:uid="{00000000-0004-0000-0200-00003A030000}"/>
    <hyperlink ref="AJ722" r:id="rId828" xr:uid="{00000000-0004-0000-0200-00003B030000}"/>
    <hyperlink ref="I723" r:id="rId829" xr:uid="{00000000-0004-0000-0200-00003C030000}"/>
    <hyperlink ref="AJ723" r:id="rId830" xr:uid="{00000000-0004-0000-0200-00003D030000}"/>
    <hyperlink ref="I724" r:id="rId831" xr:uid="{00000000-0004-0000-0200-00003E030000}"/>
    <hyperlink ref="AJ724" r:id="rId832" xr:uid="{00000000-0004-0000-0200-00003F030000}"/>
    <hyperlink ref="I725" r:id="rId833" xr:uid="{00000000-0004-0000-0200-000040030000}"/>
    <hyperlink ref="AJ725" r:id="rId834" xr:uid="{00000000-0004-0000-0200-000041030000}"/>
    <hyperlink ref="I726" r:id="rId835" xr:uid="{00000000-0004-0000-0200-000042030000}"/>
    <hyperlink ref="AJ726" r:id="rId836" xr:uid="{00000000-0004-0000-0200-000043030000}"/>
    <hyperlink ref="I727" r:id="rId837" xr:uid="{00000000-0004-0000-0200-000044030000}"/>
    <hyperlink ref="AJ727" r:id="rId838" xr:uid="{00000000-0004-0000-0200-000045030000}"/>
    <hyperlink ref="I728" r:id="rId839" xr:uid="{00000000-0004-0000-0200-000046030000}"/>
    <hyperlink ref="AJ728" r:id="rId840" xr:uid="{00000000-0004-0000-0200-000047030000}"/>
    <hyperlink ref="I729" r:id="rId841" xr:uid="{00000000-0004-0000-0200-000048030000}"/>
    <hyperlink ref="I730" r:id="rId842" xr:uid="{00000000-0004-0000-0200-000049030000}"/>
    <hyperlink ref="I731" r:id="rId843" xr:uid="{00000000-0004-0000-0200-00004A030000}"/>
    <hyperlink ref="AJ731" r:id="rId844" xr:uid="{00000000-0004-0000-0200-00004B030000}"/>
    <hyperlink ref="I732" r:id="rId845" xr:uid="{00000000-0004-0000-0200-00004C030000}"/>
    <hyperlink ref="I733" r:id="rId846" xr:uid="{00000000-0004-0000-0200-00004D030000}"/>
    <hyperlink ref="I734" r:id="rId847" xr:uid="{00000000-0004-0000-0200-00004E030000}"/>
    <hyperlink ref="AJ734" r:id="rId848" xr:uid="{00000000-0004-0000-0200-00004F030000}"/>
    <hyperlink ref="I735" r:id="rId849" xr:uid="{00000000-0004-0000-0200-000050030000}"/>
    <hyperlink ref="AJ735" r:id="rId850" xr:uid="{00000000-0004-0000-0200-000051030000}"/>
    <hyperlink ref="I736" r:id="rId851" xr:uid="{00000000-0004-0000-0200-000052030000}"/>
    <hyperlink ref="AJ736" r:id="rId852" xr:uid="{00000000-0004-0000-0200-000053030000}"/>
    <hyperlink ref="I737" r:id="rId853" xr:uid="{00000000-0004-0000-0200-000054030000}"/>
    <hyperlink ref="AJ737" r:id="rId854" xr:uid="{00000000-0004-0000-0200-000055030000}"/>
    <hyperlink ref="I738" r:id="rId855" xr:uid="{00000000-0004-0000-0200-000056030000}"/>
    <hyperlink ref="AJ738" r:id="rId856" xr:uid="{00000000-0004-0000-0200-000057030000}"/>
    <hyperlink ref="I739" r:id="rId857" xr:uid="{00000000-0004-0000-0200-000058030000}"/>
    <hyperlink ref="AJ739" r:id="rId858" xr:uid="{00000000-0004-0000-0200-000059030000}"/>
    <hyperlink ref="I740" r:id="rId859" xr:uid="{00000000-0004-0000-0200-00005A030000}"/>
    <hyperlink ref="AJ740" r:id="rId860" xr:uid="{00000000-0004-0000-0200-00005B030000}"/>
    <hyperlink ref="I741" r:id="rId861" xr:uid="{00000000-0004-0000-0200-00005C030000}"/>
    <hyperlink ref="AJ741" r:id="rId862" xr:uid="{00000000-0004-0000-0200-00005D030000}"/>
    <hyperlink ref="I742" r:id="rId863" xr:uid="{00000000-0004-0000-0200-00005E030000}"/>
    <hyperlink ref="AJ742" r:id="rId864" xr:uid="{00000000-0004-0000-0200-00005F030000}"/>
    <hyperlink ref="I743" r:id="rId865" xr:uid="{00000000-0004-0000-0200-000060030000}"/>
    <hyperlink ref="AJ743" r:id="rId866" xr:uid="{00000000-0004-0000-0200-000061030000}"/>
    <hyperlink ref="I744" r:id="rId867" xr:uid="{00000000-0004-0000-0200-000062030000}"/>
    <hyperlink ref="AJ744" r:id="rId868" xr:uid="{00000000-0004-0000-0200-000063030000}"/>
    <hyperlink ref="I745" r:id="rId869" xr:uid="{00000000-0004-0000-0200-000064030000}"/>
    <hyperlink ref="AJ745" r:id="rId870" xr:uid="{00000000-0004-0000-0200-000065030000}"/>
    <hyperlink ref="I746" r:id="rId871" xr:uid="{00000000-0004-0000-0200-000066030000}"/>
    <hyperlink ref="AJ746" r:id="rId872" xr:uid="{00000000-0004-0000-0200-000067030000}"/>
    <hyperlink ref="I747" r:id="rId873" xr:uid="{00000000-0004-0000-0200-000068030000}"/>
    <hyperlink ref="AJ747" r:id="rId874" xr:uid="{00000000-0004-0000-0200-000069030000}"/>
    <hyperlink ref="I748" r:id="rId875" xr:uid="{00000000-0004-0000-0200-00006A030000}"/>
    <hyperlink ref="AJ748" r:id="rId876" xr:uid="{00000000-0004-0000-0200-00006B030000}"/>
    <hyperlink ref="I749" r:id="rId877" xr:uid="{00000000-0004-0000-0200-00006C030000}"/>
    <hyperlink ref="AJ749" r:id="rId878" xr:uid="{00000000-0004-0000-0200-00006D030000}"/>
    <hyperlink ref="I750" r:id="rId879" xr:uid="{00000000-0004-0000-0200-00006E030000}"/>
    <hyperlink ref="AJ750" r:id="rId880" xr:uid="{00000000-0004-0000-0200-00006F030000}"/>
    <hyperlink ref="I751" r:id="rId881" xr:uid="{00000000-0004-0000-0200-000070030000}"/>
    <hyperlink ref="AJ751" r:id="rId882" xr:uid="{00000000-0004-0000-0200-000071030000}"/>
    <hyperlink ref="I752" r:id="rId883" xr:uid="{00000000-0004-0000-0200-000072030000}"/>
    <hyperlink ref="I753" r:id="rId884" xr:uid="{00000000-0004-0000-0200-000073030000}"/>
    <hyperlink ref="I754" r:id="rId885" xr:uid="{00000000-0004-0000-0200-000074030000}"/>
    <hyperlink ref="AJ754" r:id="rId886" xr:uid="{00000000-0004-0000-0200-000075030000}"/>
    <hyperlink ref="I755" r:id="rId887" xr:uid="{00000000-0004-0000-0200-000076030000}"/>
    <hyperlink ref="AJ755" r:id="rId888" xr:uid="{00000000-0004-0000-0200-000077030000}"/>
    <hyperlink ref="I756" r:id="rId889" xr:uid="{00000000-0004-0000-0200-000078030000}"/>
    <hyperlink ref="AJ756" r:id="rId890" xr:uid="{00000000-0004-0000-0200-000079030000}"/>
    <hyperlink ref="I757" r:id="rId891" xr:uid="{00000000-0004-0000-0200-00007A030000}"/>
    <hyperlink ref="AJ757" r:id="rId892" xr:uid="{00000000-0004-0000-0200-00007B030000}"/>
    <hyperlink ref="I758" r:id="rId893" xr:uid="{00000000-0004-0000-0200-00007C030000}"/>
    <hyperlink ref="AJ758" r:id="rId894" xr:uid="{00000000-0004-0000-0200-00007D030000}"/>
    <hyperlink ref="I759" r:id="rId895" xr:uid="{00000000-0004-0000-0200-00007E030000}"/>
    <hyperlink ref="AJ759" r:id="rId896" xr:uid="{00000000-0004-0000-0200-00007F030000}"/>
    <hyperlink ref="I760" r:id="rId897" xr:uid="{00000000-0004-0000-0200-000080030000}"/>
    <hyperlink ref="AJ760" r:id="rId898" xr:uid="{00000000-0004-0000-0200-000081030000}"/>
    <hyperlink ref="I761" r:id="rId899" xr:uid="{00000000-0004-0000-0200-000082030000}"/>
    <hyperlink ref="AJ761" r:id="rId900" xr:uid="{00000000-0004-0000-0200-000083030000}"/>
    <hyperlink ref="I762" r:id="rId901" xr:uid="{00000000-0004-0000-0200-000084030000}"/>
    <hyperlink ref="AJ762" r:id="rId902" xr:uid="{00000000-0004-0000-0200-000085030000}"/>
    <hyperlink ref="I763" r:id="rId903" xr:uid="{00000000-0004-0000-0200-000086030000}"/>
    <hyperlink ref="AJ763" r:id="rId904" xr:uid="{00000000-0004-0000-0200-000087030000}"/>
    <hyperlink ref="I764" r:id="rId905" xr:uid="{00000000-0004-0000-0200-000088030000}"/>
    <hyperlink ref="AJ764" r:id="rId906" xr:uid="{00000000-0004-0000-0200-000089030000}"/>
    <hyperlink ref="I765" r:id="rId907" xr:uid="{00000000-0004-0000-0200-00008A030000}"/>
    <hyperlink ref="AJ765" r:id="rId908" xr:uid="{00000000-0004-0000-0200-00008B030000}"/>
    <hyperlink ref="I766" r:id="rId909" xr:uid="{00000000-0004-0000-0200-00008C030000}"/>
    <hyperlink ref="AJ766" r:id="rId910" xr:uid="{00000000-0004-0000-0200-00008D030000}"/>
    <hyperlink ref="I767" r:id="rId911" xr:uid="{00000000-0004-0000-0200-00008E030000}"/>
    <hyperlink ref="AJ767" r:id="rId912" xr:uid="{00000000-0004-0000-0200-00008F030000}"/>
    <hyperlink ref="I768" r:id="rId913" xr:uid="{00000000-0004-0000-0200-000090030000}"/>
    <hyperlink ref="AJ768" r:id="rId914" xr:uid="{00000000-0004-0000-0200-000091030000}"/>
    <hyperlink ref="I769" r:id="rId915" xr:uid="{00000000-0004-0000-0200-000092030000}"/>
    <hyperlink ref="AJ769" r:id="rId916" xr:uid="{00000000-0004-0000-0200-000093030000}"/>
    <hyperlink ref="I770" r:id="rId917" xr:uid="{00000000-0004-0000-0200-000094030000}"/>
    <hyperlink ref="I771" r:id="rId918" xr:uid="{00000000-0004-0000-0200-000095030000}"/>
    <hyperlink ref="AJ771" r:id="rId919" xr:uid="{00000000-0004-0000-0200-000096030000}"/>
    <hyperlink ref="I772" r:id="rId920" xr:uid="{00000000-0004-0000-0200-000097030000}"/>
    <hyperlink ref="AJ772" r:id="rId921" xr:uid="{00000000-0004-0000-0200-000098030000}"/>
    <hyperlink ref="I773" r:id="rId922" xr:uid="{00000000-0004-0000-0200-000099030000}"/>
    <hyperlink ref="I774" r:id="rId923" xr:uid="{00000000-0004-0000-0200-00009A030000}"/>
    <hyperlink ref="AJ774" r:id="rId924" xr:uid="{00000000-0004-0000-0200-00009B030000}"/>
    <hyperlink ref="I775" r:id="rId925" xr:uid="{00000000-0004-0000-0200-00009C030000}"/>
    <hyperlink ref="I776" r:id="rId926" xr:uid="{00000000-0004-0000-0200-00009D030000}"/>
    <hyperlink ref="I777" r:id="rId927" xr:uid="{00000000-0004-0000-0200-00009E030000}"/>
    <hyperlink ref="I778" r:id="rId928" xr:uid="{00000000-0004-0000-0200-00009F030000}"/>
    <hyperlink ref="I779" r:id="rId929" xr:uid="{00000000-0004-0000-0200-0000A0030000}"/>
    <hyperlink ref="AJ779" r:id="rId930" xr:uid="{00000000-0004-0000-0200-0000A1030000}"/>
    <hyperlink ref="I780" r:id="rId931" xr:uid="{00000000-0004-0000-0200-0000A2030000}"/>
    <hyperlink ref="AJ780" r:id="rId932" xr:uid="{00000000-0004-0000-0200-0000A3030000}"/>
    <hyperlink ref="I781" r:id="rId933" xr:uid="{00000000-0004-0000-0200-0000A4030000}"/>
    <hyperlink ref="I782" r:id="rId934" xr:uid="{00000000-0004-0000-0200-0000A5030000}"/>
    <hyperlink ref="I783" r:id="rId935" xr:uid="{00000000-0004-0000-0200-0000A6030000}"/>
    <hyperlink ref="I784" r:id="rId936" xr:uid="{00000000-0004-0000-0200-0000A7030000}"/>
    <hyperlink ref="I785" r:id="rId937" xr:uid="{00000000-0004-0000-0200-0000A8030000}"/>
    <hyperlink ref="AJ785" r:id="rId938" xr:uid="{00000000-0004-0000-0200-0000A9030000}"/>
    <hyperlink ref="I786" r:id="rId939" xr:uid="{00000000-0004-0000-0200-0000AA030000}"/>
    <hyperlink ref="I787" r:id="rId940" xr:uid="{00000000-0004-0000-0200-0000AB030000}"/>
    <hyperlink ref="AJ787" r:id="rId941" xr:uid="{00000000-0004-0000-0200-0000AC030000}"/>
    <hyperlink ref="I788" r:id="rId942" xr:uid="{00000000-0004-0000-0200-0000AD030000}"/>
    <hyperlink ref="I789" r:id="rId943" xr:uid="{00000000-0004-0000-0200-0000AE030000}"/>
    <hyperlink ref="I790" r:id="rId944" xr:uid="{00000000-0004-0000-0200-0000AF030000}"/>
    <hyperlink ref="I791" r:id="rId945" xr:uid="{00000000-0004-0000-0200-0000B0030000}"/>
    <hyperlink ref="I792" r:id="rId946" xr:uid="{00000000-0004-0000-0200-0000B1030000}"/>
    <hyperlink ref="I793" r:id="rId947" xr:uid="{00000000-0004-0000-0200-0000B2030000}"/>
    <hyperlink ref="I794" r:id="rId948" xr:uid="{00000000-0004-0000-0200-0000B3030000}"/>
    <hyperlink ref="I795" r:id="rId949" xr:uid="{00000000-0004-0000-0200-0000B4030000}"/>
    <hyperlink ref="I796" r:id="rId950" xr:uid="{00000000-0004-0000-0200-0000B5030000}"/>
    <hyperlink ref="I797" r:id="rId951" xr:uid="{00000000-0004-0000-0200-0000B6030000}"/>
    <hyperlink ref="I798" r:id="rId952" xr:uid="{00000000-0004-0000-0200-0000B7030000}"/>
    <hyperlink ref="I799" r:id="rId953" xr:uid="{00000000-0004-0000-0200-0000B8030000}"/>
    <hyperlink ref="I800" r:id="rId954" xr:uid="{00000000-0004-0000-0200-0000B9030000}"/>
    <hyperlink ref="I801" r:id="rId955" xr:uid="{00000000-0004-0000-0200-0000BA030000}"/>
    <hyperlink ref="I802" r:id="rId956" xr:uid="{00000000-0004-0000-0200-0000BB030000}"/>
    <hyperlink ref="AJ802" r:id="rId957" xr:uid="{00000000-0004-0000-0200-0000BC030000}"/>
    <hyperlink ref="I803" r:id="rId958" xr:uid="{00000000-0004-0000-0200-0000BD030000}"/>
    <hyperlink ref="AJ803" r:id="rId959" xr:uid="{00000000-0004-0000-0200-0000BE030000}"/>
    <hyperlink ref="F804" r:id="rId960" xr:uid="{00000000-0004-0000-0200-0000BF030000}"/>
    <hyperlink ref="I804" r:id="rId961" xr:uid="{00000000-0004-0000-0200-0000C0030000}"/>
    <hyperlink ref="AJ804" r:id="rId962" xr:uid="{00000000-0004-0000-0200-0000C1030000}"/>
    <hyperlink ref="I805" r:id="rId963" xr:uid="{00000000-0004-0000-0200-0000C2030000}"/>
    <hyperlink ref="AJ805" r:id="rId964" xr:uid="{00000000-0004-0000-0200-0000C3030000}"/>
    <hyperlink ref="I806" r:id="rId965" xr:uid="{00000000-0004-0000-0200-0000C4030000}"/>
    <hyperlink ref="AJ806" r:id="rId966" xr:uid="{00000000-0004-0000-0200-0000C5030000}"/>
    <hyperlink ref="I807" r:id="rId967" xr:uid="{00000000-0004-0000-0200-0000C6030000}"/>
    <hyperlink ref="AJ807" r:id="rId968" xr:uid="{00000000-0004-0000-0200-0000C7030000}"/>
    <hyperlink ref="I808" r:id="rId969" xr:uid="{00000000-0004-0000-0200-0000C8030000}"/>
    <hyperlink ref="AJ808" r:id="rId970" xr:uid="{00000000-0004-0000-0200-0000C9030000}"/>
    <hyperlink ref="I809" r:id="rId971" xr:uid="{00000000-0004-0000-0200-0000CA030000}"/>
    <hyperlink ref="AJ809" r:id="rId972" xr:uid="{00000000-0004-0000-0200-0000CB030000}"/>
    <hyperlink ref="I810" r:id="rId973" xr:uid="{00000000-0004-0000-0200-0000CC030000}"/>
    <hyperlink ref="AJ810" r:id="rId974" xr:uid="{00000000-0004-0000-0200-0000CD030000}"/>
    <hyperlink ref="I811" r:id="rId975" xr:uid="{00000000-0004-0000-0200-0000CE030000}"/>
    <hyperlink ref="I812" r:id="rId976" xr:uid="{00000000-0004-0000-0200-0000CF030000}"/>
    <hyperlink ref="AJ812" r:id="rId977" xr:uid="{00000000-0004-0000-0200-0000D0030000}"/>
    <hyperlink ref="I813" r:id="rId978" xr:uid="{00000000-0004-0000-0200-0000D1030000}"/>
    <hyperlink ref="AJ813" r:id="rId979" xr:uid="{00000000-0004-0000-0200-0000D2030000}"/>
    <hyperlink ref="I814" r:id="rId980" xr:uid="{00000000-0004-0000-0200-0000D3030000}"/>
    <hyperlink ref="AJ814" r:id="rId981" xr:uid="{00000000-0004-0000-0200-0000D4030000}"/>
    <hyperlink ref="I815" r:id="rId982" xr:uid="{00000000-0004-0000-0200-0000D5030000}"/>
    <hyperlink ref="AJ815" r:id="rId983" xr:uid="{00000000-0004-0000-0200-0000D6030000}"/>
    <hyperlink ref="I816" r:id="rId984" xr:uid="{00000000-0004-0000-0200-0000D7030000}"/>
    <hyperlink ref="AJ816" r:id="rId985" xr:uid="{00000000-0004-0000-0200-0000D8030000}"/>
    <hyperlink ref="I817" r:id="rId986" xr:uid="{00000000-0004-0000-0200-0000D9030000}"/>
    <hyperlink ref="AJ817" r:id="rId987" xr:uid="{00000000-0004-0000-0200-0000DA030000}"/>
    <hyperlink ref="I818" r:id="rId988" xr:uid="{00000000-0004-0000-0200-0000DB030000}"/>
    <hyperlink ref="I819" r:id="rId989" xr:uid="{00000000-0004-0000-0200-0000DC030000}"/>
    <hyperlink ref="AJ819" r:id="rId990" xr:uid="{00000000-0004-0000-0200-0000DD030000}"/>
    <hyperlink ref="I820" r:id="rId991" xr:uid="{00000000-0004-0000-0200-0000DE030000}"/>
    <hyperlink ref="I821" r:id="rId992" xr:uid="{00000000-0004-0000-0200-0000DF030000}"/>
    <hyperlink ref="AJ821" r:id="rId993" xr:uid="{00000000-0004-0000-0200-0000E0030000}"/>
    <hyperlink ref="I822" r:id="rId994" xr:uid="{00000000-0004-0000-0200-0000E1030000}"/>
    <hyperlink ref="AJ822" r:id="rId995" xr:uid="{00000000-0004-0000-0200-0000E2030000}"/>
    <hyperlink ref="I823" r:id="rId996" xr:uid="{00000000-0004-0000-0200-0000E3030000}"/>
    <hyperlink ref="AJ823" r:id="rId997" xr:uid="{00000000-0004-0000-0200-0000E4030000}"/>
    <hyperlink ref="I824" r:id="rId998" xr:uid="{00000000-0004-0000-0200-0000E5030000}"/>
    <hyperlink ref="AJ824" r:id="rId999" xr:uid="{00000000-0004-0000-0200-0000E6030000}"/>
    <hyperlink ref="I825" r:id="rId1000" xr:uid="{00000000-0004-0000-0200-0000E7030000}"/>
    <hyperlink ref="AJ825" r:id="rId1001" xr:uid="{00000000-0004-0000-0200-0000E8030000}"/>
    <hyperlink ref="I826" r:id="rId1002" xr:uid="{00000000-0004-0000-0200-0000E9030000}"/>
    <hyperlink ref="AJ826" r:id="rId1003" xr:uid="{00000000-0004-0000-0200-0000EA030000}"/>
    <hyperlink ref="I827" r:id="rId1004" xr:uid="{00000000-0004-0000-0200-0000EB030000}"/>
    <hyperlink ref="AJ827" r:id="rId1005" xr:uid="{00000000-0004-0000-0200-0000EC030000}"/>
    <hyperlink ref="I828" r:id="rId1006" xr:uid="{00000000-0004-0000-0200-0000ED030000}"/>
    <hyperlink ref="AJ828" r:id="rId1007" xr:uid="{00000000-0004-0000-0200-0000EE030000}"/>
    <hyperlink ref="I829" r:id="rId1008" xr:uid="{00000000-0004-0000-0200-0000EF030000}"/>
    <hyperlink ref="AJ829" r:id="rId1009" xr:uid="{00000000-0004-0000-0200-0000F0030000}"/>
    <hyperlink ref="I830" r:id="rId1010" xr:uid="{00000000-0004-0000-0200-0000F1030000}"/>
    <hyperlink ref="AJ830" r:id="rId1011" xr:uid="{00000000-0004-0000-0200-0000F2030000}"/>
    <hyperlink ref="I831" r:id="rId1012" xr:uid="{00000000-0004-0000-0200-0000F3030000}"/>
    <hyperlink ref="AJ831" r:id="rId1013" xr:uid="{00000000-0004-0000-0200-0000F4030000}"/>
    <hyperlink ref="I832" r:id="rId1014" xr:uid="{00000000-0004-0000-0200-0000F5030000}"/>
    <hyperlink ref="AJ832" r:id="rId1015" xr:uid="{00000000-0004-0000-0200-0000F6030000}"/>
    <hyperlink ref="I833" r:id="rId1016" xr:uid="{00000000-0004-0000-0200-0000F7030000}"/>
    <hyperlink ref="I834" r:id="rId1017" xr:uid="{00000000-0004-0000-0200-0000F8030000}"/>
    <hyperlink ref="AJ834" r:id="rId1018" xr:uid="{00000000-0004-0000-0200-0000F9030000}"/>
    <hyperlink ref="I835" r:id="rId1019" xr:uid="{00000000-0004-0000-0200-0000FA030000}"/>
    <hyperlink ref="AJ835" r:id="rId1020" xr:uid="{00000000-0004-0000-0200-0000FB030000}"/>
    <hyperlink ref="I836" r:id="rId1021" xr:uid="{00000000-0004-0000-0200-0000FC030000}"/>
    <hyperlink ref="AJ836" r:id="rId1022" xr:uid="{00000000-0004-0000-0200-0000FD030000}"/>
    <hyperlink ref="I837" r:id="rId1023" xr:uid="{00000000-0004-0000-0200-0000FE030000}"/>
    <hyperlink ref="AJ837" r:id="rId1024" xr:uid="{00000000-0004-0000-0200-0000FF030000}"/>
    <hyperlink ref="I838" r:id="rId1025" xr:uid="{00000000-0004-0000-0200-000000040000}"/>
    <hyperlink ref="AJ838" r:id="rId1026" xr:uid="{00000000-0004-0000-0200-000001040000}"/>
    <hyperlink ref="AJ839" r:id="rId1027" xr:uid="{00000000-0004-0000-0200-000002040000}"/>
    <hyperlink ref="I840" r:id="rId1028" xr:uid="{00000000-0004-0000-0200-000003040000}"/>
    <hyperlink ref="AJ840" r:id="rId1029" xr:uid="{00000000-0004-0000-0200-000004040000}"/>
    <hyperlink ref="I841" r:id="rId1030" xr:uid="{00000000-0004-0000-0200-000005040000}"/>
    <hyperlink ref="AJ841" r:id="rId1031" xr:uid="{00000000-0004-0000-0200-000006040000}"/>
    <hyperlink ref="I842" r:id="rId1032" xr:uid="{00000000-0004-0000-0200-000007040000}"/>
    <hyperlink ref="AJ842" r:id="rId1033" xr:uid="{00000000-0004-0000-0200-000008040000}"/>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I10"/>
  <sheetViews>
    <sheetView workbookViewId="0"/>
  </sheetViews>
  <sheetFormatPr baseColWidth="10" defaultColWidth="12.6640625" defaultRowHeight="15.75" customHeight="1"/>
  <cols>
    <col min="1" max="1" width="4.1640625" customWidth="1"/>
    <col min="2" max="2" width="39" customWidth="1"/>
    <col min="3" max="3" width="9.5" customWidth="1"/>
    <col min="4" max="4" width="8.33203125" customWidth="1"/>
    <col min="5" max="7" width="10.5" customWidth="1"/>
    <col min="8" max="8" width="7.83203125" customWidth="1"/>
  </cols>
  <sheetData>
    <row r="1" spans="2:9" ht="116.25" customHeight="1">
      <c r="B1" s="1" t="s">
        <v>0</v>
      </c>
      <c r="C1" s="2" t="s">
        <v>1</v>
      </c>
      <c r="D1" s="2" t="s">
        <v>3</v>
      </c>
      <c r="E1" s="2" t="s">
        <v>4</v>
      </c>
      <c r="F1" s="2" t="s">
        <v>5</v>
      </c>
      <c r="G1" s="2" t="s">
        <v>6</v>
      </c>
      <c r="H1" s="5" t="s">
        <v>7</v>
      </c>
    </row>
    <row r="2" spans="2:9" ht="13">
      <c r="B2" s="1" t="s">
        <v>8</v>
      </c>
      <c r="C2" s="1">
        <f>SUMIF(Stakeholders!$A$2:$A999,B2,Stakeholders!$D$2:$D999)</f>
        <v>2</v>
      </c>
      <c r="D2" s="1">
        <f>SUMIF('calculos 2'!$A$2:$A999,B2,'calculos 2'!$E$2:$E999)</f>
        <v>26</v>
      </c>
      <c r="E2" s="10">
        <f t="shared" ref="E2:E10" si="0">D2/C2</f>
        <v>13</v>
      </c>
      <c r="F2" s="1">
        <f t="shared" ref="F2:F3" si="1">C2-D2</f>
        <v>-24</v>
      </c>
      <c r="H2" s="1">
        <f>SUMIF(Stakeholders!$A$2:$A999,B2,Stakeholders!$J$2:$J999)</f>
        <v>26</v>
      </c>
      <c r="I2" s="1">
        <f>COUNTIF(Stakeholders!A:A,B2)</f>
        <v>2</v>
      </c>
    </row>
    <row r="3" spans="2:9" ht="13">
      <c r="B3" s="1" t="s">
        <v>53</v>
      </c>
      <c r="C3" s="1">
        <f>SUMIF(Stakeholders!$A$2:$A999,B3,Stakeholders!$D$2:$D999)</f>
        <v>2</v>
      </c>
      <c r="D3" s="1">
        <f>SUMIF('calculos 2'!$A$2:$A999,B3,'calculos 2'!$E$2:$E999)</f>
        <v>1</v>
      </c>
      <c r="E3" s="10">
        <f t="shared" si="0"/>
        <v>0.5</v>
      </c>
      <c r="F3" s="1">
        <f t="shared" si="1"/>
        <v>1</v>
      </c>
      <c r="H3" s="1">
        <f>SUMIF(Stakeholders!$A$2:$A999,B3,Stakeholders!$J$2:$J999)</f>
        <v>1</v>
      </c>
      <c r="I3" s="1">
        <f>COUNTIF(Stakeholders!A:A,B3)</f>
        <v>2</v>
      </c>
    </row>
    <row r="4" spans="2:9" ht="13">
      <c r="B4" s="1" t="s">
        <v>64</v>
      </c>
      <c r="C4" s="1">
        <f>SUMIF(Stakeholders!$A$2:$A999,B4,Stakeholders!$D$2:$D999)</f>
        <v>3.1667460317460314</v>
      </c>
      <c r="D4" s="1">
        <f>SUMIF('calculos 2'!$A$2:$A999,B4,'calculos 2'!$E$2:$E999)</f>
        <v>104</v>
      </c>
      <c r="E4" s="10">
        <f t="shared" si="0"/>
        <v>32.841282173379113</v>
      </c>
      <c r="F4" s="1">
        <f>ABS(C4-D4)</f>
        <v>100.83325396825397</v>
      </c>
      <c r="H4" s="1">
        <f>SUMIF(Stakeholders!$A$2:$A999,B4,Stakeholders!$J$2:$J999)</f>
        <v>103</v>
      </c>
      <c r="I4" s="1">
        <f>COUNTIF(Stakeholders!A:A,B4)</f>
        <v>64</v>
      </c>
    </row>
    <row r="5" spans="2:9" ht="13">
      <c r="B5" s="1" t="s">
        <v>69</v>
      </c>
      <c r="C5" s="1">
        <f>SUMIF(Stakeholders!$A$2:$A999,B5,Stakeholders!$D$2:$D999)</f>
        <v>1</v>
      </c>
      <c r="D5" s="1">
        <f>SUMIF('calculos 2'!$A$2:$A999,B5,'calculos 2'!$E$2:$E999)</f>
        <v>5</v>
      </c>
      <c r="E5" s="10">
        <f t="shared" si="0"/>
        <v>5</v>
      </c>
      <c r="F5" s="1">
        <f t="shared" ref="F5:F10" si="2">C5-D5</f>
        <v>-4</v>
      </c>
      <c r="H5" s="1">
        <f>SUMIF(Stakeholders!$A$2:$A999,B5,Stakeholders!$J$2:$J999)</f>
        <v>5</v>
      </c>
      <c r="I5" s="1">
        <f>COUNTIF(Stakeholders!A:A,B5)</f>
        <v>2</v>
      </c>
    </row>
    <row r="6" spans="2:9" ht="13">
      <c r="B6" s="1" t="s">
        <v>80</v>
      </c>
      <c r="C6" s="1">
        <f>SUMIF(Stakeholders!$A$2:$A999,B6,Stakeholders!$D$2:$D999)</f>
        <v>6.61</v>
      </c>
      <c r="D6" s="1">
        <f>SUMIF('calculos 2'!$A$2:$A999,B6,'calculos 2'!$E$2:$E999)</f>
        <v>25</v>
      </c>
      <c r="E6" s="10">
        <f t="shared" si="0"/>
        <v>3.7821482602118</v>
      </c>
      <c r="F6" s="1">
        <f t="shared" si="2"/>
        <v>-18.39</v>
      </c>
      <c r="H6" s="1">
        <f>SUMIF(Stakeholders!$A$2:$A999,B6,Stakeholders!$J$2:$J999)</f>
        <v>24</v>
      </c>
      <c r="I6" s="1">
        <f>COUNTIF(Stakeholders!A:A,B6)</f>
        <v>22</v>
      </c>
    </row>
    <row r="7" spans="2:9" ht="13">
      <c r="B7" s="1" t="s">
        <v>58</v>
      </c>
      <c r="C7" s="1">
        <f>SUMIF(Stakeholders!$A$2:$A999,B7,Stakeholders!$D$2:$D999)</f>
        <v>29.045238095238084</v>
      </c>
      <c r="D7" s="1">
        <f>SUMIF('calculos 2'!$A$2:$A999,B7,'calculos 2'!$E$2:$E999)</f>
        <v>82</v>
      </c>
      <c r="E7" s="10">
        <f t="shared" si="0"/>
        <v>2.8231822280514809</v>
      </c>
      <c r="F7" s="1">
        <f t="shared" si="2"/>
        <v>-52.954761904761916</v>
      </c>
      <c r="H7" s="1">
        <f>SUMIF(Stakeholders!$A$2:$A999,B7,Stakeholders!$J$2:$J999)</f>
        <v>89</v>
      </c>
      <c r="I7" s="1">
        <f>COUNTIF(Stakeholders!A:A,B7)</f>
        <v>87</v>
      </c>
    </row>
    <row r="8" spans="2:9" ht="13">
      <c r="B8" s="1" t="s">
        <v>92</v>
      </c>
      <c r="C8" s="1">
        <f>SUMIF(Stakeholders!$A$2:$A999,B8,Stakeholders!$D$2:$D999)</f>
        <v>1.9081818181818182</v>
      </c>
      <c r="D8" s="1">
        <f>SUMIF('calculos 2'!$A$2:$A999,B8,'calculos 2'!$E$2:$E999)</f>
        <v>36</v>
      </c>
      <c r="E8" s="10">
        <f t="shared" si="0"/>
        <v>18.866126727012862</v>
      </c>
      <c r="F8" s="1">
        <f t="shared" si="2"/>
        <v>-34.091818181818184</v>
      </c>
      <c r="H8" s="1">
        <f>SUMIF(Stakeholders!$A$2:$A999,B8,Stakeholders!$J$2:$J999)</f>
        <v>35</v>
      </c>
      <c r="I8" s="1">
        <f>COUNTIF(Stakeholders!A:A,B8)</f>
        <v>11</v>
      </c>
    </row>
    <row r="9" spans="2:9" ht="13">
      <c r="B9" s="1" t="s">
        <v>56</v>
      </c>
      <c r="C9" s="1">
        <f>SUMIF(Stakeholders!$A$2:$A999,B9,Stakeholders!$D$2:$D999)</f>
        <v>9.7899999999999991</v>
      </c>
      <c r="D9" s="1">
        <f>SUMIF('calculos 2'!$A$2:$A999,B9,'calculos 2'!$E$2:$E999)</f>
        <v>16</v>
      </c>
      <c r="E9" s="10">
        <f t="shared" si="0"/>
        <v>1.634320735444331</v>
      </c>
      <c r="F9" s="1">
        <f t="shared" si="2"/>
        <v>-6.2100000000000009</v>
      </c>
      <c r="H9" s="1">
        <f>SUMIF(Stakeholders!$A$2:$A999,B9,Stakeholders!$J$2:$J999)</f>
        <v>24</v>
      </c>
      <c r="I9" s="1">
        <f>COUNTIF(Stakeholders!A:A,B9)</f>
        <v>18</v>
      </c>
    </row>
    <row r="10" spans="2:9" ht="13">
      <c r="B10" s="1" t="s">
        <v>102</v>
      </c>
      <c r="C10" s="1">
        <f t="shared" ref="C10:D10" si="3">SUM(C2:C9)</f>
        <v>55.520165945165935</v>
      </c>
      <c r="D10" s="1">
        <f t="shared" si="3"/>
        <v>295</v>
      </c>
      <c r="E10" s="10">
        <f t="shared" si="0"/>
        <v>5.3133846950557473</v>
      </c>
      <c r="F10" s="1">
        <f t="shared" si="2"/>
        <v>-239.47983405483407</v>
      </c>
      <c r="H10" s="1">
        <f t="shared" ref="H10:I10" si="4">SUM(H2:H9)</f>
        <v>307</v>
      </c>
      <c r="I10" s="1">
        <f t="shared" si="4"/>
        <v>208</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214"/>
  <sheetViews>
    <sheetView workbookViewId="0"/>
  </sheetViews>
  <sheetFormatPr baseColWidth="10" defaultColWidth="12.6640625" defaultRowHeight="15.75" customHeight="1"/>
  <sheetData>
    <row r="1" spans="1:6" ht="91.5" customHeight="1">
      <c r="A1" s="1" t="s">
        <v>0</v>
      </c>
      <c r="B1" s="1" t="s">
        <v>18</v>
      </c>
      <c r="C1" s="5" t="s">
        <v>1</v>
      </c>
      <c r="D1" s="1" t="s">
        <v>46</v>
      </c>
      <c r="E1" s="1" t="s">
        <v>48</v>
      </c>
      <c r="F1" s="1" t="s">
        <v>50</v>
      </c>
    </row>
    <row r="2" spans="1:6" ht="13">
      <c r="A2" s="1" t="s">
        <v>8</v>
      </c>
      <c r="B2" s="1" t="s">
        <v>52</v>
      </c>
      <c r="C2" s="1">
        <f>SUMIF(Stakeholders!$C$2:$C999,B2,Stakeholders!$F$2:$F999)</f>
        <v>1</v>
      </c>
      <c r="D2" s="1">
        <f t="shared" ref="D2:D214" si="0">IF(C2=0,0,1)</f>
        <v>1</v>
      </c>
      <c r="E2" s="1">
        <f>SUMIF(Stakeholders!$C$2:$C999,B2,Stakeholders!$J$2:$J999)</f>
        <v>25</v>
      </c>
    </row>
    <row r="3" spans="1:6" ht="13">
      <c r="A3" s="1" t="s">
        <v>8</v>
      </c>
      <c r="B3" s="1" t="s">
        <v>61</v>
      </c>
      <c r="C3" s="1">
        <f>SUMIF(Stakeholders!$C$2:$C999,B3,Stakeholders!$F$2:$F999)</f>
        <v>0</v>
      </c>
      <c r="D3" s="1">
        <f t="shared" si="0"/>
        <v>0</v>
      </c>
      <c r="E3" s="1">
        <f>SUMIF(Stakeholders!$C$2:$C999,B3,Stakeholders!$J$2:$J999)</f>
        <v>0</v>
      </c>
    </row>
    <row r="4" spans="1:6" ht="13">
      <c r="A4" s="1" t="s">
        <v>8</v>
      </c>
      <c r="B4" s="1" t="s">
        <v>66</v>
      </c>
      <c r="C4" s="1">
        <f>SUMIF(Stakeholders!$C$2:$C999,B4,Stakeholders!$F$2:$F999)</f>
        <v>0</v>
      </c>
      <c r="D4" s="1">
        <f t="shared" si="0"/>
        <v>0</v>
      </c>
      <c r="E4" s="1">
        <f>SUMIF(Stakeholders!$C$2:$C999,B4,Stakeholders!$J$2:$J999)</f>
        <v>0</v>
      </c>
    </row>
    <row r="5" spans="1:6" ht="13">
      <c r="A5" s="1" t="s">
        <v>8</v>
      </c>
      <c r="B5" s="1" t="s">
        <v>68</v>
      </c>
      <c r="C5" s="1">
        <f>SUMIF(Stakeholders!$C$2:$C999,B5,Stakeholders!$F$2:$F999)</f>
        <v>0</v>
      </c>
      <c r="D5" s="1">
        <f t="shared" si="0"/>
        <v>0</v>
      </c>
      <c r="E5" s="1">
        <f>SUMIF(Stakeholders!$C$2:$C999,B5,Stakeholders!$J$2:$J999)</f>
        <v>0</v>
      </c>
    </row>
    <row r="6" spans="1:6" ht="13">
      <c r="A6" s="1" t="s">
        <v>8</v>
      </c>
      <c r="B6" s="1" t="s">
        <v>70</v>
      </c>
      <c r="C6" s="1">
        <f>SUMIF(Stakeholders!$C$2:$C999,B6,Stakeholders!$F$2:$F999)</f>
        <v>0</v>
      </c>
      <c r="D6" s="1">
        <f t="shared" si="0"/>
        <v>0</v>
      </c>
      <c r="E6" s="1">
        <f>SUMIF(Stakeholders!$C$2:$C999,B6,Stakeholders!$J$2:$J999)</f>
        <v>0</v>
      </c>
    </row>
    <row r="7" spans="1:6" ht="13">
      <c r="A7" s="1" t="s">
        <v>8</v>
      </c>
      <c r="B7" s="1" t="s">
        <v>79</v>
      </c>
      <c r="C7" s="1">
        <f>SUMIF(Stakeholders!$C$2:$C999,B7,Stakeholders!$F$2:$F999)</f>
        <v>0</v>
      </c>
      <c r="D7" s="1">
        <f t="shared" si="0"/>
        <v>0</v>
      </c>
      <c r="E7" s="1">
        <f>SUMIF(Stakeholders!$C$2:$C999,B7,Stakeholders!$J$2:$J999)</f>
        <v>0</v>
      </c>
    </row>
    <row r="8" spans="1:6" ht="13">
      <c r="A8" s="1" t="s">
        <v>8</v>
      </c>
      <c r="B8" s="1" t="s">
        <v>81</v>
      </c>
      <c r="C8" s="1">
        <f>SUMIF(Stakeholders!$C$2:$C999,B8,Stakeholders!$F$2:$F999)</f>
        <v>0</v>
      </c>
      <c r="D8" s="1">
        <f t="shared" si="0"/>
        <v>0</v>
      </c>
      <c r="E8" s="1">
        <f>SUMIF(Stakeholders!$C$2:$C999,B8,Stakeholders!$J$2:$J999)</f>
        <v>0</v>
      </c>
    </row>
    <row r="9" spans="1:6" ht="13">
      <c r="A9" s="1" t="s">
        <v>8</v>
      </c>
      <c r="B9" s="1" t="s">
        <v>83</v>
      </c>
      <c r="C9" s="1">
        <f>SUMIF(Stakeholders!$C$2:$C999,B9,Stakeholders!$F$2:$F999)</f>
        <v>0</v>
      </c>
      <c r="D9" s="1">
        <f t="shared" si="0"/>
        <v>0</v>
      </c>
      <c r="E9" s="1">
        <f>SUMIF(Stakeholders!$C$2:$C999,B9,Stakeholders!$J$2:$J999)</f>
        <v>0</v>
      </c>
    </row>
    <row r="10" spans="1:6" ht="13">
      <c r="A10" s="1" t="s">
        <v>8</v>
      </c>
      <c r="B10" s="1" t="s">
        <v>84</v>
      </c>
      <c r="C10" s="1">
        <f>SUMIF(Stakeholders!$C$2:$C999,B10,Stakeholders!$F$2:$F999)</f>
        <v>0</v>
      </c>
      <c r="D10" s="1">
        <f t="shared" si="0"/>
        <v>0</v>
      </c>
      <c r="E10" s="1">
        <f>SUMIF(Stakeholders!$C$2:$C999,B10,Stakeholders!$J$2:$J999)</f>
        <v>0</v>
      </c>
    </row>
    <row r="11" spans="1:6" ht="13">
      <c r="A11" s="1" t="s">
        <v>8</v>
      </c>
      <c r="B11" s="1" t="s">
        <v>91</v>
      </c>
      <c r="C11" s="1">
        <f>SUMIF(Stakeholders!$C$2:$C999,B11,Stakeholders!$F$2:$F999)</f>
        <v>0</v>
      </c>
      <c r="D11" s="1">
        <f t="shared" si="0"/>
        <v>0</v>
      </c>
      <c r="E11" s="1">
        <f>SUMIF(Stakeholders!$C$2:$C999,B11,Stakeholders!$J$2:$J999)</f>
        <v>0</v>
      </c>
    </row>
    <row r="12" spans="1:6" ht="13">
      <c r="A12" s="1" t="s">
        <v>8</v>
      </c>
      <c r="B12" s="1" t="s">
        <v>93</v>
      </c>
      <c r="C12" s="1">
        <f>SUMIF(Stakeholders!$C$2:$C999,B12,Stakeholders!$F$2:$F999)</f>
        <v>0</v>
      </c>
      <c r="D12" s="1">
        <f t="shared" si="0"/>
        <v>0</v>
      </c>
      <c r="E12" s="1">
        <f>SUMIF(Stakeholders!$C$2:$C999,B12,Stakeholders!$J$2:$J999)</f>
        <v>0</v>
      </c>
    </row>
    <row r="13" spans="1:6" ht="13">
      <c r="A13" s="1" t="s">
        <v>8</v>
      </c>
      <c r="B13" s="1" t="s">
        <v>97</v>
      </c>
      <c r="C13" s="1">
        <f>SUMIF(Stakeholders!$C$2:$C999,B13,Stakeholders!$F$2:$F999)</f>
        <v>0</v>
      </c>
      <c r="D13" s="1">
        <f t="shared" si="0"/>
        <v>0</v>
      </c>
      <c r="E13" s="1">
        <f>SUMIF(Stakeholders!$C$2:$C999,B13,Stakeholders!$J$2:$J999)</f>
        <v>0</v>
      </c>
    </row>
    <row r="14" spans="1:6" ht="13">
      <c r="A14" s="1" t="s">
        <v>8</v>
      </c>
      <c r="B14" s="1" t="s">
        <v>100</v>
      </c>
      <c r="C14" s="1">
        <f>SUMIF(Stakeholders!$C$2:$C999,B14,Stakeholders!$F$2:$F999)</f>
        <v>0</v>
      </c>
      <c r="D14" s="1">
        <f t="shared" si="0"/>
        <v>0</v>
      </c>
      <c r="E14" s="1">
        <f>SUMIF(Stakeholders!$C$2:$C999,B14,Stakeholders!$J$2:$J999)</f>
        <v>0</v>
      </c>
    </row>
    <row r="15" spans="1:6" ht="13">
      <c r="A15" s="1" t="s">
        <v>8</v>
      </c>
      <c r="B15" s="1" t="s">
        <v>101</v>
      </c>
      <c r="C15" s="1">
        <f>SUMIF(Stakeholders!$C$2:$C999,B15,Stakeholders!$F$2:$F999)</f>
        <v>0</v>
      </c>
      <c r="D15" s="1">
        <f t="shared" si="0"/>
        <v>0</v>
      </c>
      <c r="E15" s="1">
        <f>SUMIF(Stakeholders!$C$2:$C999,B15,Stakeholders!$J$2:$J999)</f>
        <v>0</v>
      </c>
    </row>
    <row r="16" spans="1:6" ht="13">
      <c r="A16" s="1" t="s">
        <v>8</v>
      </c>
      <c r="B16" s="1" t="s">
        <v>105</v>
      </c>
      <c r="C16" s="1">
        <f>SUMIF(Stakeholders!$C$2:$C999,B16,Stakeholders!$F$2:$F999)</f>
        <v>0</v>
      </c>
      <c r="D16" s="1">
        <f t="shared" si="0"/>
        <v>0</v>
      </c>
      <c r="E16" s="1">
        <f>SUMIF(Stakeholders!$C$2:$C999,B16,Stakeholders!$J$2:$J999)</f>
        <v>0</v>
      </c>
    </row>
    <row r="17" spans="1:5" ht="13">
      <c r="A17" s="1" t="s">
        <v>8</v>
      </c>
      <c r="B17" s="1" t="s">
        <v>111</v>
      </c>
      <c r="C17" s="1">
        <f>SUMIF(Stakeholders!$C$2:$C999,B17,Stakeholders!$F$2:$F999)</f>
        <v>0</v>
      </c>
      <c r="D17" s="1">
        <f t="shared" si="0"/>
        <v>0</v>
      </c>
      <c r="E17" s="1">
        <f>SUMIF(Stakeholders!$C$2:$C999,B17,Stakeholders!$J$2:$J999)</f>
        <v>0</v>
      </c>
    </row>
    <row r="18" spans="1:5" ht="13">
      <c r="A18" s="1" t="s">
        <v>8</v>
      </c>
      <c r="B18" s="1" t="s">
        <v>112</v>
      </c>
      <c r="C18" s="1">
        <f>SUMIF(Stakeholders!$C$2:$C999,B18,Stakeholders!$F$2:$F999)</f>
        <v>0</v>
      </c>
      <c r="D18" s="1">
        <f t="shared" si="0"/>
        <v>0</v>
      </c>
      <c r="E18" s="1">
        <f>SUMIF(Stakeholders!$C$2:$C999,B18,Stakeholders!$J$2:$J999)</f>
        <v>0</v>
      </c>
    </row>
    <row r="19" spans="1:5" ht="13">
      <c r="A19" s="1" t="s">
        <v>8</v>
      </c>
      <c r="B19" s="1" t="s">
        <v>114</v>
      </c>
      <c r="C19" s="1">
        <f>SUMIF(Stakeholders!$C$2:$C999,B19,Stakeholders!$F$2:$F999)</f>
        <v>0</v>
      </c>
      <c r="D19" s="1">
        <f t="shared" si="0"/>
        <v>0</v>
      </c>
      <c r="E19" s="1">
        <f>SUMIF(Stakeholders!$C$2:$C999,B19,Stakeholders!$J$2:$J999)</f>
        <v>0</v>
      </c>
    </row>
    <row r="20" spans="1:5" ht="13">
      <c r="A20" s="1" t="s">
        <v>8</v>
      </c>
      <c r="B20" s="1" t="s">
        <v>118</v>
      </c>
      <c r="C20" s="1">
        <f>SUMIF(Stakeholders!$C$2:$C999,B20,Stakeholders!$F$2:$F999)</f>
        <v>0</v>
      </c>
      <c r="D20" s="1">
        <f t="shared" si="0"/>
        <v>0</v>
      </c>
      <c r="E20" s="1">
        <f>SUMIF(Stakeholders!$C$2:$C999,B20,Stakeholders!$J$2:$J999)</f>
        <v>0</v>
      </c>
    </row>
    <row r="21" spans="1:5" ht="13">
      <c r="A21" s="1" t="s">
        <v>8</v>
      </c>
      <c r="B21" s="1" t="s">
        <v>119</v>
      </c>
      <c r="C21" s="1">
        <f>SUMIF(Stakeholders!$C$2:$C999,B21,Stakeholders!$F$2:$F999)</f>
        <v>0</v>
      </c>
      <c r="D21" s="1">
        <f t="shared" si="0"/>
        <v>0</v>
      </c>
      <c r="E21" s="1">
        <f>SUMIF(Stakeholders!$C$2:$C999,B21,Stakeholders!$J$2:$J999)</f>
        <v>0</v>
      </c>
    </row>
    <row r="22" spans="1:5" ht="13">
      <c r="A22" s="1" t="s">
        <v>8</v>
      </c>
      <c r="B22" s="1" t="s">
        <v>120</v>
      </c>
      <c r="C22" s="1">
        <f>SUMIF(Stakeholders!$C$2:$C999,B22,Stakeholders!$F$2:$F999)</f>
        <v>0</v>
      </c>
      <c r="D22" s="1">
        <f t="shared" si="0"/>
        <v>0</v>
      </c>
      <c r="E22" s="1">
        <f>SUMIF(Stakeholders!$C$2:$C999,B22,Stakeholders!$J$2:$J999)</f>
        <v>0</v>
      </c>
    </row>
    <row r="23" spans="1:5" ht="13">
      <c r="A23" s="1" t="s">
        <v>8</v>
      </c>
      <c r="B23" s="1" t="s">
        <v>124</v>
      </c>
      <c r="C23" s="1">
        <f>SUMIF(Stakeholders!$C$2:$C999,B23,Stakeholders!$F$2:$F999)</f>
        <v>0</v>
      </c>
      <c r="D23" s="1">
        <f t="shared" si="0"/>
        <v>0</v>
      </c>
      <c r="E23" s="1">
        <f>SUMIF(Stakeholders!$C$2:$C999,B23,Stakeholders!$J$2:$J999)</f>
        <v>0</v>
      </c>
    </row>
    <row r="24" spans="1:5" ht="13">
      <c r="A24" s="1" t="s">
        <v>8</v>
      </c>
      <c r="B24" s="1" t="s">
        <v>128</v>
      </c>
      <c r="C24" s="1">
        <f>SUMIF(Stakeholders!$C$2:$C999,B24,Stakeholders!$F$2:$F999)</f>
        <v>0</v>
      </c>
      <c r="D24" s="1">
        <f t="shared" si="0"/>
        <v>0</v>
      </c>
      <c r="E24" s="1">
        <f>SUMIF(Stakeholders!$C$2:$C999,B24,Stakeholders!$J$2:$J999)</f>
        <v>0</v>
      </c>
    </row>
    <row r="25" spans="1:5" ht="13">
      <c r="A25" s="1" t="s">
        <v>8</v>
      </c>
      <c r="B25" s="1" t="s">
        <v>131</v>
      </c>
      <c r="C25" s="1">
        <f>SUMIF(Stakeholders!$C$2:$C999,B25,Stakeholders!$F$2:$F999)</f>
        <v>0</v>
      </c>
      <c r="D25" s="1">
        <f t="shared" si="0"/>
        <v>0</v>
      </c>
      <c r="E25" s="1">
        <f>SUMIF(Stakeholders!$C$2:$C999,B25,Stakeholders!$J$2:$J999)</f>
        <v>0</v>
      </c>
    </row>
    <row r="26" spans="1:5" ht="13">
      <c r="A26" s="1" t="s">
        <v>8</v>
      </c>
      <c r="B26" s="1" t="s">
        <v>135</v>
      </c>
      <c r="C26" s="1">
        <f>SUMIF(Stakeholders!$C$2:$C999,B26,Stakeholders!$F$2:$F999)</f>
        <v>0</v>
      </c>
      <c r="D26" s="1">
        <f t="shared" si="0"/>
        <v>0</v>
      </c>
      <c r="E26" s="1">
        <f>SUMIF(Stakeholders!$C$2:$C999,B26,Stakeholders!$J$2:$J999)</f>
        <v>0</v>
      </c>
    </row>
    <row r="27" spans="1:5" ht="13">
      <c r="A27" s="1" t="s">
        <v>8</v>
      </c>
      <c r="B27" s="1" t="s">
        <v>140</v>
      </c>
      <c r="C27" s="1">
        <f>SUMIF(Stakeholders!$C$2:$C999,B27,Stakeholders!$F$2:$F999)</f>
        <v>0</v>
      </c>
      <c r="D27" s="1">
        <f t="shared" si="0"/>
        <v>0</v>
      </c>
      <c r="E27" s="1">
        <f>SUMIF(Stakeholders!$C$2:$C999,B27,Stakeholders!$J$2:$J999)</f>
        <v>0</v>
      </c>
    </row>
    <row r="28" spans="1:5" ht="13">
      <c r="A28" s="1" t="s">
        <v>8</v>
      </c>
      <c r="B28" s="1" t="s">
        <v>144</v>
      </c>
      <c r="C28" s="1">
        <f>SUMIF(Stakeholders!$C$2:$C999,B28,Stakeholders!$F$2:$F999)</f>
        <v>0</v>
      </c>
      <c r="D28" s="1">
        <f t="shared" si="0"/>
        <v>0</v>
      </c>
      <c r="E28" s="1">
        <f>SUMIF(Stakeholders!$C$2:$C999,B28,Stakeholders!$J$2:$J999)</f>
        <v>0</v>
      </c>
    </row>
    <row r="29" spans="1:5" ht="13">
      <c r="A29" s="1" t="s">
        <v>8</v>
      </c>
      <c r="B29" s="1" t="s">
        <v>145</v>
      </c>
      <c r="C29" s="1">
        <f>SUMIF(Stakeholders!$C$2:$C999,B29,Stakeholders!$F$2:$F999)</f>
        <v>0</v>
      </c>
      <c r="D29" s="1">
        <f t="shared" si="0"/>
        <v>0</v>
      </c>
      <c r="E29" s="1">
        <f>SUMIF(Stakeholders!$C$2:$C999,B29,Stakeholders!$J$2:$J999)</f>
        <v>0</v>
      </c>
    </row>
    <row r="30" spans="1:5" ht="13">
      <c r="A30" s="1" t="s">
        <v>8</v>
      </c>
      <c r="B30" s="1" t="s">
        <v>151</v>
      </c>
      <c r="C30" s="1">
        <f>SUMIF(Stakeholders!$C$2:$C999,B30,Stakeholders!$F$2:$F999)</f>
        <v>0</v>
      </c>
      <c r="D30" s="1">
        <f t="shared" si="0"/>
        <v>0</v>
      </c>
      <c r="E30" s="1">
        <f>SUMIF(Stakeholders!$C$2:$C999,B30,Stakeholders!$J$2:$J999)</f>
        <v>0</v>
      </c>
    </row>
    <row r="31" spans="1:5" ht="13">
      <c r="A31" s="1" t="s">
        <v>8</v>
      </c>
      <c r="B31" s="1" t="s">
        <v>153</v>
      </c>
      <c r="C31" s="1">
        <f>SUMIF(Stakeholders!$C$2:$C999,B31,Stakeholders!$F$2:$F999)</f>
        <v>0</v>
      </c>
      <c r="D31" s="1">
        <f t="shared" si="0"/>
        <v>0</v>
      </c>
      <c r="E31" s="1">
        <f>SUMIF(Stakeholders!$C$2:$C999,B31,Stakeholders!$J$2:$J999)</f>
        <v>0</v>
      </c>
    </row>
    <row r="32" spans="1:5" ht="13">
      <c r="A32" s="1" t="s">
        <v>8</v>
      </c>
      <c r="B32" s="1" t="s">
        <v>157</v>
      </c>
      <c r="C32" s="1">
        <f>SUMIF(Stakeholders!$C$2:$C999,B32,Stakeholders!$F$2:$F999)</f>
        <v>0</v>
      </c>
      <c r="D32" s="1">
        <f t="shared" si="0"/>
        <v>0</v>
      </c>
      <c r="E32" s="1">
        <f>SUMIF(Stakeholders!$C$2:$C999,B32,Stakeholders!$J$2:$J999)</f>
        <v>0</v>
      </c>
    </row>
    <row r="33" spans="1:5" ht="13">
      <c r="A33" s="1" t="s">
        <v>8</v>
      </c>
      <c r="B33" s="1" t="s">
        <v>160</v>
      </c>
      <c r="C33" s="1">
        <f>SUMIF(Stakeholders!$C$2:$C999,B33,Stakeholders!$F$2:$F999)</f>
        <v>0</v>
      </c>
      <c r="D33" s="1">
        <f t="shared" si="0"/>
        <v>0</v>
      </c>
      <c r="E33" s="1">
        <f>SUMIF(Stakeholders!$C$2:$C999,B33,Stakeholders!$J$2:$J999)</f>
        <v>0</v>
      </c>
    </row>
    <row r="34" spans="1:5" ht="13">
      <c r="A34" s="1" t="s">
        <v>8</v>
      </c>
      <c r="B34" s="1" t="s">
        <v>161</v>
      </c>
      <c r="C34" s="1">
        <f>SUMIF(Stakeholders!$C$2:$C999,B34,Stakeholders!$F$2:$F999)</f>
        <v>0</v>
      </c>
      <c r="D34" s="1">
        <f t="shared" si="0"/>
        <v>0</v>
      </c>
      <c r="E34" s="1">
        <f>SUMIF(Stakeholders!$C$2:$C999,B34,Stakeholders!$J$2:$J999)</f>
        <v>0</v>
      </c>
    </row>
    <row r="35" spans="1:5" ht="13">
      <c r="A35" s="1" t="s">
        <v>8</v>
      </c>
      <c r="B35" s="1" t="s">
        <v>164</v>
      </c>
      <c r="C35" s="1">
        <f>SUMIF(Stakeholders!$C$2:$C999,B35,Stakeholders!$F$2:$F999)</f>
        <v>0</v>
      </c>
      <c r="D35" s="1">
        <f t="shared" si="0"/>
        <v>0</v>
      </c>
      <c r="E35" s="1">
        <f>SUMIF(Stakeholders!$C$2:$C999,B35,Stakeholders!$J$2:$J999)</f>
        <v>0</v>
      </c>
    </row>
    <row r="36" spans="1:5" ht="13">
      <c r="A36" s="1" t="s">
        <v>8</v>
      </c>
      <c r="B36" s="1" t="s">
        <v>168</v>
      </c>
      <c r="C36" s="1">
        <f>SUMIF(Stakeholders!$C$2:$C999,B36,Stakeholders!$F$2:$F999)</f>
        <v>0</v>
      </c>
      <c r="D36" s="1">
        <f t="shared" si="0"/>
        <v>0</v>
      </c>
      <c r="E36" s="1">
        <f>SUMIF(Stakeholders!$C$2:$C999,B36,Stakeholders!$J$2:$J999)</f>
        <v>0</v>
      </c>
    </row>
    <row r="37" spans="1:5" ht="13">
      <c r="A37" s="1" t="s">
        <v>8</v>
      </c>
      <c r="B37" s="1" t="s">
        <v>171</v>
      </c>
      <c r="C37" s="1">
        <f>SUMIF(Stakeholders!$C$2:$C999,B37,Stakeholders!$F$2:$F999)</f>
        <v>0</v>
      </c>
      <c r="D37" s="1">
        <f t="shared" si="0"/>
        <v>0</v>
      </c>
      <c r="E37" s="1">
        <f>SUMIF(Stakeholders!$C$2:$C999,B37,Stakeholders!$J$2:$J999)</f>
        <v>0</v>
      </c>
    </row>
    <row r="38" spans="1:5" ht="13">
      <c r="A38" s="1" t="s">
        <v>8</v>
      </c>
      <c r="B38" s="1" t="s">
        <v>172</v>
      </c>
      <c r="C38" s="1">
        <f>SUMIF(Stakeholders!$C$2:$C999,B38,Stakeholders!$F$2:$F999)</f>
        <v>0</v>
      </c>
      <c r="D38" s="1">
        <f t="shared" si="0"/>
        <v>0</v>
      </c>
      <c r="E38" s="1">
        <f>SUMIF(Stakeholders!$C$2:$C999,B38,Stakeholders!$J$2:$J999)</f>
        <v>0</v>
      </c>
    </row>
    <row r="39" spans="1:5" ht="13">
      <c r="A39" s="1" t="s">
        <v>8</v>
      </c>
      <c r="B39" s="1" t="s">
        <v>173</v>
      </c>
      <c r="C39" s="1">
        <f>SUMIF(Stakeholders!$C$2:$C999,B39,Stakeholders!$F$2:$F999)</f>
        <v>0</v>
      </c>
      <c r="D39" s="1">
        <f t="shared" si="0"/>
        <v>0</v>
      </c>
      <c r="E39" s="1">
        <f>SUMIF(Stakeholders!$C$2:$C999,B39,Stakeholders!$J$2:$J999)</f>
        <v>0</v>
      </c>
    </row>
    <row r="40" spans="1:5" ht="13">
      <c r="A40" s="1" t="s">
        <v>8</v>
      </c>
      <c r="B40" s="1" t="s">
        <v>174</v>
      </c>
      <c r="C40" s="1">
        <f>SUMIF(Stakeholders!$C$2:$C999,B40,Stakeholders!$F$2:$F999)</f>
        <v>0</v>
      </c>
      <c r="D40" s="1">
        <f t="shared" si="0"/>
        <v>0</v>
      </c>
      <c r="E40" s="1">
        <f>SUMIF(Stakeholders!$C$2:$C999,B40,Stakeholders!$J$2:$J999)</f>
        <v>0</v>
      </c>
    </row>
    <row r="41" spans="1:5" ht="13">
      <c r="A41" s="1" t="s">
        <v>8</v>
      </c>
      <c r="B41" s="1" t="s">
        <v>175</v>
      </c>
      <c r="C41" s="1">
        <f>SUMIF(Stakeholders!$C$2:$C999,B41,Stakeholders!$F$2:$F999)</f>
        <v>0</v>
      </c>
      <c r="D41" s="1">
        <f t="shared" si="0"/>
        <v>0</v>
      </c>
      <c r="E41" s="1">
        <f>SUMIF(Stakeholders!$C$2:$C999,B41,Stakeholders!$J$2:$J999)</f>
        <v>0</v>
      </c>
    </row>
    <row r="42" spans="1:5" ht="13">
      <c r="A42" s="1" t="s">
        <v>8</v>
      </c>
      <c r="B42" s="1" t="s">
        <v>179</v>
      </c>
      <c r="C42" s="1">
        <f>SUMIF(Stakeholders!$C$2:$C999,B42,Stakeholders!$F$2:$F999)</f>
        <v>0</v>
      </c>
      <c r="D42" s="1">
        <f t="shared" si="0"/>
        <v>0</v>
      </c>
      <c r="E42" s="1">
        <f>SUMIF(Stakeholders!$C$2:$C999,B42,Stakeholders!$J$2:$J999)</f>
        <v>0</v>
      </c>
    </row>
    <row r="43" spans="1:5" ht="13">
      <c r="A43" s="1" t="s">
        <v>8</v>
      </c>
      <c r="B43" s="1" t="s">
        <v>184</v>
      </c>
      <c r="C43" s="1">
        <f>SUMIF(Stakeholders!$C$2:$C999,B43,Stakeholders!$F$2:$F999)</f>
        <v>0</v>
      </c>
      <c r="D43" s="1">
        <f t="shared" si="0"/>
        <v>0</v>
      </c>
      <c r="E43" s="1">
        <f>SUMIF(Stakeholders!$C$2:$C999,B43,Stakeholders!$J$2:$J999)</f>
        <v>0</v>
      </c>
    </row>
    <row r="44" spans="1:5" ht="13">
      <c r="A44" s="1" t="s">
        <v>8</v>
      </c>
      <c r="B44" s="1" t="s">
        <v>185</v>
      </c>
      <c r="C44" s="1">
        <f>SUMIF(Stakeholders!$C$2:$C999,B44,Stakeholders!$F$2:$F999)</f>
        <v>0</v>
      </c>
      <c r="D44" s="1">
        <f t="shared" si="0"/>
        <v>0</v>
      </c>
      <c r="E44" s="1">
        <f>SUMIF(Stakeholders!$C$2:$C999,B44,Stakeholders!$J$2:$J999)</f>
        <v>0</v>
      </c>
    </row>
    <row r="45" spans="1:5" ht="13">
      <c r="A45" s="1" t="s">
        <v>8</v>
      </c>
      <c r="B45" s="1" t="s">
        <v>191</v>
      </c>
      <c r="C45" s="1">
        <f>SUMIF(Stakeholders!$C$2:$C999,B45,Stakeholders!$F$2:$F999)</f>
        <v>0</v>
      </c>
      <c r="D45" s="1">
        <f t="shared" si="0"/>
        <v>0</v>
      </c>
      <c r="E45" s="1">
        <f>SUMIF(Stakeholders!$C$2:$C999,B45,Stakeholders!$J$2:$J999)</f>
        <v>0</v>
      </c>
    </row>
    <row r="46" spans="1:5" ht="13">
      <c r="A46" s="1" t="s">
        <v>8</v>
      </c>
      <c r="B46" s="1" t="s">
        <v>196</v>
      </c>
      <c r="C46" s="1">
        <f>SUMIF(Stakeholders!$C$2:$C999,B46,Stakeholders!$F$2:$F999)</f>
        <v>0</v>
      </c>
      <c r="D46" s="1">
        <f t="shared" si="0"/>
        <v>0</v>
      </c>
      <c r="E46" s="1">
        <f>SUMIF(Stakeholders!$C$2:$C999,B46,Stakeholders!$J$2:$J999)</f>
        <v>0</v>
      </c>
    </row>
    <row r="47" spans="1:5" ht="13">
      <c r="A47" s="1" t="s">
        <v>8</v>
      </c>
      <c r="B47" s="1" t="s">
        <v>197</v>
      </c>
      <c r="C47" s="1">
        <f>SUMIF(Stakeholders!$C$2:$C999,B47,Stakeholders!$F$2:$F999)</f>
        <v>0</v>
      </c>
      <c r="D47" s="1">
        <f t="shared" si="0"/>
        <v>0</v>
      </c>
      <c r="E47" s="1">
        <f>SUMIF(Stakeholders!$C$2:$C999,B47,Stakeholders!$J$2:$J999)</f>
        <v>0</v>
      </c>
    </row>
    <row r="48" spans="1:5" ht="13">
      <c r="A48" s="1" t="s">
        <v>8</v>
      </c>
      <c r="B48" s="1" t="s">
        <v>198</v>
      </c>
      <c r="C48" s="1">
        <f>SUMIF(Stakeholders!$C$2:$C999,B48,Stakeholders!$F$2:$F999)</f>
        <v>0</v>
      </c>
      <c r="D48" s="1">
        <f t="shared" si="0"/>
        <v>0</v>
      </c>
      <c r="E48" s="1">
        <f>SUMIF(Stakeholders!$C$2:$C999,B48,Stakeholders!$J$2:$J999)</f>
        <v>0</v>
      </c>
    </row>
    <row r="49" spans="1:5" ht="13">
      <c r="A49" s="1" t="s">
        <v>8</v>
      </c>
      <c r="B49" s="1" t="s">
        <v>200</v>
      </c>
      <c r="C49" s="1">
        <f>SUMIF(Stakeholders!$C$2:$C999,B49,Stakeholders!$F$2:$F999)</f>
        <v>0</v>
      </c>
      <c r="D49" s="1">
        <f t="shared" si="0"/>
        <v>0</v>
      </c>
      <c r="E49" s="1">
        <f>SUMIF(Stakeholders!$C$2:$C999,B49,Stakeholders!$J$2:$J999)</f>
        <v>0</v>
      </c>
    </row>
    <row r="50" spans="1:5" ht="13">
      <c r="A50" s="1" t="s">
        <v>8</v>
      </c>
      <c r="B50" s="1" t="s">
        <v>205</v>
      </c>
      <c r="C50" s="1">
        <f>SUMIF(Stakeholders!$C$2:$C999,B50,Stakeholders!$F$2:$F999)</f>
        <v>0</v>
      </c>
      <c r="D50" s="1">
        <f t="shared" si="0"/>
        <v>0</v>
      </c>
      <c r="E50" s="1">
        <f>SUMIF(Stakeholders!$C$2:$C999,B50,Stakeholders!$J$2:$J999)</f>
        <v>0</v>
      </c>
    </row>
    <row r="51" spans="1:5" ht="13">
      <c r="A51" s="1" t="s">
        <v>8</v>
      </c>
      <c r="B51" s="1" t="s">
        <v>206</v>
      </c>
      <c r="C51" s="1">
        <f>SUMIF(Stakeholders!$C$2:$C999,B51,Stakeholders!$F$2:$F999)</f>
        <v>0</v>
      </c>
      <c r="D51" s="1">
        <f t="shared" si="0"/>
        <v>0</v>
      </c>
      <c r="E51" s="1">
        <f>SUMIF(Stakeholders!$C$2:$C999,B51,Stakeholders!$J$2:$J999)</f>
        <v>0</v>
      </c>
    </row>
    <row r="52" spans="1:5" ht="13">
      <c r="A52" s="1" t="s">
        <v>8</v>
      </c>
      <c r="B52" s="1" t="s">
        <v>208</v>
      </c>
      <c r="C52" s="1">
        <f>SUMIF(Stakeholders!$C$2:$C999,B52,Stakeholders!$F$2:$F999)</f>
        <v>0</v>
      </c>
      <c r="D52" s="1">
        <f t="shared" si="0"/>
        <v>0</v>
      </c>
      <c r="E52" s="1">
        <f>SUMIF(Stakeholders!$C$2:$C999,B52,Stakeholders!$J$2:$J999)</f>
        <v>0</v>
      </c>
    </row>
    <row r="53" spans="1:5" ht="13">
      <c r="A53" s="1" t="s">
        <v>8</v>
      </c>
      <c r="B53" s="1" t="s">
        <v>210</v>
      </c>
      <c r="C53" s="1">
        <f>SUMIF(Stakeholders!$C$2:$C999,B53,Stakeholders!$F$2:$F999)</f>
        <v>0</v>
      </c>
      <c r="D53" s="1">
        <f t="shared" si="0"/>
        <v>0</v>
      </c>
      <c r="E53" s="1">
        <f>SUMIF(Stakeholders!$C$2:$C999,B53,Stakeholders!$J$2:$J999)</f>
        <v>0</v>
      </c>
    </row>
    <row r="54" spans="1:5" ht="13">
      <c r="A54" s="1" t="s">
        <v>8</v>
      </c>
      <c r="B54" s="1" t="s">
        <v>212</v>
      </c>
      <c r="C54" s="1">
        <f>SUMIF(Stakeholders!$C$2:$C999,B54,Stakeholders!$F$2:$F999)</f>
        <v>1</v>
      </c>
      <c r="D54" s="1">
        <f t="shared" si="0"/>
        <v>1</v>
      </c>
      <c r="E54" s="1">
        <f>SUMIF(Stakeholders!$C$2:$C999,B54,Stakeholders!$J$2:$J999)</f>
        <v>1</v>
      </c>
    </row>
    <row r="55" spans="1:5" ht="13">
      <c r="A55" s="1" t="s">
        <v>8</v>
      </c>
      <c r="B55" s="1" t="s">
        <v>214</v>
      </c>
      <c r="C55" s="1">
        <f>SUMIF(Stakeholders!$C$2:$C999,B55,Stakeholders!$F$2:$F999)</f>
        <v>0</v>
      </c>
      <c r="D55" s="1">
        <f t="shared" si="0"/>
        <v>0</v>
      </c>
      <c r="E55" s="1">
        <f>SUMIF(Stakeholders!$C$2:$C999,B55,Stakeholders!$J$2:$J999)</f>
        <v>0</v>
      </c>
    </row>
    <row r="56" spans="1:5" ht="13">
      <c r="A56" s="1" t="s">
        <v>8</v>
      </c>
      <c r="B56" s="1" t="s">
        <v>219</v>
      </c>
      <c r="C56" s="1">
        <f>SUMIF(Stakeholders!$C$2:$C999,B56,Stakeholders!$F$2:$F999)</f>
        <v>0</v>
      </c>
      <c r="D56" s="1">
        <f t="shared" si="0"/>
        <v>0</v>
      </c>
      <c r="E56" s="1">
        <f>SUMIF(Stakeholders!$C$2:$C999,B56,Stakeholders!$J$2:$J999)</f>
        <v>0</v>
      </c>
    </row>
    <row r="57" spans="1:5" ht="13">
      <c r="A57" s="1" t="s">
        <v>53</v>
      </c>
      <c r="B57" s="1" t="s">
        <v>115</v>
      </c>
      <c r="C57" s="1">
        <f>SUMIF(Stakeholders!$C$2:$C999,B57,Stakeholders!$F$2:$F999)</f>
        <v>1</v>
      </c>
      <c r="D57" s="1">
        <f t="shared" si="0"/>
        <v>1</v>
      </c>
      <c r="E57" s="1">
        <f>SUMIF(Stakeholders!$C$2:$C999,B57,Stakeholders!$J$2:$J999)</f>
        <v>1</v>
      </c>
    </row>
    <row r="58" spans="1:5" ht="13">
      <c r="A58" s="1" t="s">
        <v>53</v>
      </c>
      <c r="B58" s="1" t="s">
        <v>121</v>
      </c>
      <c r="C58" s="1">
        <f>SUMIF(Stakeholders!$C$2:$C999,B58,Stakeholders!$F$2:$F999)</f>
        <v>1</v>
      </c>
      <c r="D58" s="1">
        <f t="shared" si="0"/>
        <v>1</v>
      </c>
      <c r="E58" s="1">
        <f>SUMIF(Stakeholders!$C$2:$C999,B58,Stakeholders!$J$2:$J999)</f>
        <v>0</v>
      </c>
    </row>
    <row r="59" spans="1:5" ht="13">
      <c r="A59" s="1" t="s">
        <v>53</v>
      </c>
      <c r="B59" s="1" t="s">
        <v>222</v>
      </c>
      <c r="C59" s="1">
        <f>SUMIF(Stakeholders!$C$2:$C999,B59,Stakeholders!$F$2:$F999)</f>
        <v>0</v>
      </c>
      <c r="D59" s="1">
        <f t="shared" si="0"/>
        <v>0</v>
      </c>
      <c r="E59" s="1">
        <f>SUMIF(Stakeholders!$C$2:$C999,B59,Stakeholders!$J$2:$J999)</f>
        <v>0</v>
      </c>
    </row>
    <row r="60" spans="1:5" ht="13">
      <c r="A60" s="1" t="s">
        <v>53</v>
      </c>
      <c r="B60" s="1" t="s">
        <v>223</v>
      </c>
      <c r="C60" s="1">
        <f>SUMIF(Stakeholders!$C$2:$C999,B60,Stakeholders!$F$2:$F999)</f>
        <v>0</v>
      </c>
      <c r="D60" s="1">
        <f t="shared" si="0"/>
        <v>0</v>
      </c>
      <c r="E60" s="1">
        <f>SUMIF(Stakeholders!$C$2:$C999,B60,Stakeholders!$J$2:$J999)</f>
        <v>0</v>
      </c>
    </row>
    <row r="61" spans="1:5" ht="13">
      <c r="A61" s="1" t="s">
        <v>53</v>
      </c>
      <c r="B61" s="1" t="s">
        <v>228</v>
      </c>
      <c r="C61" s="1">
        <f>SUMIF(Stakeholders!$C$2:$C999,B61,Stakeholders!$F$2:$F999)</f>
        <v>0</v>
      </c>
      <c r="D61" s="1">
        <f t="shared" si="0"/>
        <v>0</v>
      </c>
      <c r="E61" s="1">
        <f>SUMIF(Stakeholders!$C$2:$C999,B61,Stakeholders!$J$2:$J999)</f>
        <v>0</v>
      </c>
    </row>
    <row r="62" spans="1:5" ht="13">
      <c r="A62" s="1" t="s">
        <v>53</v>
      </c>
      <c r="B62" s="1" t="s">
        <v>231</v>
      </c>
      <c r="C62" s="1">
        <f>SUMIF(Stakeholders!$C$2:$C999,B62,Stakeholders!$F$2:$F999)</f>
        <v>0</v>
      </c>
      <c r="D62" s="1">
        <f t="shared" si="0"/>
        <v>0</v>
      </c>
      <c r="E62" s="1">
        <f>SUMIF(Stakeholders!$C$2:$C999,B62,Stakeholders!$J$2:$J999)</f>
        <v>0</v>
      </c>
    </row>
    <row r="63" spans="1:5" ht="13">
      <c r="A63" s="1" t="s">
        <v>53</v>
      </c>
      <c r="B63" s="1" t="s">
        <v>232</v>
      </c>
      <c r="C63" s="1">
        <f>SUMIF(Stakeholders!$C$2:$C999,B63,Stakeholders!$F$2:$F999)</f>
        <v>0</v>
      </c>
      <c r="D63" s="1">
        <f t="shared" si="0"/>
        <v>0</v>
      </c>
      <c r="E63" s="1">
        <f>SUMIF(Stakeholders!$C$2:$C999,B63,Stakeholders!$J$2:$J999)</f>
        <v>0</v>
      </c>
    </row>
    <row r="64" spans="1:5" ht="13">
      <c r="A64" s="1" t="s">
        <v>53</v>
      </c>
      <c r="B64" s="1" t="s">
        <v>236</v>
      </c>
      <c r="C64" s="1">
        <f>SUMIF(Stakeholders!$C$2:$C999,B64,Stakeholders!$F$2:$F999)</f>
        <v>0</v>
      </c>
      <c r="D64" s="1">
        <f t="shared" si="0"/>
        <v>0</v>
      </c>
      <c r="E64" s="1">
        <f>SUMIF(Stakeholders!$C$2:$C999,B64,Stakeholders!$J$2:$J999)</f>
        <v>0</v>
      </c>
    </row>
    <row r="65" spans="1:5" ht="13">
      <c r="A65" s="1" t="s">
        <v>53</v>
      </c>
      <c r="B65" s="1" t="s">
        <v>237</v>
      </c>
      <c r="C65" s="1">
        <f>SUMIF(Stakeholders!$C$2:$C999,B65,Stakeholders!$F$2:$F999)</f>
        <v>0</v>
      </c>
      <c r="D65" s="1">
        <f t="shared" si="0"/>
        <v>0</v>
      </c>
      <c r="E65" s="1">
        <f>SUMIF(Stakeholders!$C$2:$C999,B65,Stakeholders!$J$2:$J999)</f>
        <v>0</v>
      </c>
    </row>
    <row r="66" spans="1:5" ht="13">
      <c r="A66" s="1" t="s">
        <v>53</v>
      </c>
      <c r="B66" s="1" t="s">
        <v>238</v>
      </c>
      <c r="C66" s="1">
        <f>SUMIF(Stakeholders!$C$2:$C999,B66,Stakeholders!$F$2:$F999)</f>
        <v>0</v>
      </c>
      <c r="D66" s="1">
        <f t="shared" si="0"/>
        <v>0</v>
      </c>
      <c r="E66" s="1">
        <f>SUMIF(Stakeholders!$C$2:$C999,B66,Stakeholders!$J$2:$J999)</f>
        <v>0</v>
      </c>
    </row>
    <row r="67" spans="1:5" ht="13">
      <c r="A67" s="1" t="s">
        <v>53</v>
      </c>
      <c r="B67" s="1" t="s">
        <v>239</v>
      </c>
      <c r="C67" s="1">
        <f>SUMIF(Stakeholders!$C$2:$C999,B67,Stakeholders!$F$2:$F999)</f>
        <v>0</v>
      </c>
      <c r="D67" s="1">
        <f t="shared" si="0"/>
        <v>0</v>
      </c>
      <c r="E67" s="1">
        <f>SUMIF(Stakeholders!$C$2:$C999,B67,Stakeholders!$J$2:$J999)</f>
        <v>0</v>
      </c>
    </row>
    <row r="68" spans="1:5" ht="13">
      <c r="A68" s="1" t="s">
        <v>53</v>
      </c>
      <c r="B68" s="1" t="s">
        <v>240</v>
      </c>
      <c r="C68" s="1">
        <f>SUMIF(Stakeholders!$C$2:$C999,B68,Stakeholders!$F$2:$F999)</f>
        <v>0</v>
      </c>
      <c r="D68" s="1">
        <f t="shared" si="0"/>
        <v>0</v>
      </c>
      <c r="E68" s="1">
        <f>SUMIF(Stakeholders!$C$2:$C999,B68,Stakeholders!$J$2:$J999)</f>
        <v>0</v>
      </c>
    </row>
    <row r="69" spans="1:5" ht="13">
      <c r="A69" s="1" t="s">
        <v>53</v>
      </c>
      <c r="B69" s="1" t="s">
        <v>241</v>
      </c>
      <c r="C69" s="1">
        <f>SUMIF(Stakeholders!$C$2:$C999,B69,Stakeholders!$F$2:$F999)</f>
        <v>0</v>
      </c>
      <c r="D69" s="1">
        <f t="shared" si="0"/>
        <v>0</v>
      </c>
      <c r="E69" s="1">
        <f>SUMIF(Stakeholders!$C$2:$C999,B69,Stakeholders!$J$2:$J999)</f>
        <v>0</v>
      </c>
    </row>
    <row r="70" spans="1:5" ht="13">
      <c r="A70" s="1" t="s">
        <v>53</v>
      </c>
      <c r="B70" s="1" t="s">
        <v>242</v>
      </c>
      <c r="C70" s="1">
        <f>SUMIF(Stakeholders!$C$2:$C999,B70,Stakeholders!$F$2:$F999)</f>
        <v>0</v>
      </c>
      <c r="D70" s="1">
        <f t="shared" si="0"/>
        <v>0</v>
      </c>
      <c r="E70" s="1">
        <f>SUMIF(Stakeholders!$C$2:$C999,B70,Stakeholders!$J$2:$J999)</f>
        <v>0</v>
      </c>
    </row>
    <row r="71" spans="1:5" ht="13">
      <c r="A71" s="1" t="s">
        <v>53</v>
      </c>
      <c r="B71" s="1" t="s">
        <v>244</v>
      </c>
      <c r="C71" s="1">
        <f>SUMIF(Stakeholders!$C$2:$C999,B71,Stakeholders!$F$2:$F999)</f>
        <v>0</v>
      </c>
      <c r="D71" s="1">
        <f t="shared" si="0"/>
        <v>0</v>
      </c>
      <c r="E71" s="1">
        <f>SUMIF(Stakeholders!$C$2:$C999,B71,Stakeholders!$J$2:$J999)</f>
        <v>0</v>
      </c>
    </row>
    <row r="72" spans="1:5" ht="13">
      <c r="A72" s="1" t="s">
        <v>53</v>
      </c>
      <c r="B72" s="1" t="s">
        <v>245</v>
      </c>
      <c r="C72" s="1">
        <f>SUMIF(Stakeholders!$C$2:$C999,B72,Stakeholders!$F$2:$F999)</f>
        <v>0</v>
      </c>
      <c r="D72" s="1">
        <f t="shared" si="0"/>
        <v>0</v>
      </c>
      <c r="E72" s="1">
        <f>SUMIF(Stakeholders!$C$2:$C999,B72,Stakeholders!$J$2:$J999)</f>
        <v>0</v>
      </c>
    </row>
    <row r="73" spans="1:5" ht="13">
      <c r="A73" s="1" t="s">
        <v>53</v>
      </c>
      <c r="B73" s="1" t="s">
        <v>248</v>
      </c>
      <c r="C73" s="1">
        <f>SUMIF(Stakeholders!$C$2:$C999,B73,Stakeholders!$F$2:$F999)</f>
        <v>0</v>
      </c>
      <c r="D73" s="1">
        <f t="shared" si="0"/>
        <v>0</v>
      </c>
      <c r="E73" s="1">
        <f>SUMIF(Stakeholders!$C$2:$C999,B73,Stakeholders!$J$2:$J999)</f>
        <v>0</v>
      </c>
    </row>
    <row r="74" spans="1:5" ht="13">
      <c r="A74" s="1" t="s">
        <v>53</v>
      </c>
      <c r="B74" s="1" t="s">
        <v>249</v>
      </c>
      <c r="C74" s="1">
        <f>SUMIF(Stakeholders!$C$2:$C999,B74,Stakeholders!$F$2:$F999)</f>
        <v>0</v>
      </c>
      <c r="D74" s="1">
        <f t="shared" si="0"/>
        <v>0</v>
      </c>
      <c r="E74" s="1">
        <f>SUMIF(Stakeholders!$C$2:$C999,B74,Stakeholders!$J$2:$J999)</f>
        <v>0</v>
      </c>
    </row>
    <row r="75" spans="1:5" ht="13">
      <c r="A75" s="1" t="s">
        <v>53</v>
      </c>
      <c r="B75" s="1" t="s">
        <v>251</v>
      </c>
      <c r="C75" s="1">
        <f>SUMIF(Stakeholders!$C$2:$C999,B75,Stakeholders!$F$2:$F999)</f>
        <v>0</v>
      </c>
      <c r="D75" s="1">
        <f t="shared" si="0"/>
        <v>0</v>
      </c>
      <c r="E75" s="1">
        <f>SUMIF(Stakeholders!$C$2:$C999,B75,Stakeholders!$J$2:$J999)</f>
        <v>0</v>
      </c>
    </row>
    <row r="76" spans="1:5" ht="13">
      <c r="A76" s="1" t="s">
        <v>53</v>
      </c>
      <c r="B76" s="1" t="s">
        <v>253</v>
      </c>
      <c r="C76" s="1">
        <f>SUMIF(Stakeholders!$C$2:$C999,B76,Stakeholders!$F$2:$F999)</f>
        <v>0</v>
      </c>
      <c r="D76" s="1">
        <f t="shared" si="0"/>
        <v>0</v>
      </c>
      <c r="E76" s="1">
        <f>SUMIF(Stakeholders!$C$2:$C999,B76,Stakeholders!$J$2:$J999)</f>
        <v>0</v>
      </c>
    </row>
    <row r="77" spans="1:5" ht="13">
      <c r="A77" s="1" t="s">
        <v>64</v>
      </c>
      <c r="B77" s="1" t="s">
        <v>73</v>
      </c>
      <c r="C77" s="1">
        <f>SUMIF(Stakeholders!$C$2:$C999,B77,Stakeholders!$F$2:$F999)</f>
        <v>56</v>
      </c>
      <c r="D77" s="1">
        <f t="shared" si="0"/>
        <v>1</v>
      </c>
      <c r="E77" s="1">
        <f>SUMIF(Stakeholders!$C$2:$C999,B77,Stakeholders!$J$2:$J999)</f>
        <v>92</v>
      </c>
    </row>
    <row r="78" spans="1:5" ht="13">
      <c r="A78" s="1" t="s">
        <v>64</v>
      </c>
      <c r="B78" s="1" t="s">
        <v>103</v>
      </c>
      <c r="C78" s="1">
        <f>SUMIF(Stakeholders!$C$2:$C999,B78,Stakeholders!$F$2:$F999)</f>
        <v>9</v>
      </c>
      <c r="D78" s="1">
        <f t="shared" si="0"/>
        <v>1</v>
      </c>
      <c r="E78" s="1">
        <f>SUMIF(Stakeholders!$C$2:$C999,B78,Stakeholders!$J$2:$J999)</f>
        <v>10</v>
      </c>
    </row>
    <row r="79" spans="1:5" ht="13">
      <c r="A79" s="1" t="s">
        <v>64</v>
      </c>
      <c r="B79" s="1" t="s">
        <v>267</v>
      </c>
      <c r="C79" s="1">
        <f>SUMIF(Stakeholders!$C$2:$C999,B79,Stakeholders!$F$2:$F999)</f>
        <v>1</v>
      </c>
      <c r="D79" s="1">
        <f t="shared" si="0"/>
        <v>1</v>
      </c>
      <c r="E79" s="1">
        <f>SUMIF(Stakeholders!$C$2:$C999,B79,Stakeholders!$J$2:$J999)</f>
        <v>2</v>
      </c>
    </row>
    <row r="80" spans="1:5" ht="13">
      <c r="A80" s="1" t="s">
        <v>69</v>
      </c>
      <c r="B80" s="1" t="s">
        <v>270</v>
      </c>
      <c r="C80" s="1">
        <f>SUMIF(Stakeholders!$C$2:$C999,B80,Stakeholders!$F$2:$F999)</f>
        <v>2</v>
      </c>
      <c r="D80" s="1">
        <f t="shared" si="0"/>
        <v>1</v>
      </c>
      <c r="E80" s="1">
        <f>SUMIF(Stakeholders!$C$2:$C999,B80,Stakeholders!$J$2:$J999)</f>
        <v>5</v>
      </c>
    </row>
    <row r="81" spans="1:5" ht="13">
      <c r="A81" s="1" t="s">
        <v>69</v>
      </c>
      <c r="B81" s="1" t="s">
        <v>273</v>
      </c>
      <c r="C81" s="1">
        <f>SUMIF(Stakeholders!$C$2:$C999,B81,Stakeholders!$F$2:$F999)</f>
        <v>0</v>
      </c>
      <c r="D81" s="1">
        <f t="shared" si="0"/>
        <v>0</v>
      </c>
      <c r="E81" s="1">
        <f>SUMIF(Stakeholders!$C$2:$C999,B81,Stakeholders!$J$2:$J999)</f>
        <v>0</v>
      </c>
    </row>
    <row r="82" spans="1:5" ht="13">
      <c r="A82" s="1" t="s">
        <v>69</v>
      </c>
      <c r="B82" s="1" t="s">
        <v>276</v>
      </c>
      <c r="C82" s="1">
        <f>SUMIF(Stakeholders!$C$2:$C999,B82,Stakeholders!$F$2:$F999)</f>
        <v>0</v>
      </c>
      <c r="D82" s="1">
        <f t="shared" si="0"/>
        <v>0</v>
      </c>
      <c r="E82" s="1">
        <f>SUMIF(Stakeholders!$C$2:$C999,B82,Stakeholders!$J$2:$J999)</f>
        <v>0</v>
      </c>
    </row>
    <row r="83" spans="1:5" ht="13">
      <c r="A83" s="1" t="s">
        <v>69</v>
      </c>
      <c r="B83" s="1" t="s">
        <v>277</v>
      </c>
      <c r="C83" s="1">
        <f>SUMIF(Stakeholders!$C$2:$C999,B83,Stakeholders!$F$2:$F999)</f>
        <v>0</v>
      </c>
      <c r="D83" s="1">
        <f t="shared" si="0"/>
        <v>0</v>
      </c>
      <c r="E83" s="1">
        <f>SUMIF(Stakeholders!$C$2:$C999,B83,Stakeholders!$J$2:$J999)</f>
        <v>0</v>
      </c>
    </row>
    <row r="84" spans="1:5" ht="13">
      <c r="A84" s="1" t="s">
        <v>69</v>
      </c>
      <c r="B84" s="1" t="s">
        <v>279</v>
      </c>
      <c r="C84" s="1">
        <f>SUMIF(Stakeholders!$C$2:$C999,B84,Stakeholders!$F$2:$F999)</f>
        <v>0</v>
      </c>
      <c r="D84" s="1">
        <f t="shared" si="0"/>
        <v>0</v>
      </c>
      <c r="E84" s="1">
        <f>SUMIF(Stakeholders!$C$2:$C999,B84,Stakeholders!$J$2:$J999)</f>
        <v>0</v>
      </c>
    </row>
    <row r="85" spans="1:5" ht="13">
      <c r="A85" s="1" t="s">
        <v>69</v>
      </c>
      <c r="B85" s="1" t="s">
        <v>280</v>
      </c>
      <c r="C85" s="1">
        <f>SUMIF(Stakeholders!$C$2:$C999,B85,Stakeholders!$F$2:$F999)</f>
        <v>0</v>
      </c>
      <c r="D85" s="1">
        <f t="shared" si="0"/>
        <v>0</v>
      </c>
      <c r="E85" s="1">
        <f>SUMIF(Stakeholders!$C$2:$C999,B85,Stakeholders!$J$2:$J999)</f>
        <v>0</v>
      </c>
    </row>
    <row r="86" spans="1:5" ht="13">
      <c r="A86" s="1" t="s">
        <v>69</v>
      </c>
      <c r="B86" s="1" t="s">
        <v>281</v>
      </c>
      <c r="C86" s="1">
        <f>SUMIF(Stakeholders!$C$2:$C999,B86,Stakeholders!$F$2:$F999)</f>
        <v>0</v>
      </c>
      <c r="D86" s="1">
        <f t="shared" si="0"/>
        <v>0</v>
      </c>
      <c r="E86" s="1">
        <f>SUMIF(Stakeholders!$C$2:$C999,B86,Stakeholders!$J$2:$J999)</f>
        <v>0</v>
      </c>
    </row>
    <row r="87" spans="1:5" ht="13">
      <c r="A87" s="1" t="s">
        <v>69</v>
      </c>
      <c r="B87" s="1" t="s">
        <v>282</v>
      </c>
      <c r="C87" s="1">
        <f>SUMIF(Stakeholders!$C$2:$C999,B87,Stakeholders!$F$2:$F999)</f>
        <v>0</v>
      </c>
      <c r="D87" s="1">
        <f t="shared" si="0"/>
        <v>0</v>
      </c>
      <c r="E87" s="1">
        <f>SUMIF(Stakeholders!$C$2:$C999,B87,Stakeholders!$J$2:$J999)</f>
        <v>0</v>
      </c>
    </row>
    <row r="88" spans="1:5" ht="13">
      <c r="A88" s="1" t="s">
        <v>69</v>
      </c>
      <c r="B88" s="1" t="s">
        <v>283</v>
      </c>
      <c r="C88" s="1">
        <f>SUMIF(Stakeholders!$C$2:$C999,B88,Stakeholders!$F$2:$F999)</f>
        <v>0</v>
      </c>
      <c r="D88" s="1">
        <f t="shared" si="0"/>
        <v>0</v>
      </c>
      <c r="E88" s="1">
        <f>SUMIF(Stakeholders!$C$2:$C999,B88,Stakeholders!$J$2:$J999)</f>
        <v>0</v>
      </c>
    </row>
    <row r="89" spans="1:5" ht="13">
      <c r="A89" s="1" t="s">
        <v>69</v>
      </c>
      <c r="B89" s="1" t="s">
        <v>284</v>
      </c>
      <c r="C89" s="1">
        <f>SUMIF(Stakeholders!$C$2:$C999,B89,Stakeholders!$F$2:$F999)</f>
        <v>0</v>
      </c>
      <c r="D89" s="1">
        <f t="shared" si="0"/>
        <v>0</v>
      </c>
      <c r="E89" s="1">
        <f>SUMIF(Stakeholders!$C$2:$C999,B89,Stakeholders!$J$2:$J999)</f>
        <v>0</v>
      </c>
    </row>
    <row r="90" spans="1:5" ht="13">
      <c r="A90" s="1" t="s">
        <v>69</v>
      </c>
      <c r="B90" s="1" t="s">
        <v>286</v>
      </c>
      <c r="C90" s="1">
        <f>SUMIF(Stakeholders!$C$2:$C999,B90,Stakeholders!$F$2:$F999)</f>
        <v>0</v>
      </c>
      <c r="D90" s="1">
        <f t="shared" si="0"/>
        <v>0</v>
      </c>
      <c r="E90" s="1">
        <f>SUMIF(Stakeholders!$C$2:$C999,B90,Stakeholders!$J$2:$J999)</f>
        <v>0</v>
      </c>
    </row>
    <row r="91" spans="1:5" ht="13">
      <c r="A91" s="1" t="s">
        <v>69</v>
      </c>
      <c r="B91" s="1" t="s">
        <v>288</v>
      </c>
      <c r="C91" s="1">
        <f>SUMIF(Stakeholders!$C$2:$C999,B91,Stakeholders!$F$2:$F999)</f>
        <v>0</v>
      </c>
      <c r="D91" s="1">
        <f t="shared" si="0"/>
        <v>0</v>
      </c>
      <c r="E91" s="1">
        <f>SUMIF(Stakeholders!$C$2:$C999,B91,Stakeholders!$J$2:$J999)</f>
        <v>0</v>
      </c>
    </row>
    <row r="92" spans="1:5" ht="13">
      <c r="A92" s="1" t="s">
        <v>80</v>
      </c>
      <c r="B92" s="1" t="s">
        <v>307</v>
      </c>
      <c r="C92" s="1">
        <f>SUMIF(Stakeholders!$C$2:$C999,B92,Stakeholders!$F$2:$F999)</f>
        <v>1</v>
      </c>
      <c r="D92" s="1">
        <f t="shared" si="0"/>
        <v>1</v>
      </c>
      <c r="E92" s="1">
        <f>SUMIF(Stakeholders!$C$2:$C999,B92,Stakeholders!$J$2:$J999)</f>
        <v>2</v>
      </c>
    </row>
    <row r="93" spans="1:5" ht="13">
      <c r="A93" s="1" t="s">
        <v>80</v>
      </c>
      <c r="B93" s="1" t="s">
        <v>289</v>
      </c>
      <c r="C93" s="1">
        <f>SUMIF(Stakeholders!$C$2:$C999,B93,Stakeholders!$F$2:$F999)</f>
        <v>0</v>
      </c>
      <c r="D93" s="1">
        <f t="shared" si="0"/>
        <v>0</v>
      </c>
      <c r="E93" s="1">
        <f>SUMIF(Stakeholders!$C$2:$C999,B93,Stakeholders!$J$2:$J999)</f>
        <v>0</v>
      </c>
    </row>
    <row r="94" spans="1:5" ht="13">
      <c r="A94" s="1" t="s">
        <v>80</v>
      </c>
      <c r="B94" s="1" t="s">
        <v>290</v>
      </c>
      <c r="C94" s="1">
        <f>SUMIF(Stakeholders!$C$2:$C999,B94,Stakeholders!$F$2:$F999)</f>
        <v>0</v>
      </c>
      <c r="D94" s="1">
        <f t="shared" si="0"/>
        <v>0</v>
      </c>
      <c r="E94" s="1">
        <f>SUMIF(Stakeholders!$C$2:$C999,B94,Stakeholders!$J$2:$J999)</f>
        <v>0</v>
      </c>
    </row>
    <row r="95" spans="1:5" ht="13">
      <c r="A95" s="1" t="s">
        <v>80</v>
      </c>
      <c r="B95" s="1" t="s">
        <v>292</v>
      </c>
      <c r="C95" s="1">
        <f>SUMIF(Stakeholders!$C$2:$C999,B95,Stakeholders!$F$2:$F999)</f>
        <v>0</v>
      </c>
      <c r="D95" s="1">
        <f t="shared" si="0"/>
        <v>0</v>
      </c>
      <c r="E95" s="1">
        <f>SUMIF(Stakeholders!$C$2:$C999,B95,Stakeholders!$J$2:$J999)</f>
        <v>0</v>
      </c>
    </row>
    <row r="96" spans="1:5" ht="13">
      <c r="A96" s="1" t="s">
        <v>80</v>
      </c>
      <c r="B96" s="1" t="s">
        <v>296</v>
      </c>
      <c r="C96" s="1">
        <f>SUMIF(Stakeholders!$C$2:$C999,B96,Stakeholders!$F$2:$F999)</f>
        <v>0</v>
      </c>
      <c r="D96" s="1">
        <f t="shared" si="0"/>
        <v>0</v>
      </c>
      <c r="E96" s="1">
        <f>SUMIF(Stakeholders!$C$2:$C999,B96,Stakeholders!$J$2:$J999)</f>
        <v>0</v>
      </c>
    </row>
    <row r="97" spans="1:5" ht="13">
      <c r="A97" s="1" t="s">
        <v>80</v>
      </c>
      <c r="B97" s="1" t="s">
        <v>297</v>
      </c>
      <c r="C97" s="1">
        <f>SUMIF(Stakeholders!$C$2:$C999,B97,Stakeholders!$F$2:$F999)</f>
        <v>0</v>
      </c>
      <c r="D97" s="1">
        <f t="shared" si="0"/>
        <v>0</v>
      </c>
      <c r="E97" s="1">
        <f>SUMIF(Stakeholders!$C$2:$C999,B97,Stakeholders!$J$2:$J999)</f>
        <v>0</v>
      </c>
    </row>
    <row r="98" spans="1:5" ht="13">
      <c r="A98" s="1" t="s">
        <v>80</v>
      </c>
      <c r="B98" s="1" t="s">
        <v>298</v>
      </c>
      <c r="C98" s="1">
        <f>SUMIF(Stakeholders!$C$2:$C999,B98,Stakeholders!$F$2:$F999)</f>
        <v>0</v>
      </c>
      <c r="D98" s="1">
        <f t="shared" si="0"/>
        <v>0</v>
      </c>
      <c r="E98" s="1">
        <f>SUMIF(Stakeholders!$C$2:$C999,B98,Stakeholders!$J$2:$J999)</f>
        <v>0</v>
      </c>
    </row>
    <row r="99" spans="1:5" ht="13">
      <c r="A99" s="1" t="s">
        <v>80</v>
      </c>
      <c r="B99" s="1" t="s">
        <v>299</v>
      </c>
      <c r="C99" s="1">
        <f>SUMIF(Stakeholders!$C$2:$C999,B99,Stakeholders!$F$2:$F999)</f>
        <v>0</v>
      </c>
      <c r="D99" s="1">
        <f t="shared" si="0"/>
        <v>0</v>
      </c>
      <c r="E99" s="1">
        <f>SUMIF(Stakeholders!$C$2:$C999,B99,Stakeholders!$J$2:$J999)</f>
        <v>0</v>
      </c>
    </row>
    <row r="100" spans="1:5" ht="13">
      <c r="A100" s="1" t="s">
        <v>80</v>
      </c>
      <c r="B100" s="1" t="s">
        <v>300</v>
      </c>
      <c r="C100" s="1">
        <f>SUMIF(Stakeholders!$C$2:$C999,B100,Stakeholders!$F$2:$F999)</f>
        <v>0</v>
      </c>
      <c r="D100" s="1">
        <f t="shared" si="0"/>
        <v>0</v>
      </c>
      <c r="E100" s="1">
        <f>SUMIF(Stakeholders!$C$2:$C999,B100,Stakeholders!$J$2:$J999)</f>
        <v>0</v>
      </c>
    </row>
    <row r="101" spans="1:5" ht="13">
      <c r="A101" s="1" t="s">
        <v>80</v>
      </c>
      <c r="B101" s="1" t="s">
        <v>301</v>
      </c>
      <c r="C101" s="1">
        <f>SUMIF(Stakeholders!$C$2:$C999,B101,Stakeholders!$F$2:$F999)</f>
        <v>0</v>
      </c>
      <c r="D101" s="1">
        <f t="shared" si="0"/>
        <v>0</v>
      </c>
      <c r="E101" s="1">
        <f>SUMIF(Stakeholders!$C$2:$C999,B101,Stakeholders!$J$2:$J999)</f>
        <v>0</v>
      </c>
    </row>
    <row r="102" spans="1:5" ht="13">
      <c r="A102" s="1" t="s">
        <v>80</v>
      </c>
      <c r="B102" s="1" t="s">
        <v>246</v>
      </c>
      <c r="C102" s="1">
        <f>SUMIF(Stakeholders!$C$2:$C999,B102,Stakeholders!$F$2:$F999)</f>
        <v>9</v>
      </c>
      <c r="D102" s="1">
        <f t="shared" si="0"/>
        <v>1</v>
      </c>
      <c r="E102" s="1">
        <f>SUMIF(Stakeholders!$C$2:$C999,B102,Stakeholders!$J$2:$J999)</f>
        <v>9</v>
      </c>
    </row>
    <row r="103" spans="1:5" ht="13">
      <c r="A103" s="1" t="s">
        <v>80</v>
      </c>
      <c r="B103" s="1" t="s">
        <v>302</v>
      </c>
      <c r="C103" s="1">
        <f>SUMIF(Stakeholders!$C$2:$C999,B103,Stakeholders!$F$2:$F999)</f>
        <v>0</v>
      </c>
      <c r="D103" s="1">
        <f t="shared" si="0"/>
        <v>0</v>
      </c>
      <c r="E103" s="1">
        <f>SUMIF(Stakeholders!$C$2:$C999,B103,Stakeholders!$J$2:$J999)</f>
        <v>0</v>
      </c>
    </row>
    <row r="104" spans="1:5" ht="13">
      <c r="A104" s="1" t="s">
        <v>80</v>
      </c>
      <c r="B104" s="1" t="s">
        <v>303</v>
      </c>
      <c r="C104" s="1">
        <f>SUMIF(Stakeholders!$C$2:$C999,B104,Stakeholders!$F$2:$F999)</f>
        <v>0</v>
      </c>
      <c r="D104" s="1">
        <f t="shared" si="0"/>
        <v>0</v>
      </c>
      <c r="E104" s="1">
        <f>SUMIF(Stakeholders!$C$2:$C999,B104,Stakeholders!$J$2:$J999)</f>
        <v>0</v>
      </c>
    </row>
    <row r="105" spans="1:5" ht="13">
      <c r="A105" s="1" t="s">
        <v>80</v>
      </c>
      <c r="B105" s="1" t="s">
        <v>304</v>
      </c>
      <c r="C105" s="1">
        <f>SUMIF(Stakeholders!$C$2:$C999,B105,Stakeholders!$F$2:$F999)</f>
        <v>0</v>
      </c>
      <c r="D105" s="1">
        <f t="shared" si="0"/>
        <v>0</v>
      </c>
      <c r="E105" s="1">
        <f>SUMIF(Stakeholders!$C$2:$C999,B105,Stakeholders!$J$2:$J999)</f>
        <v>0</v>
      </c>
    </row>
    <row r="106" spans="1:5" ht="13">
      <c r="A106" s="1" t="s">
        <v>80</v>
      </c>
      <c r="B106" s="1" t="s">
        <v>305</v>
      </c>
      <c r="C106" s="1">
        <f>SUMIF(Stakeholders!$C$2:$C999,B106,Stakeholders!$F$2:$F999)</f>
        <v>0</v>
      </c>
      <c r="D106" s="1">
        <f t="shared" si="0"/>
        <v>0</v>
      </c>
      <c r="E106" s="1">
        <f>SUMIF(Stakeholders!$C$2:$C999,B106,Stakeholders!$J$2:$J999)</f>
        <v>0</v>
      </c>
    </row>
    <row r="107" spans="1:5" ht="13">
      <c r="A107" s="1" t="s">
        <v>80</v>
      </c>
      <c r="B107" s="1" t="s">
        <v>308</v>
      </c>
      <c r="C107" s="1">
        <f>SUMIF(Stakeholders!$C$2:$C999,B107,Stakeholders!$F$2:$F999)</f>
        <v>0</v>
      </c>
      <c r="D107" s="1">
        <f t="shared" si="0"/>
        <v>0</v>
      </c>
      <c r="E107" s="1">
        <f>SUMIF(Stakeholders!$C$2:$C999,B107,Stakeholders!$J$2:$J999)</f>
        <v>0</v>
      </c>
    </row>
    <row r="108" spans="1:5" ht="13">
      <c r="A108" s="1" t="s">
        <v>80</v>
      </c>
      <c r="B108" s="1" t="s">
        <v>310</v>
      </c>
      <c r="C108" s="1">
        <f>SUMIF(Stakeholders!$C$2:$C999,B108,Stakeholders!$F$2:$F999)</f>
        <v>0</v>
      </c>
      <c r="D108" s="1">
        <f t="shared" si="0"/>
        <v>0</v>
      </c>
      <c r="E108" s="1">
        <f>SUMIF(Stakeholders!$C$2:$C999,B108,Stakeholders!$J$2:$J999)</f>
        <v>0</v>
      </c>
    </row>
    <row r="109" spans="1:5" ht="13">
      <c r="A109" s="1" t="s">
        <v>80</v>
      </c>
      <c r="B109" s="1" t="s">
        <v>311</v>
      </c>
      <c r="C109" s="1">
        <f>SUMIF(Stakeholders!$C$2:$C999,B109,Stakeholders!$F$2:$F999)</f>
        <v>4</v>
      </c>
      <c r="D109" s="1">
        <f t="shared" si="0"/>
        <v>1</v>
      </c>
      <c r="E109" s="1">
        <f>SUMIF(Stakeholders!$C$2:$C999,B109,Stakeholders!$J$2:$J999)</f>
        <v>4</v>
      </c>
    </row>
    <row r="110" spans="1:5" ht="13">
      <c r="A110" s="1" t="s">
        <v>80</v>
      </c>
      <c r="B110" s="1" t="s">
        <v>312</v>
      </c>
      <c r="C110" s="1">
        <f>SUMIF(Stakeholders!$C$2:$C999,B110,Stakeholders!$F$2:$F999)</f>
        <v>0</v>
      </c>
      <c r="D110" s="1">
        <f t="shared" si="0"/>
        <v>0</v>
      </c>
      <c r="E110" s="1">
        <f>SUMIF(Stakeholders!$C$2:$C999,B110,Stakeholders!$J$2:$J999)</f>
        <v>0</v>
      </c>
    </row>
    <row r="111" spans="1:5" ht="13">
      <c r="A111" s="1" t="s">
        <v>80</v>
      </c>
      <c r="B111" s="1" t="s">
        <v>313</v>
      </c>
      <c r="C111" s="1">
        <f>SUMIF(Stakeholders!$C$2:$C999,B111,Stakeholders!$F$2:$F999)</f>
        <v>0</v>
      </c>
      <c r="D111" s="1">
        <f t="shared" si="0"/>
        <v>0</v>
      </c>
      <c r="E111" s="1">
        <f>SUMIF(Stakeholders!$C$2:$C999,B111,Stakeholders!$J$2:$J999)</f>
        <v>0</v>
      </c>
    </row>
    <row r="112" spans="1:5" ht="13">
      <c r="A112" s="1" t="s">
        <v>80</v>
      </c>
      <c r="B112" s="1" t="s">
        <v>163</v>
      </c>
      <c r="C112" s="1">
        <f>SUMIF(Stakeholders!$C$2:$C999,B112,Stakeholders!$F$2:$F999)</f>
        <v>1</v>
      </c>
      <c r="D112" s="1">
        <f t="shared" si="0"/>
        <v>1</v>
      </c>
      <c r="E112" s="1">
        <f>SUMIF(Stakeholders!$C$2:$C999,B112,Stakeholders!$J$2:$J999)</f>
        <v>1</v>
      </c>
    </row>
    <row r="113" spans="1:5" ht="13">
      <c r="A113" s="1" t="s">
        <v>80</v>
      </c>
      <c r="B113" s="1" t="s">
        <v>314</v>
      </c>
      <c r="C113" s="1">
        <f>SUMIF(Stakeholders!$C$2:$C999,B113,Stakeholders!$F$2:$F999)</f>
        <v>1</v>
      </c>
      <c r="D113" s="1">
        <f t="shared" si="0"/>
        <v>1</v>
      </c>
      <c r="E113" s="1">
        <f>SUMIF(Stakeholders!$C$2:$C999,B113,Stakeholders!$J$2:$J999)</f>
        <v>1</v>
      </c>
    </row>
    <row r="114" spans="1:5" ht="13">
      <c r="A114" s="1" t="s">
        <v>80</v>
      </c>
      <c r="B114" s="1" t="s">
        <v>315</v>
      </c>
      <c r="C114" s="1">
        <f>SUMIF(Stakeholders!$C$2:$C999,B114,Stakeholders!$F$2:$F999)</f>
        <v>0</v>
      </c>
      <c r="D114" s="1">
        <f t="shared" si="0"/>
        <v>0</v>
      </c>
      <c r="E114" s="1">
        <f>SUMIF(Stakeholders!$C$2:$C999,B114,Stakeholders!$J$2:$J999)</f>
        <v>0</v>
      </c>
    </row>
    <row r="115" spans="1:5" ht="13">
      <c r="A115" s="1" t="s">
        <v>80</v>
      </c>
      <c r="B115" s="1" t="s">
        <v>316</v>
      </c>
      <c r="C115" s="1">
        <f>SUMIF(Stakeholders!$C$2:$C999,B115,Stakeholders!$F$2:$F999)</f>
        <v>0</v>
      </c>
      <c r="D115" s="1">
        <f t="shared" si="0"/>
        <v>0</v>
      </c>
      <c r="E115" s="1">
        <f>SUMIF(Stakeholders!$C$2:$C999,B115,Stakeholders!$J$2:$J999)</f>
        <v>0</v>
      </c>
    </row>
    <row r="116" spans="1:5" ht="13">
      <c r="A116" s="1" t="s">
        <v>80</v>
      </c>
      <c r="B116" s="1" t="s">
        <v>317</v>
      </c>
      <c r="C116" s="1">
        <f>SUMIF(Stakeholders!$C$2:$C999,B116,Stakeholders!$F$2:$F999)</f>
        <v>0</v>
      </c>
      <c r="D116" s="1">
        <f t="shared" si="0"/>
        <v>0</v>
      </c>
      <c r="E116" s="1">
        <f>SUMIF(Stakeholders!$C$2:$C999,B116,Stakeholders!$J$2:$J999)</f>
        <v>0</v>
      </c>
    </row>
    <row r="117" spans="1:5" ht="13">
      <c r="A117" s="1" t="s">
        <v>80</v>
      </c>
      <c r="B117" s="1" t="s">
        <v>320</v>
      </c>
      <c r="C117" s="1">
        <f>SUMIF(Stakeholders!$C$2:$C999,B117,Stakeholders!$F$2:$F999)</f>
        <v>0</v>
      </c>
      <c r="D117" s="1">
        <f t="shared" si="0"/>
        <v>0</v>
      </c>
      <c r="E117" s="1">
        <f>SUMIF(Stakeholders!$C$2:$C999,B117,Stakeholders!$J$2:$J999)</f>
        <v>0</v>
      </c>
    </row>
    <row r="118" spans="1:5" ht="13">
      <c r="A118" s="1" t="s">
        <v>80</v>
      </c>
      <c r="B118" s="1" t="s">
        <v>322</v>
      </c>
      <c r="C118" s="1">
        <f>SUMIF(Stakeholders!$C$2:$C999,B118,Stakeholders!$F$2:$F999)</f>
        <v>2</v>
      </c>
      <c r="D118" s="1">
        <f t="shared" si="0"/>
        <v>1</v>
      </c>
      <c r="E118" s="1">
        <f>SUMIF(Stakeholders!$C$2:$C999,B118,Stakeholders!$J$2:$J999)</f>
        <v>2</v>
      </c>
    </row>
    <row r="119" spans="1:5" ht="13">
      <c r="A119" s="1" t="s">
        <v>80</v>
      </c>
      <c r="B119" s="1" t="s">
        <v>323</v>
      </c>
      <c r="C119" s="1">
        <f>SUMIF(Stakeholders!$C$2:$C999,B119,Stakeholders!$F$2:$F999)</f>
        <v>0</v>
      </c>
      <c r="D119" s="1">
        <f t="shared" si="0"/>
        <v>0</v>
      </c>
      <c r="E119" s="1">
        <f>SUMIF(Stakeholders!$C$2:$C999,B119,Stakeholders!$J$2:$J999)</f>
        <v>0</v>
      </c>
    </row>
    <row r="120" spans="1:5" ht="13">
      <c r="A120" s="1" t="s">
        <v>80</v>
      </c>
      <c r="B120" s="1" t="s">
        <v>325</v>
      </c>
      <c r="C120" s="1">
        <f>SUMIF(Stakeholders!$C$2:$C999,B120,Stakeholders!$F$2:$F999)</f>
        <v>0</v>
      </c>
      <c r="D120" s="1">
        <f t="shared" si="0"/>
        <v>0</v>
      </c>
      <c r="E120" s="1">
        <f>SUMIF(Stakeholders!$C$2:$C999,B120,Stakeholders!$J$2:$J999)</f>
        <v>0</v>
      </c>
    </row>
    <row r="121" spans="1:5" ht="13">
      <c r="A121" s="1" t="s">
        <v>80</v>
      </c>
      <c r="B121" s="1" t="s">
        <v>326</v>
      </c>
      <c r="C121" s="1">
        <f>SUMIF(Stakeholders!$C$2:$C999,B121,Stakeholders!$F$2:$F999)</f>
        <v>0</v>
      </c>
      <c r="D121" s="1">
        <f t="shared" si="0"/>
        <v>0</v>
      </c>
      <c r="E121" s="1">
        <f>SUMIF(Stakeholders!$C$2:$C999,B121,Stakeholders!$J$2:$J999)</f>
        <v>0</v>
      </c>
    </row>
    <row r="122" spans="1:5" ht="13">
      <c r="A122" s="1" t="s">
        <v>80</v>
      </c>
      <c r="B122" s="1" t="s">
        <v>327</v>
      </c>
      <c r="C122" s="1">
        <f>SUMIF(Stakeholders!$C$2:$C999,B122,Stakeholders!$F$2:$F999)</f>
        <v>0</v>
      </c>
      <c r="D122" s="1">
        <f t="shared" si="0"/>
        <v>0</v>
      </c>
      <c r="E122" s="1">
        <f>SUMIF(Stakeholders!$C$2:$C999,B122,Stakeholders!$J$2:$J999)</f>
        <v>0</v>
      </c>
    </row>
    <row r="123" spans="1:5" ht="13">
      <c r="A123" s="1" t="s">
        <v>80</v>
      </c>
      <c r="B123" s="1" t="s">
        <v>328</v>
      </c>
      <c r="C123" s="1">
        <f>SUMIF(Stakeholders!$C$2:$C999,B123,Stakeholders!$F$2:$F999)</f>
        <v>0</v>
      </c>
      <c r="D123" s="1">
        <f t="shared" si="0"/>
        <v>0</v>
      </c>
      <c r="E123" s="1">
        <f>SUMIF(Stakeholders!$C$2:$C999,B123,Stakeholders!$J$2:$J999)</f>
        <v>0</v>
      </c>
    </row>
    <row r="124" spans="1:5" ht="13">
      <c r="A124" s="1" t="s">
        <v>80</v>
      </c>
      <c r="B124" s="1" t="s">
        <v>329</v>
      </c>
      <c r="C124" s="1">
        <f>SUMIF(Stakeholders!$C$2:$C999,B124,Stakeholders!$F$2:$F999)</f>
        <v>0</v>
      </c>
      <c r="D124" s="1">
        <f t="shared" si="0"/>
        <v>0</v>
      </c>
      <c r="E124" s="1">
        <f>SUMIF(Stakeholders!$C$2:$C999,B124,Stakeholders!$J$2:$J999)</f>
        <v>0</v>
      </c>
    </row>
    <row r="125" spans="1:5" ht="13">
      <c r="A125" s="1" t="s">
        <v>80</v>
      </c>
      <c r="B125" s="1" t="s">
        <v>331</v>
      </c>
      <c r="C125" s="1">
        <f>SUMIF(Stakeholders!$C$2:$C999,B125,Stakeholders!$F$2:$F999)</f>
        <v>5</v>
      </c>
      <c r="D125" s="1">
        <f t="shared" si="0"/>
        <v>1</v>
      </c>
      <c r="E125" s="1">
        <f>SUMIF(Stakeholders!$C$2:$C999,B125,Stakeholders!$J$2:$J999)</f>
        <v>6</v>
      </c>
    </row>
    <row r="126" spans="1:5" ht="13">
      <c r="A126" s="1" t="s">
        <v>80</v>
      </c>
      <c r="B126" s="1" t="s">
        <v>334</v>
      </c>
      <c r="C126" s="1">
        <f>SUMIF(Stakeholders!$C$2:$C999,B126,Stakeholders!$F$2:$F999)</f>
        <v>0</v>
      </c>
      <c r="D126" s="1">
        <f t="shared" si="0"/>
        <v>0</v>
      </c>
      <c r="E126" s="1">
        <f>SUMIF(Stakeholders!$C$2:$C999,B126,Stakeholders!$J$2:$J999)</f>
        <v>0</v>
      </c>
    </row>
    <row r="127" spans="1:5" ht="13">
      <c r="A127" s="1" t="s">
        <v>80</v>
      </c>
      <c r="B127" s="1" t="s">
        <v>335</v>
      </c>
      <c r="C127" s="1">
        <f>SUMIF(Stakeholders!$C$2:$C999,B127,Stakeholders!$F$2:$F999)</f>
        <v>0</v>
      </c>
      <c r="D127" s="1">
        <f t="shared" si="0"/>
        <v>0</v>
      </c>
      <c r="E127" s="1">
        <f>SUMIF(Stakeholders!$C$2:$C999,B127,Stakeholders!$J$2:$J999)</f>
        <v>0</v>
      </c>
    </row>
    <row r="128" spans="1:5" ht="13">
      <c r="A128" s="1" t="s">
        <v>80</v>
      </c>
      <c r="B128" s="1" t="s">
        <v>337</v>
      </c>
      <c r="C128" s="1">
        <f>SUMIF(Stakeholders!$C$2:$C999,B128,Stakeholders!$F$2:$F999)</f>
        <v>0</v>
      </c>
      <c r="D128" s="1">
        <f t="shared" si="0"/>
        <v>0</v>
      </c>
      <c r="E128" s="1">
        <f>SUMIF(Stakeholders!$C$2:$C999,B128,Stakeholders!$J$2:$J999)</f>
        <v>0</v>
      </c>
    </row>
    <row r="129" spans="1:5" ht="13">
      <c r="A129" s="1" t="s">
        <v>80</v>
      </c>
      <c r="B129" s="1" t="s">
        <v>338</v>
      </c>
      <c r="C129" s="1">
        <f>SUMIF(Stakeholders!$C$2:$C999,B129,Stakeholders!$F$2:$F999)</f>
        <v>0</v>
      </c>
      <c r="D129" s="1">
        <f t="shared" si="0"/>
        <v>0</v>
      </c>
      <c r="E129" s="1">
        <f>SUMIF(Stakeholders!$C$2:$C999,B129,Stakeholders!$J$2:$J999)</f>
        <v>0</v>
      </c>
    </row>
    <row r="130" spans="1:5" ht="13">
      <c r="A130" s="1" t="s">
        <v>80</v>
      </c>
      <c r="B130" s="1" t="s">
        <v>339</v>
      </c>
      <c r="C130" s="1">
        <f>SUMIF(Stakeholders!$C$2:$C999,B130,Stakeholders!$F$2:$F999)</f>
        <v>0</v>
      </c>
      <c r="D130" s="1">
        <f t="shared" si="0"/>
        <v>0</v>
      </c>
      <c r="E130" s="1">
        <f>SUMIF(Stakeholders!$C$2:$C999,B130,Stakeholders!$J$2:$J999)</f>
        <v>0</v>
      </c>
    </row>
    <row r="131" spans="1:5" ht="13">
      <c r="A131" s="1" t="s">
        <v>80</v>
      </c>
      <c r="B131" s="1" t="s">
        <v>340</v>
      </c>
      <c r="C131" s="1">
        <f>SUMIF(Stakeholders!$C$2:$C999,B131,Stakeholders!$F$2:$F999)</f>
        <v>0</v>
      </c>
      <c r="D131" s="1">
        <f t="shared" si="0"/>
        <v>0</v>
      </c>
      <c r="E131" s="1">
        <f>SUMIF(Stakeholders!$C$2:$C999,B131,Stakeholders!$J$2:$J999)</f>
        <v>0</v>
      </c>
    </row>
    <row r="132" spans="1:5" ht="13">
      <c r="A132" s="1" t="s">
        <v>80</v>
      </c>
      <c r="B132" s="1" t="s">
        <v>342</v>
      </c>
      <c r="C132" s="1">
        <f>SUMIF(Stakeholders!$C$2:$C999,B132,Stakeholders!$F$2:$F999)</f>
        <v>0</v>
      </c>
      <c r="D132" s="1">
        <f t="shared" si="0"/>
        <v>0</v>
      </c>
      <c r="E132" s="1">
        <f>SUMIF(Stakeholders!$C$2:$C999,B132,Stakeholders!$J$2:$J999)</f>
        <v>0</v>
      </c>
    </row>
    <row r="133" spans="1:5" ht="13">
      <c r="A133" s="1" t="s">
        <v>80</v>
      </c>
      <c r="B133" s="1" t="s">
        <v>343</v>
      </c>
      <c r="C133" s="1">
        <f>SUMIF(Stakeholders!$C$2:$C999,B133,Stakeholders!$F$2:$F999)</f>
        <v>0</v>
      </c>
      <c r="D133" s="1">
        <f t="shared" si="0"/>
        <v>0</v>
      </c>
      <c r="E133" s="1">
        <f>SUMIF(Stakeholders!$C$2:$C999,B133,Stakeholders!$J$2:$J999)</f>
        <v>0</v>
      </c>
    </row>
    <row r="134" spans="1:5" ht="13">
      <c r="A134" s="1" t="s">
        <v>56</v>
      </c>
      <c r="B134" s="1" t="s">
        <v>60</v>
      </c>
      <c r="C134" s="1">
        <f>SUMIF(Stakeholders!$C$2:$C999,B134,Stakeholders!$F$2:$F999)</f>
        <v>7</v>
      </c>
      <c r="D134" s="1">
        <f t="shared" si="0"/>
        <v>1</v>
      </c>
      <c r="E134" s="1">
        <f>SUMIF(Stakeholders!$C$2:$C999,B134,Stakeholders!$J$2:$J999)</f>
        <v>2</v>
      </c>
    </row>
    <row r="135" spans="1:5" ht="13">
      <c r="A135" s="1" t="s">
        <v>58</v>
      </c>
      <c r="B135" s="1" t="s">
        <v>349</v>
      </c>
      <c r="C135" s="1">
        <f>SUMIF(Stakeholders!$C$2:$C999,B135,Stakeholders!$F$2:$F999)</f>
        <v>9</v>
      </c>
      <c r="D135" s="1">
        <f t="shared" si="0"/>
        <v>1</v>
      </c>
      <c r="E135" s="1">
        <f>SUMIF(Stakeholders!$C$2:$C999,B135,Stakeholders!$J$2:$J999)</f>
        <v>5</v>
      </c>
    </row>
    <row r="136" spans="1:5" ht="13">
      <c r="A136" s="1" t="s">
        <v>58</v>
      </c>
      <c r="B136" s="1" t="s">
        <v>95</v>
      </c>
      <c r="C136" s="1">
        <f>SUMIF(Stakeholders!$C$2:$C999,B136,Stakeholders!$F$2:$F999)</f>
        <v>5</v>
      </c>
      <c r="D136" s="1">
        <f t="shared" si="0"/>
        <v>1</v>
      </c>
      <c r="E136" s="1">
        <f>SUMIF(Stakeholders!$C$2:$C999,B136,Stakeholders!$J$2:$J999)</f>
        <v>2</v>
      </c>
    </row>
    <row r="137" spans="1:5" ht="13">
      <c r="A137" s="1" t="s">
        <v>58</v>
      </c>
      <c r="B137" s="1" t="s">
        <v>372</v>
      </c>
      <c r="C137" s="1">
        <f>SUMIF(Stakeholders!$C$2:$C999,B137,Stakeholders!$F$2:$F999)</f>
        <v>4</v>
      </c>
      <c r="D137" s="1">
        <f t="shared" si="0"/>
        <v>1</v>
      </c>
      <c r="E137" s="1">
        <f>SUMIF(Stakeholders!$C$2:$C999,B137,Stakeholders!$J$2:$J999)</f>
        <v>2</v>
      </c>
    </row>
    <row r="138" spans="1:5" ht="13">
      <c r="A138" s="1" t="s">
        <v>58</v>
      </c>
      <c r="B138" s="1" t="s">
        <v>397</v>
      </c>
      <c r="C138" s="1">
        <f>SUMIF(Stakeholders!$C$2:$C999,B138,Stakeholders!$F$2:$F999)</f>
        <v>8</v>
      </c>
      <c r="D138" s="1">
        <f t="shared" si="0"/>
        <v>1</v>
      </c>
      <c r="E138" s="1">
        <f>SUMIF(Stakeholders!$C$2:$C999,B138,Stakeholders!$J$2:$J999)</f>
        <v>17</v>
      </c>
    </row>
    <row r="139" spans="1:5" ht="13">
      <c r="A139" s="1" t="s">
        <v>58</v>
      </c>
      <c r="B139" s="1" t="s">
        <v>393</v>
      </c>
      <c r="C139" s="1">
        <f>SUMIF(Stakeholders!$C$2:$C999,B139,Stakeholders!$F$2:$F999)</f>
        <v>5</v>
      </c>
      <c r="D139" s="1">
        <f t="shared" si="0"/>
        <v>1</v>
      </c>
      <c r="E139" s="1">
        <f>SUMIF(Stakeholders!$C$2:$C999,B139,Stakeholders!$J$2:$J999)</f>
        <v>5</v>
      </c>
    </row>
    <row r="140" spans="1:5" ht="13">
      <c r="A140" s="1" t="s">
        <v>58</v>
      </c>
      <c r="B140" s="1" t="s">
        <v>396</v>
      </c>
      <c r="C140" s="1">
        <f>SUMIF(Stakeholders!$C$2:$C999,B140,Stakeholders!$F$2:$F999)</f>
        <v>4</v>
      </c>
      <c r="D140" s="1">
        <f t="shared" si="0"/>
        <v>1</v>
      </c>
      <c r="E140" s="1">
        <f>SUMIF(Stakeholders!$C$2:$C999,B140,Stakeholders!$J$2:$J999)</f>
        <v>4</v>
      </c>
    </row>
    <row r="141" spans="1:5" ht="13">
      <c r="A141" s="1" t="s">
        <v>58</v>
      </c>
      <c r="B141" s="1" t="s">
        <v>398</v>
      </c>
      <c r="C141" s="1">
        <f>SUMIF(Stakeholders!$C$2:$C999,B141,Stakeholders!$F$2:$F999)</f>
        <v>2</v>
      </c>
      <c r="D141" s="1">
        <f t="shared" si="0"/>
        <v>1</v>
      </c>
      <c r="E141" s="1">
        <f>SUMIF(Stakeholders!$C$2:$C999,B141,Stakeholders!$J$2:$J999)</f>
        <v>2</v>
      </c>
    </row>
    <row r="142" spans="1:5" ht="13">
      <c r="A142" s="1" t="s">
        <v>58</v>
      </c>
      <c r="B142" s="1" t="s">
        <v>404</v>
      </c>
      <c r="C142" s="1">
        <f>SUMIF(Stakeholders!$C$2:$C999,B142,Stakeholders!$F$2:$F999)</f>
        <v>7</v>
      </c>
      <c r="D142" s="1">
        <f t="shared" si="0"/>
        <v>1</v>
      </c>
      <c r="E142" s="1">
        <f>SUMIF(Stakeholders!$C$2:$C999,B142,Stakeholders!$J$2:$J999)</f>
        <v>12</v>
      </c>
    </row>
    <row r="143" spans="1:5" ht="13">
      <c r="A143" s="1" t="s">
        <v>58</v>
      </c>
      <c r="B143" s="1" t="s">
        <v>353</v>
      </c>
      <c r="C143" s="1">
        <f>SUMIF(Stakeholders!$C$2:$C999,B143,Stakeholders!$F$2:$F999)</f>
        <v>1</v>
      </c>
      <c r="D143" s="1">
        <f t="shared" si="0"/>
        <v>1</v>
      </c>
      <c r="E143" s="1">
        <f>SUMIF(Stakeholders!$C$2:$C999,B143,Stakeholders!$J$2:$J999)</f>
        <v>2</v>
      </c>
    </row>
    <row r="144" spans="1:5" ht="13">
      <c r="A144" s="1" t="s">
        <v>58</v>
      </c>
      <c r="B144" s="1" t="s">
        <v>359</v>
      </c>
      <c r="C144" s="1">
        <f>SUMIF(Stakeholders!$C$2:$C999,B144,Stakeholders!$F$2:$F999)</f>
        <v>1</v>
      </c>
      <c r="D144" s="1">
        <f t="shared" si="0"/>
        <v>1</v>
      </c>
      <c r="E144" s="1">
        <f>SUMIF(Stakeholders!$C$2:$C999,B144,Stakeholders!$J$2:$J999)</f>
        <v>0</v>
      </c>
    </row>
    <row r="145" spans="1:5" ht="13">
      <c r="A145" s="1" t="s">
        <v>58</v>
      </c>
      <c r="B145" s="1" t="s">
        <v>365</v>
      </c>
      <c r="C145" s="1">
        <f>SUMIF(Stakeholders!$C$2:$C999,B145,Stakeholders!$F$2:$F999)</f>
        <v>4</v>
      </c>
      <c r="D145" s="1">
        <f t="shared" si="0"/>
        <v>1</v>
      </c>
      <c r="E145" s="1">
        <f>SUMIF(Stakeholders!$C$2:$C999,B145,Stakeholders!$J$2:$J999)</f>
        <v>3</v>
      </c>
    </row>
    <row r="146" spans="1:5" ht="13">
      <c r="A146" s="1" t="s">
        <v>58</v>
      </c>
      <c r="B146" s="1" t="s">
        <v>370</v>
      </c>
      <c r="C146" s="1">
        <f>SUMIF(Stakeholders!$C$2:$C999,B146,Stakeholders!$F$2:$F999)</f>
        <v>1</v>
      </c>
      <c r="D146" s="1">
        <f t="shared" si="0"/>
        <v>1</v>
      </c>
      <c r="E146" s="1">
        <f>SUMIF(Stakeholders!$C$2:$C999,B146,Stakeholders!$J$2:$J999)</f>
        <v>0</v>
      </c>
    </row>
    <row r="147" spans="1:5" ht="13">
      <c r="A147" s="1" t="s">
        <v>58</v>
      </c>
      <c r="B147" s="1" t="s">
        <v>375</v>
      </c>
      <c r="C147" s="1">
        <f>SUMIF(Stakeholders!$C$2:$C999,B147,Stakeholders!$F$2:$F999)</f>
        <v>2</v>
      </c>
      <c r="D147" s="1">
        <f t="shared" si="0"/>
        <v>1</v>
      </c>
      <c r="E147" s="1">
        <f>SUMIF(Stakeholders!$C$2:$C999,B147,Stakeholders!$J$2:$J999)</f>
        <v>1</v>
      </c>
    </row>
    <row r="148" spans="1:5" ht="13">
      <c r="A148" s="1" t="s">
        <v>58</v>
      </c>
      <c r="B148" s="1" t="s">
        <v>376</v>
      </c>
      <c r="C148" s="1">
        <f>SUMIF(Stakeholders!$C$2:$C999,B148,Stakeholders!$F$2:$F999)</f>
        <v>0</v>
      </c>
      <c r="D148" s="1">
        <f t="shared" si="0"/>
        <v>0</v>
      </c>
      <c r="E148" s="1">
        <f>SUMIF(Stakeholders!$C$2:$C999,B148,Stakeholders!$J$2:$J999)</f>
        <v>0</v>
      </c>
    </row>
    <row r="149" spans="1:5" ht="13">
      <c r="A149" s="1" t="s">
        <v>58</v>
      </c>
      <c r="B149" s="1" t="s">
        <v>377</v>
      </c>
      <c r="C149" s="1">
        <f>SUMIF(Stakeholders!$C$2:$C999,B149,Stakeholders!$F$2:$F999)</f>
        <v>0</v>
      </c>
      <c r="D149" s="1">
        <f t="shared" si="0"/>
        <v>0</v>
      </c>
      <c r="E149" s="1">
        <f>SUMIF(Stakeholders!$C$2:$C999,B149,Stakeholders!$J$2:$J999)</f>
        <v>0</v>
      </c>
    </row>
    <row r="150" spans="1:5" ht="13">
      <c r="A150" s="1" t="s">
        <v>58</v>
      </c>
      <c r="B150" s="1" t="s">
        <v>378</v>
      </c>
      <c r="C150" s="1">
        <f>SUMIF(Stakeholders!$C$2:$C999,B150,Stakeholders!$F$2:$F999)</f>
        <v>0</v>
      </c>
      <c r="D150" s="1">
        <f t="shared" si="0"/>
        <v>0</v>
      </c>
      <c r="E150" s="1">
        <f>SUMIF(Stakeholders!$C$2:$C999,B150,Stakeholders!$J$2:$J999)</f>
        <v>0</v>
      </c>
    </row>
    <row r="151" spans="1:5" ht="13">
      <c r="A151" s="1" t="s">
        <v>58</v>
      </c>
      <c r="B151" s="1" t="s">
        <v>379</v>
      </c>
      <c r="C151" s="1">
        <f>SUMIF(Stakeholders!$C$2:$C999,B151,Stakeholders!$F$2:$F999)</f>
        <v>2</v>
      </c>
      <c r="D151" s="1">
        <f t="shared" si="0"/>
        <v>1</v>
      </c>
      <c r="E151" s="1">
        <f>SUMIF(Stakeholders!$C$2:$C999,B151,Stakeholders!$J$2:$J999)</f>
        <v>1</v>
      </c>
    </row>
    <row r="152" spans="1:5" ht="13">
      <c r="A152" s="1" t="s">
        <v>58</v>
      </c>
      <c r="B152" s="1" t="s">
        <v>380</v>
      </c>
      <c r="C152" s="1">
        <f>SUMIF(Stakeholders!$C$2:$C999,B152,Stakeholders!$F$2:$F999)</f>
        <v>5</v>
      </c>
      <c r="D152" s="1">
        <f t="shared" si="0"/>
        <v>1</v>
      </c>
      <c r="E152" s="1">
        <f>SUMIF(Stakeholders!$C$2:$C999,B152,Stakeholders!$J$2:$J999)</f>
        <v>3</v>
      </c>
    </row>
    <row r="153" spans="1:5" ht="13">
      <c r="A153" s="1" t="s">
        <v>58</v>
      </c>
      <c r="B153" s="1" t="s">
        <v>381</v>
      </c>
      <c r="C153" s="1">
        <f>SUMIF(Stakeholders!$C$2:$C999,B153,Stakeholders!$F$2:$F999)</f>
        <v>0</v>
      </c>
      <c r="D153" s="1">
        <f t="shared" si="0"/>
        <v>0</v>
      </c>
      <c r="E153" s="1">
        <f>SUMIF(Stakeholders!$C$2:$C999,B153,Stakeholders!$J$2:$J999)</f>
        <v>0</v>
      </c>
    </row>
    <row r="154" spans="1:5" ht="13">
      <c r="A154" s="1" t="s">
        <v>58</v>
      </c>
      <c r="B154" s="1" t="s">
        <v>383</v>
      </c>
      <c r="C154" s="1">
        <f>SUMIF(Stakeholders!$C$2:$C999,B154,Stakeholders!$F$2:$F999)</f>
        <v>3</v>
      </c>
      <c r="D154" s="1">
        <f t="shared" si="0"/>
        <v>1</v>
      </c>
      <c r="E154" s="1">
        <f>SUMIF(Stakeholders!$C$2:$C999,B154,Stakeholders!$J$2:$J999)</f>
        <v>3</v>
      </c>
    </row>
    <row r="155" spans="1:5" ht="13">
      <c r="A155" s="1" t="s">
        <v>58</v>
      </c>
      <c r="B155" s="1" t="s">
        <v>384</v>
      </c>
      <c r="C155" s="1">
        <f>SUMIF(Stakeholders!$C$2:$C999,B155,Stakeholders!$F$2:$F999)</f>
        <v>2</v>
      </c>
      <c r="D155" s="1">
        <f t="shared" si="0"/>
        <v>1</v>
      </c>
      <c r="E155" s="1">
        <f>SUMIF(Stakeholders!$C$2:$C999,B155,Stakeholders!$J$2:$J999)</f>
        <v>1</v>
      </c>
    </row>
    <row r="156" spans="1:5" ht="13">
      <c r="A156" s="1" t="s">
        <v>58</v>
      </c>
      <c r="B156" s="1" t="s">
        <v>385</v>
      </c>
      <c r="C156" s="1">
        <f>SUMIF(Stakeholders!$C$2:$C999,B156,Stakeholders!$F$2:$F999)</f>
        <v>0</v>
      </c>
      <c r="D156" s="1">
        <f t="shared" si="0"/>
        <v>0</v>
      </c>
      <c r="E156" s="1">
        <f>SUMIF(Stakeholders!$C$2:$C999,B156,Stakeholders!$J$2:$J999)</f>
        <v>0</v>
      </c>
    </row>
    <row r="157" spans="1:5" ht="13">
      <c r="A157" s="1" t="s">
        <v>58</v>
      </c>
      <c r="B157" s="1" t="s">
        <v>386</v>
      </c>
      <c r="C157" s="1">
        <f>SUMIF(Stakeholders!$C$2:$C999,B157,Stakeholders!$F$2:$F999)</f>
        <v>0</v>
      </c>
      <c r="D157" s="1">
        <f t="shared" si="0"/>
        <v>0</v>
      </c>
      <c r="E157" s="1">
        <f>SUMIF(Stakeholders!$C$2:$C999,B157,Stakeholders!$J$2:$J999)</f>
        <v>0</v>
      </c>
    </row>
    <row r="158" spans="1:5" ht="13">
      <c r="A158" s="1" t="s">
        <v>58</v>
      </c>
      <c r="B158" s="1" t="s">
        <v>387</v>
      </c>
      <c r="C158" s="1">
        <f>SUMIF(Stakeholders!$C$2:$C999,B158,Stakeholders!$F$2:$F999)</f>
        <v>1</v>
      </c>
      <c r="D158" s="1">
        <f t="shared" si="0"/>
        <v>1</v>
      </c>
      <c r="E158" s="1">
        <f>SUMIF(Stakeholders!$C$2:$C999,B158,Stakeholders!$J$2:$J999)</f>
        <v>0</v>
      </c>
    </row>
    <row r="159" spans="1:5" ht="13">
      <c r="A159" s="1" t="s">
        <v>58</v>
      </c>
      <c r="B159" s="1" t="s">
        <v>388</v>
      </c>
      <c r="C159" s="1">
        <f>SUMIF(Stakeholders!$C$2:$C999,B159,Stakeholders!$F$2:$F999)</f>
        <v>0</v>
      </c>
      <c r="D159" s="1">
        <f t="shared" si="0"/>
        <v>0</v>
      </c>
      <c r="E159" s="1">
        <f>SUMIF(Stakeholders!$C$2:$C999,B159,Stakeholders!$J$2:$J999)</f>
        <v>0</v>
      </c>
    </row>
    <row r="160" spans="1:5" ht="13">
      <c r="A160" s="1" t="s">
        <v>58</v>
      </c>
      <c r="B160" s="1" t="s">
        <v>391</v>
      </c>
      <c r="C160" s="1">
        <f>SUMIF(Stakeholders!$C$2:$C999,B160,Stakeholders!$F$2:$F999)</f>
        <v>1</v>
      </c>
      <c r="D160" s="1">
        <f t="shared" si="0"/>
        <v>1</v>
      </c>
      <c r="E160" s="1">
        <f>SUMIF(Stakeholders!$C$2:$C999,B160,Stakeholders!$J$2:$J999)</f>
        <v>1</v>
      </c>
    </row>
    <row r="161" spans="1:5" ht="13">
      <c r="A161" s="1" t="s">
        <v>58</v>
      </c>
      <c r="B161" s="1" t="s">
        <v>395</v>
      </c>
      <c r="C161" s="1">
        <f>SUMIF(Stakeholders!$C$2:$C999,B161,Stakeholders!$F$2:$F999)</f>
        <v>4</v>
      </c>
      <c r="D161" s="1">
        <f t="shared" si="0"/>
        <v>1</v>
      </c>
      <c r="E161" s="1">
        <f>SUMIF(Stakeholders!$C$2:$C999,B161,Stakeholders!$J$2:$J999)</f>
        <v>11</v>
      </c>
    </row>
    <row r="162" spans="1:5" ht="13">
      <c r="A162" s="1" t="s">
        <v>58</v>
      </c>
      <c r="B162" s="1" t="s">
        <v>400</v>
      </c>
      <c r="C162" s="1">
        <f>SUMIF(Stakeholders!$C$2:$C999,B162,Stakeholders!$F$2:$F999)</f>
        <v>2</v>
      </c>
      <c r="D162" s="1">
        <f t="shared" si="0"/>
        <v>1</v>
      </c>
      <c r="E162" s="1">
        <f>SUMIF(Stakeholders!$C$2:$C999,B162,Stakeholders!$J$2:$J999)</f>
        <v>2</v>
      </c>
    </row>
    <row r="163" spans="1:5" ht="13">
      <c r="A163" s="1" t="s">
        <v>58</v>
      </c>
      <c r="B163" s="1" t="s">
        <v>403</v>
      </c>
      <c r="C163" s="1">
        <f>SUMIF(Stakeholders!$C$2:$C999,B163,Stakeholders!$F$2:$F999)</f>
        <v>1</v>
      </c>
      <c r="D163" s="1">
        <f t="shared" si="0"/>
        <v>1</v>
      </c>
      <c r="E163" s="1">
        <f>SUMIF(Stakeholders!$C$2:$C999,B163,Stakeholders!$J$2:$J999)</f>
        <v>0</v>
      </c>
    </row>
    <row r="164" spans="1:5" ht="13">
      <c r="A164" s="1" t="s">
        <v>58</v>
      </c>
      <c r="B164" s="1" t="s">
        <v>405</v>
      </c>
      <c r="C164" s="1">
        <f>SUMIF(Stakeholders!$C$2:$C999,B164,Stakeholders!$F$2:$F999)</f>
        <v>0</v>
      </c>
      <c r="D164" s="1">
        <f t="shared" si="0"/>
        <v>0</v>
      </c>
      <c r="E164" s="1">
        <f>SUMIF(Stakeholders!$C$2:$C999,B164,Stakeholders!$J$2:$J999)</f>
        <v>0</v>
      </c>
    </row>
    <row r="165" spans="1:5" ht="13">
      <c r="A165" s="1" t="s">
        <v>58</v>
      </c>
      <c r="B165" s="1" t="s">
        <v>348</v>
      </c>
      <c r="C165" s="1">
        <f>SUMIF(Stakeholders!$C$2:$C999,B165,Stakeholders!$F$2:$F999)</f>
        <v>0</v>
      </c>
      <c r="D165" s="1">
        <f t="shared" si="0"/>
        <v>0</v>
      </c>
      <c r="E165" s="1">
        <f>SUMIF(Stakeholders!$C$2:$C999,B165,Stakeholders!$J$2:$J999)</f>
        <v>0</v>
      </c>
    </row>
    <row r="166" spans="1:5" ht="13">
      <c r="A166" s="1" t="s">
        <v>58</v>
      </c>
      <c r="B166" s="1" t="s">
        <v>351</v>
      </c>
      <c r="C166" s="1">
        <f>SUMIF(Stakeholders!$C$2:$C999,B166,Stakeholders!$F$2:$F999)</f>
        <v>0</v>
      </c>
      <c r="D166" s="1">
        <f t="shared" si="0"/>
        <v>0</v>
      </c>
      <c r="E166" s="1">
        <f>SUMIF(Stakeholders!$C$2:$C999,B166,Stakeholders!$J$2:$J999)</f>
        <v>0</v>
      </c>
    </row>
    <row r="167" spans="1:5" ht="13">
      <c r="A167" s="1" t="s">
        <v>58</v>
      </c>
      <c r="B167" s="1" t="s">
        <v>352</v>
      </c>
      <c r="C167" s="1">
        <f>SUMIF(Stakeholders!$C$2:$C999,B167,Stakeholders!$F$2:$F999)</f>
        <v>0</v>
      </c>
      <c r="D167" s="1">
        <f t="shared" si="0"/>
        <v>0</v>
      </c>
      <c r="E167" s="1">
        <f>SUMIF(Stakeholders!$C$2:$C999,B167,Stakeholders!$J$2:$J999)</f>
        <v>0</v>
      </c>
    </row>
    <row r="168" spans="1:5" ht="13">
      <c r="A168" s="1" t="s">
        <v>58</v>
      </c>
      <c r="B168" s="1" t="s">
        <v>354</v>
      </c>
      <c r="C168" s="1">
        <f>SUMIF(Stakeholders!$C$2:$C999,B168,Stakeholders!$F$2:$F999)</f>
        <v>0</v>
      </c>
      <c r="D168" s="1">
        <f t="shared" si="0"/>
        <v>0</v>
      </c>
      <c r="E168" s="1">
        <f>SUMIF(Stakeholders!$C$2:$C999,B168,Stakeholders!$J$2:$J999)</f>
        <v>0</v>
      </c>
    </row>
    <row r="169" spans="1:5" ht="13">
      <c r="A169" s="1" t="s">
        <v>58</v>
      </c>
      <c r="B169" s="1" t="s">
        <v>356</v>
      </c>
      <c r="C169" s="1">
        <f>SUMIF(Stakeholders!$C$2:$C999,B169,Stakeholders!$F$2:$F999)</f>
        <v>1</v>
      </c>
      <c r="D169" s="1">
        <f t="shared" si="0"/>
        <v>1</v>
      </c>
      <c r="E169" s="1">
        <f>SUMIF(Stakeholders!$C$2:$C999,B169,Stakeholders!$J$2:$J999)</f>
        <v>1</v>
      </c>
    </row>
    <row r="170" spans="1:5" ht="13">
      <c r="A170" s="1" t="s">
        <v>58</v>
      </c>
      <c r="B170" s="1" t="s">
        <v>357</v>
      </c>
      <c r="C170" s="1">
        <f>SUMIF(Stakeholders!$C$2:$C999,B170,Stakeholders!$F$2:$F999)</f>
        <v>0</v>
      </c>
      <c r="D170" s="1">
        <f t="shared" si="0"/>
        <v>0</v>
      </c>
      <c r="E170" s="1">
        <f>SUMIF(Stakeholders!$C$2:$C999,B170,Stakeholders!$J$2:$J999)</f>
        <v>0</v>
      </c>
    </row>
    <row r="171" spans="1:5" ht="13">
      <c r="A171" s="1" t="s">
        <v>58</v>
      </c>
      <c r="B171" s="1" t="s">
        <v>358</v>
      </c>
      <c r="C171" s="1">
        <f>SUMIF(Stakeholders!$C$2:$C999,B171,Stakeholders!$F$2:$F999)</f>
        <v>0</v>
      </c>
      <c r="D171" s="1">
        <f t="shared" si="0"/>
        <v>0</v>
      </c>
      <c r="E171" s="1">
        <f>SUMIF(Stakeholders!$C$2:$C999,B171,Stakeholders!$J$2:$J999)</f>
        <v>0</v>
      </c>
    </row>
    <row r="172" spans="1:5" ht="13">
      <c r="A172" s="1" t="s">
        <v>58</v>
      </c>
      <c r="B172" s="1" t="s">
        <v>360</v>
      </c>
      <c r="C172" s="1">
        <f>SUMIF(Stakeholders!$C$2:$C999,B172,Stakeholders!$F$2:$F999)</f>
        <v>0</v>
      </c>
      <c r="D172" s="1">
        <f t="shared" si="0"/>
        <v>0</v>
      </c>
      <c r="E172" s="1">
        <f>SUMIF(Stakeholders!$C$2:$C999,B172,Stakeholders!$J$2:$J999)</f>
        <v>0</v>
      </c>
    </row>
    <row r="173" spans="1:5" ht="13">
      <c r="A173" s="1" t="s">
        <v>58</v>
      </c>
      <c r="B173" s="1" t="s">
        <v>362</v>
      </c>
      <c r="C173" s="1">
        <f>SUMIF(Stakeholders!$C$2:$C999,B173,Stakeholders!$F$2:$F999)</f>
        <v>0</v>
      </c>
      <c r="D173" s="1">
        <f t="shared" si="0"/>
        <v>0</v>
      </c>
      <c r="E173" s="1">
        <f>SUMIF(Stakeholders!$C$2:$C999,B173,Stakeholders!$J$2:$J999)</f>
        <v>0</v>
      </c>
    </row>
    <row r="174" spans="1:5" ht="13">
      <c r="A174" s="1" t="s">
        <v>58</v>
      </c>
      <c r="B174" s="1" t="s">
        <v>364</v>
      </c>
      <c r="C174" s="1">
        <f>SUMIF(Stakeholders!$C$2:$C999,B174,Stakeholders!$F$2:$F999)</f>
        <v>1</v>
      </c>
      <c r="D174" s="1">
        <f t="shared" si="0"/>
        <v>1</v>
      </c>
      <c r="E174" s="1">
        <f>SUMIF(Stakeholders!$C$2:$C999,B174,Stakeholders!$J$2:$J999)</f>
        <v>1</v>
      </c>
    </row>
    <row r="175" spans="1:5" ht="13">
      <c r="A175" s="1" t="s">
        <v>58</v>
      </c>
      <c r="B175" s="1" t="s">
        <v>366</v>
      </c>
      <c r="C175" s="1">
        <f>SUMIF(Stakeholders!$C$2:$C999,B175,Stakeholders!$F$2:$F999)</f>
        <v>0</v>
      </c>
      <c r="D175" s="1">
        <f t="shared" si="0"/>
        <v>0</v>
      </c>
      <c r="E175" s="1">
        <f>SUMIF(Stakeholders!$C$2:$C999,B175,Stakeholders!$J$2:$J999)</f>
        <v>0</v>
      </c>
    </row>
    <row r="176" spans="1:5" ht="13">
      <c r="A176" s="1" t="s">
        <v>58</v>
      </c>
      <c r="B176" s="1" t="s">
        <v>367</v>
      </c>
      <c r="C176" s="1">
        <f>SUMIF(Stakeholders!$C$2:$C999,B176,Stakeholders!$F$2:$F999)</f>
        <v>2</v>
      </c>
      <c r="D176" s="1">
        <f t="shared" si="0"/>
        <v>1</v>
      </c>
      <c r="E176" s="1">
        <f>SUMIF(Stakeholders!$C$2:$C999,B176,Stakeholders!$J$2:$J999)</f>
        <v>2</v>
      </c>
    </row>
    <row r="177" spans="1:5" ht="13">
      <c r="A177" s="1" t="s">
        <v>58</v>
      </c>
      <c r="B177" s="1" t="s">
        <v>368</v>
      </c>
      <c r="C177" s="1">
        <f>SUMIF(Stakeholders!$C$2:$C999,B177,Stakeholders!$F$2:$F999)</f>
        <v>1</v>
      </c>
      <c r="D177" s="1">
        <f t="shared" si="0"/>
        <v>1</v>
      </c>
      <c r="E177" s="1">
        <f>SUMIF(Stakeholders!$C$2:$C999,B177,Stakeholders!$J$2:$J999)</f>
        <v>0</v>
      </c>
    </row>
    <row r="178" spans="1:5" ht="13">
      <c r="A178" s="1" t="s">
        <v>58</v>
      </c>
      <c r="B178" s="1" t="s">
        <v>374</v>
      </c>
      <c r="C178" s="1">
        <f>SUMIF(Stakeholders!$C$2:$C999,B178,Stakeholders!$F$2:$F999)</f>
        <v>0</v>
      </c>
      <c r="D178" s="1">
        <f t="shared" si="0"/>
        <v>0</v>
      </c>
      <c r="E178" s="1">
        <f>SUMIF(Stakeholders!$C$2:$C999,B178,Stakeholders!$J$2:$J999)</f>
        <v>0</v>
      </c>
    </row>
    <row r="179" spans="1:5" ht="13">
      <c r="A179" s="1" t="s">
        <v>58</v>
      </c>
      <c r="B179" s="1" t="s">
        <v>402</v>
      </c>
      <c r="C179" s="1">
        <f>SUMIF(Stakeholders!$C$2:$C999,B179,Stakeholders!$F$2:$F999)</f>
        <v>0</v>
      </c>
      <c r="D179" s="1">
        <f t="shared" si="0"/>
        <v>0</v>
      </c>
      <c r="E179" s="1">
        <f>SUMIF(Stakeholders!$C$2:$C999,B179,Stakeholders!$J$2:$J999)</f>
        <v>0</v>
      </c>
    </row>
    <row r="180" spans="1:5" ht="13">
      <c r="A180" s="1" t="s">
        <v>58</v>
      </c>
      <c r="B180" s="1" t="s">
        <v>406</v>
      </c>
      <c r="C180" s="1">
        <f>SUMIF(Stakeholders!$C$2:$C999,B180,Stakeholders!$F$2:$F999)</f>
        <v>0</v>
      </c>
      <c r="D180" s="1">
        <f t="shared" si="0"/>
        <v>0</v>
      </c>
      <c r="E180" s="1">
        <f>SUMIF(Stakeholders!$C$2:$C999,B180,Stakeholders!$J$2:$J999)</f>
        <v>0</v>
      </c>
    </row>
    <row r="181" spans="1:5" ht="13">
      <c r="A181" s="1" t="s">
        <v>58</v>
      </c>
      <c r="B181" s="1" t="s">
        <v>411</v>
      </c>
      <c r="C181" s="1">
        <f>SUMIF(Stakeholders!$C$2:$C999,B181,Stakeholders!$F$2:$F999)</f>
        <v>1</v>
      </c>
      <c r="D181" s="1">
        <f t="shared" si="0"/>
        <v>1</v>
      </c>
      <c r="E181" s="1">
        <f>SUMIF(Stakeholders!$C$2:$C999,B181,Stakeholders!$J$2:$J999)</f>
        <v>1</v>
      </c>
    </row>
    <row r="182" spans="1:5" ht="13">
      <c r="A182" s="1" t="s">
        <v>92</v>
      </c>
      <c r="B182" s="1" t="s">
        <v>412</v>
      </c>
      <c r="C182" s="1">
        <f>SUMIF(Stakeholders!$C$2:$C999,B182,Stakeholders!$F$2:$F999)</f>
        <v>11</v>
      </c>
      <c r="D182" s="1">
        <f t="shared" si="0"/>
        <v>1</v>
      </c>
      <c r="E182" s="1">
        <f>SUMIF(Stakeholders!$C$2:$C999,B182,Stakeholders!$J$2:$J999)</f>
        <v>33</v>
      </c>
    </row>
    <row r="183" spans="1:5" ht="13">
      <c r="A183" s="1" t="s">
        <v>92</v>
      </c>
      <c r="B183" s="1" t="s">
        <v>438</v>
      </c>
      <c r="C183" s="1">
        <f>SUMIF(Stakeholders!$C$2:$C999,B183,Stakeholders!$F$2:$F999)</f>
        <v>1</v>
      </c>
      <c r="D183" s="1">
        <f t="shared" si="0"/>
        <v>1</v>
      </c>
      <c r="E183" s="1">
        <f>SUMIF(Stakeholders!$C$2:$C999,B183,Stakeholders!$J$2:$J999)</f>
        <v>3</v>
      </c>
    </row>
    <row r="184" spans="1:5" ht="13">
      <c r="A184" s="1" t="s">
        <v>92</v>
      </c>
      <c r="B184" s="1" t="s">
        <v>588</v>
      </c>
      <c r="C184" s="1">
        <f>SUMIF(Stakeholders!$C$2:$C999,B184,Stakeholders!$F$2:$F999)</f>
        <v>0</v>
      </c>
      <c r="D184" s="1">
        <f t="shared" si="0"/>
        <v>0</v>
      </c>
      <c r="E184" s="1">
        <f>SUMIF(Stakeholders!$C$2:$C999,B184,Stakeholders!$J$2:$J999)</f>
        <v>0</v>
      </c>
    </row>
    <row r="185" spans="1:5" ht="13">
      <c r="A185" s="1" t="s">
        <v>92</v>
      </c>
      <c r="B185" s="1" t="s">
        <v>417</v>
      </c>
      <c r="C185" s="1">
        <f>SUMIF(Stakeholders!$C$2:$C999,B185,Stakeholders!$F$2:$F999)</f>
        <v>0</v>
      </c>
      <c r="D185" s="1">
        <f t="shared" si="0"/>
        <v>0</v>
      </c>
      <c r="E185" s="1">
        <f>SUMIF(Stakeholders!$C$2:$C999,B185,Stakeholders!$J$2:$J999)</f>
        <v>0</v>
      </c>
    </row>
    <row r="186" spans="1:5" ht="13">
      <c r="A186" s="1" t="s">
        <v>92</v>
      </c>
      <c r="B186" s="1" t="s">
        <v>418</v>
      </c>
      <c r="C186" s="1">
        <f>SUMIF(Stakeholders!$C$2:$C999,B186,Stakeholders!$F$2:$F999)</f>
        <v>0</v>
      </c>
      <c r="D186" s="1">
        <f t="shared" si="0"/>
        <v>0</v>
      </c>
      <c r="E186" s="1">
        <f>SUMIF(Stakeholders!$C$2:$C999,B186,Stakeholders!$J$2:$J999)</f>
        <v>0</v>
      </c>
    </row>
    <row r="187" spans="1:5" ht="13">
      <c r="A187" s="1" t="s">
        <v>92</v>
      </c>
      <c r="B187" s="1" t="s">
        <v>420</v>
      </c>
      <c r="C187" s="1">
        <f>SUMIF(Stakeholders!$C$2:$C999,B187,Stakeholders!$F$2:$F999)</f>
        <v>0</v>
      </c>
      <c r="D187" s="1">
        <f t="shared" si="0"/>
        <v>0</v>
      </c>
      <c r="E187" s="1">
        <f>SUMIF(Stakeholders!$C$2:$C999,B187,Stakeholders!$J$2:$J999)</f>
        <v>0</v>
      </c>
    </row>
    <row r="188" spans="1:5" ht="13">
      <c r="A188" s="1" t="s">
        <v>92</v>
      </c>
      <c r="B188" s="1" t="s">
        <v>422</v>
      </c>
      <c r="C188" s="1">
        <f>SUMIF(Stakeholders!$C$2:$C999,B188,Stakeholders!$F$2:$F999)</f>
        <v>0</v>
      </c>
      <c r="D188" s="1">
        <f t="shared" si="0"/>
        <v>0</v>
      </c>
      <c r="E188" s="1">
        <f>SUMIF(Stakeholders!$C$2:$C999,B188,Stakeholders!$J$2:$J999)</f>
        <v>0</v>
      </c>
    </row>
    <row r="189" spans="1:5" ht="13">
      <c r="A189" s="1" t="s">
        <v>92</v>
      </c>
      <c r="B189" s="1" t="s">
        <v>423</v>
      </c>
      <c r="C189" s="1">
        <f>SUMIF(Stakeholders!$C$2:$C999,B189,Stakeholders!$F$2:$F999)</f>
        <v>0</v>
      </c>
      <c r="D189" s="1">
        <f t="shared" si="0"/>
        <v>0</v>
      </c>
      <c r="E189" s="1">
        <f>SUMIF(Stakeholders!$C$2:$C999,B189,Stakeholders!$J$2:$J999)</f>
        <v>0</v>
      </c>
    </row>
    <row r="190" spans="1:5" ht="13">
      <c r="A190" s="1" t="s">
        <v>92</v>
      </c>
      <c r="B190" s="1" t="s">
        <v>425</v>
      </c>
      <c r="C190" s="1">
        <f>SUMIF(Stakeholders!$C$2:$C999,B190,Stakeholders!$F$2:$F999)</f>
        <v>0</v>
      </c>
      <c r="D190" s="1">
        <f t="shared" si="0"/>
        <v>0</v>
      </c>
      <c r="E190" s="1">
        <f>SUMIF(Stakeholders!$C$2:$C999,B190,Stakeholders!$J$2:$J999)</f>
        <v>0</v>
      </c>
    </row>
    <row r="191" spans="1:5" ht="13">
      <c r="A191" s="1" t="s">
        <v>92</v>
      </c>
      <c r="B191" s="1" t="s">
        <v>426</v>
      </c>
      <c r="C191" s="1">
        <f>SUMIF(Stakeholders!$C$2:$C999,B191,Stakeholders!$F$2:$F999)</f>
        <v>0</v>
      </c>
      <c r="D191" s="1">
        <f t="shared" si="0"/>
        <v>0</v>
      </c>
      <c r="E191" s="1">
        <f>SUMIF(Stakeholders!$C$2:$C999,B191,Stakeholders!$J$2:$J999)</f>
        <v>0</v>
      </c>
    </row>
    <row r="192" spans="1:5" ht="13">
      <c r="A192" s="1" t="s">
        <v>92</v>
      </c>
      <c r="B192" s="1" t="s">
        <v>427</v>
      </c>
      <c r="C192" s="1">
        <f>SUMIF(Stakeholders!$C$2:$C999,B192,Stakeholders!$F$2:$F999)</f>
        <v>0</v>
      </c>
      <c r="D192" s="1">
        <f t="shared" si="0"/>
        <v>0</v>
      </c>
      <c r="E192" s="1">
        <f>SUMIF(Stakeholders!$C$2:$C999,B192,Stakeholders!$J$2:$J999)</f>
        <v>0</v>
      </c>
    </row>
    <row r="193" spans="1:5" ht="13">
      <c r="A193" s="1" t="s">
        <v>92</v>
      </c>
      <c r="B193" s="1" t="s">
        <v>428</v>
      </c>
      <c r="C193" s="1">
        <f>SUMIF(Stakeholders!$C$2:$C999,B193,Stakeholders!$F$2:$F999)</f>
        <v>0</v>
      </c>
      <c r="D193" s="1">
        <f t="shared" si="0"/>
        <v>0</v>
      </c>
      <c r="E193" s="1">
        <f>SUMIF(Stakeholders!$C$2:$C999,B193,Stakeholders!$J$2:$J999)</f>
        <v>0</v>
      </c>
    </row>
    <row r="194" spans="1:5" ht="13">
      <c r="A194" s="1" t="s">
        <v>92</v>
      </c>
      <c r="B194" s="1" t="s">
        <v>429</v>
      </c>
      <c r="C194" s="1">
        <f>SUMIF(Stakeholders!$C$2:$C999,B194,Stakeholders!$F$2:$F999)</f>
        <v>0</v>
      </c>
      <c r="D194" s="1">
        <f t="shared" si="0"/>
        <v>0</v>
      </c>
      <c r="E194" s="1">
        <f>SUMIF(Stakeholders!$C$2:$C999,B194,Stakeholders!$J$2:$J999)</f>
        <v>0</v>
      </c>
    </row>
    <row r="195" spans="1:5" ht="13">
      <c r="A195" s="1" t="s">
        <v>92</v>
      </c>
      <c r="B195" s="1" t="s">
        <v>433</v>
      </c>
      <c r="C195" s="1">
        <f>SUMIF(Stakeholders!$C$2:$C999,B195,Stakeholders!$F$2:$F999)</f>
        <v>0</v>
      </c>
      <c r="D195" s="1">
        <f t="shared" si="0"/>
        <v>0</v>
      </c>
      <c r="E195" s="1">
        <f>SUMIF(Stakeholders!$C$2:$C999,B195,Stakeholders!$J$2:$J999)</f>
        <v>0</v>
      </c>
    </row>
    <row r="196" spans="1:5" ht="13">
      <c r="A196" s="1" t="s">
        <v>92</v>
      </c>
      <c r="B196" s="1" t="s">
        <v>435</v>
      </c>
      <c r="C196" s="1">
        <f>SUMIF(Stakeholders!$C$2:$C999,B196,Stakeholders!$F$2:$F999)</f>
        <v>0</v>
      </c>
      <c r="D196" s="1">
        <f t="shared" si="0"/>
        <v>0</v>
      </c>
      <c r="E196" s="1">
        <f>SUMIF(Stakeholders!$C$2:$C999,B196,Stakeholders!$J$2:$J999)</f>
        <v>0</v>
      </c>
    </row>
    <row r="197" spans="1:5" ht="13">
      <c r="A197" s="1" t="s">
        <v>92</v>
      </c>
      <c r="B197" s="1" t="s">
        <v>436</v>
      </c>
      <c r="C197" s="1">
        <f>SUMIF(Stakeholders!$C$2:$C999,B197,Stakeholders!$F$2:$F999)</f>
        <v>0</v>
      </c>
      <c r="D197" s="1">
        <f t="shared" si="0"/>
        <v>0</v>
      </c>
      <c r="E197" s="1">
        <f>SUMIF(Stakeholders!$C$2:$C999,B197,Stakeholders!$J$2:$J999)</f>
        <v>0</v>
      </c>
    </row>
    <row r="198" spans="1:5" ht="13">
      <c r="A198" s="1" t="s">
        <v>92</v>
      </c>
      <c r="B198" s="1" t="s">
        <v>439</v>
      </c>
      <c r="C198" s="1">
        <f>SUMIF(Stakeholders!$C$2:$C999,B198,Stakeholders!$F$2:$F999)</f>
        <v>0</v>
      </c>
      <c r="D198" s="1">
        <f t="shared" si="0"/>
        <v>0</v>
      </c>
      <c r="E198" s="1">
        <f>SUMIF(Stakeholders!$C$2:$C999,B198,Stakeholders!$J$2:$J999)</f>
        <v>0</v>
      </c>
    </row>
    <row r="199" spans="1:5" ht="13">
      <c r="A199" s="1" t="s">
        <v>92</v>
      </c>
      <c r="B199" s="1" t="s">
        <v>440</v>
      </c>
      <c r="C199" s="1">
        <f>SUMIF(Stakeholders!$C$2:$C999,B199,Stakeholders!$F$2:$F999)</f>
        <v>0</v>
      </c>
      <c r="D199" s="1">
        <f t="shared" si="0"/>
        <v>0</v>
      </c>
      <c r="E199" s="1">
        <f>SUMIF(Stakeholders!$C$2:$C999,B199,Stakeholders!$J$2:$J999)</f>
        <v>0</v>
      </c>
    </row>
    <row r="200" spans="1:5" ht="13">
      <c r="A200" s="1" t="s">
        <v>92</v>
      </c>
      <c r="B200" s="1" t="s">
        <v>441</v>
      </c>
      <c r="C200" s="1">
        <f>SUMIF(Stakeholders!$C$2:$C999,B200,Stakeholders!$F$2:$F999)</f>
        <v>0</v>
      </c>
      <c r="D200" s="1">
        <f t="shared" si="0"/>
        <v>0</v>
      </c>
      <c r="E200" s="1">
        <f>SUMIF(Stakeholders!$C$2:$C999,B200,Stakeholders!$J$2:$J999)</f>
        <v>0</v>
      </c>
    </row>
    <row r="201" spans="1:5" ht="13">
      <c r="A201" s="1" t="s">
        <v>92</v>
      </c>
      <c r="B201" s="1" t="s">
        <v>442</v>
      </c>
      <c r="C201" s="1">
        <f>SUMIF(Stakeholders!$C$2:$C999,B201,Stakeholders!$F$2:$F999)</f>
        <v>0</v>
      </c>
      <c r="D201" s="1">
        <f t="shared" si="0"/>
        <v>0</v>
      </c>
      <c r="E201" s="1">
        <f>SUMIF(Stakeholders!$C$2:$C999,B201,Stakeholders!$J$2:$J999)</f>
        <v>0</v>
      </c>
    </row>
    <row r="202" spans="1:5" ht="13">
      <c r="A202" s="1" t="s">
        <v>92</v>
      </c>
      <c r="B202" s="1" t="s">
        <v>443</v>
      </c>
      <c r="C202" s="1">
        <f>SUMIF(Stakeholders!$C$2:$C999,B202,Stakeholders!$F$2:$F999)</f>
        <v>0</v>
      </c>
      <c r="D202" s="1">
        <f t="shared" si="0"/>
        <v>0</v>
      </c>
      <c r="E202" s="1">
        <f>SUMIF(Stakeholders!$C$2:$C999,B202,Stakeholders!$J$2:$J999)</f>
        <v>0</v>
      </c>
    </row>
    <row r="203" spans="1:5" ht="13">
      <c r="A203" s="1" t="s">
        <v>92</v>
      </c>
      <c r="B203" s="1" t="s">
        <v>446</v>
      </c>
      <c r="C203" s="1">
        <f>SUMIF(Stakeholders!$C$2:$C999,B203,Stakeholders!$F$2:$F999)</f>
        <v>0</v>
      </c>
      <c r="D203" s="1">
        <f t="shared" si="0"/>
        <v>0</v>
      </c>
      <c r="E203" s="1">
        <f>SUMIF(Stakeholders!$C$2:$C999,B203,Stakeholders!$J$2:$J999)</f>
        <v>0</v>
      </c>
    </row>
    <row r="204" spans="1:5" ht="13">
      <c r="A204" s="1" t="s">
        <v>92</v>
      </c>
      <c r="B204" s="1" t="s">
        <v>448</v>
      </c>
      <c r="C204" s="1">
        <f>SUMIF(Stakeholders!$C$2:$C999,B204,Stakeholders!$F$2:$F999)</f>
        <v>0</v>
      </c>
      <c r="D204" s="1">
        <f t="shared" si="0"/>
        <v>0</v>
      </c>
      <c r="E204" s="1">
        <f>SUMIF(Stakeholders!$C$2:$C999,B204,Stakeholders!$J$2:$J999)</f>
        <v>0</v>
      </c>
    </row>
    <row r="205" spans="1:5" ht="13">
      <c r="A205" s="1" t="s">
        <v>92</v>
      </c>
      <c r="B205" s="1" t="s">
        <v>449</v>
      </c>
      <c r="C205" s="1">
        <f>SUMIF(Stakeholders!$C$2:$C999,B205,Stakeholders!$F$2:$F999)</f>
        <v>0</v>
      </c>
      <c r="D205" s="1">
        <f t="shared" si="0"/>
        <v>0</v>
      </c>
      <c r="E205" s="1">
        <f>SUMIF(Stakeholders!$C$2:$C999,B205,Stakeholders!$J$2:$J999)</f>
        <v>0</v>
      </c>
    </row>
    <row r="206" spans="1:5" ht="13">
      <c r="A206" s="1" t="s">
        <v>92</v>
      </c>
      <c r="B206" s="1" t="s">
        <v>450</v>
      </c>
      <c r="C206" s="1">
        <f>SUMIF(Stakeholders!$C$2:$C999,B206,Stakeholders!$F$2:$F999)</f>
        <v>0</v>
      </c>
      <c r="D206" s="1">
        <f t="shared" si="0"/>
        <v>0</v>
      </c>
      <c r="E206" s="1">
        <f>SUMIF(Stakeholders!$C$2:$C999,B206,Stakeholders!$J$2:$J999)</f>
        <v>0</v>
      </c>
    </row>
    <row r="207" spans="1:5" ht="13">
      <c r="A207" s="1" t="s">
        <v>56</v>
      </c>
      <c r="B207" s="1" t="s">
        <v>107</v>
      </c>
      <c r="C207" s="1">
        <f>SUMIF(Stakeholders!$C$2:$C999,B207,Stakeholders!$F$2:$F999)</f>
        <v>1</v>
      </c>
      <c r="D207" s="1">
        <f t="shared" si="0"/>
        <v>1</v>
      </c>
      <c r="E207" s="1">
        <f>SUMIF(Stakeholders!$C$2:$C999,B207,Stakeholders!$J$2:$J999)</f>
        <v>5</v>
      </c>
    </row>
    <row r="208" spans="1:5" ht="13">
      <c r="A208" s="1" t="s">
        <v>56</v>
      </c>
      <c r="B208" s="1" t="s">
        <v>451</v>
      </c>
      <c r="C208" s="1">
        <f>SUMIF(Stakeholders!$C$2:$C999,B208,Stakeholders!$F$2:$F999)</f>
        <v>1</v>
      </c>
      <c r="D208" s="1">
        <f t="shared" si="0"/>
        <v>1</v>
      </c>
      <c r="E208" s="1">
        <f>SUMIF(Stakeholders!$C$2:$C999,B208,Stakeholders!$J$2:$J999)</f>
        <v>2</v>
      </c>
    </row>
    <row r="209" spans="1:5" ht="13">
      <c r="A209" s="1" t="s">
        <v>56</v>
      </c>
      <c r="B209" s="1" t="s">
        <v>227</v>
      </c>
      <c r="C209" s="1">
        <f>SUMIF(Stakeholders!$C$2:$C999,B209,Stakeholders!$F$2:$F999)</f>
        <v>1</v>
      </c>
      <c r="D209" s="1">
        <f t="shared" si="0"/>
        <v>1</v>
      </c>
      <c r="E209" s="1">
        <f>SUMIF(Stakeholders!$C$2:$C999,B209,Stakeholders!$J$2:$J999)</f>
        <v>1</v>
      </c>
    </row>
    <row r="210" spans="1:5" ht="13">
      <c r="A210" s="1" t="s">
        <v>56</v>
      </c>
      <c r="B210" s="1" t="s">
        <v>653</v>
      </c>
      <c r="C210" s="1">
        <f>SUMIF(Stakeholders!$C$2:$C999,B210,Stakeholders!$F$2:$F999)</f>
        <v>1</v>
      </c>
      <c r="D210" s="1">
        <f t="shared" si="0"/>
        <v>1</v>
      </c>
      <c r="E210" s="1">
        <f>SUMIF(Stakeholders!$C$2:$C999,B210,Stakeholders!$J$2:$J999)</f>
        <v>1</v>
      </c>
    </row>
    <row r="211" spans="1:5" ht="13">
      <c r="A211" s="1" t="s">
        <v>56</v>
      </c>
      <c r="B211" s="1" t="s">
        <v>654</v>
      </c>
      <c r="C211" s="1">
        <f>SUMIF(Stakeholders!$C$2:$C999,B211,Stakeholders!$F$2:$F999)</f>
        <v>1</v>
      </c>
      <c r="D211" s="1">
        <f t="shared" si="0"/>
        <v>1</v>
      </c>
      <c r="E211" s="1">
        <f>SUMIF(Stakeholders!$C$2:$C999,B211,Stakeholders!$J$2:$J999)</f>
        <v>1</v>
      </c>
    </row>
    <row r="212" spans="1:5" ht="13">
      <c r="A212" s="1" t="s">
        <v>56</v>
      </c>
      <c r="B212" s="1" t="s">
        <v>660</v>
      </c>
      <c r="C212" s="1">
        <f>SUMIF(Stakeholders!$C$2:$C999,B212,Stakeholders!$F$2:$F999)</f>
        <v>1</v>
      </c>
      <c r="D212" s="1">
        <f t="shared" si="0"/>
        <v>1</v>
      </c>
      <c r="E212" s="1">
        <f>SUMIF(Stakeholders!$C$2:$C999,B212,Stakeholders!$J$2:$J999)</f>
        <v>2</v>
      </c>
    </row>
    <row r="213" spans="1:5" ht="13">
      <c r="A213" s="1" t="s">
        <v>56</v>
      </c>
      <c r="B213" s="1" t="s">
        <v>661</v>
      </c>
      <c r="C213" s="1">
        <f>SUMIF(Stakeholders!$C$2:$C999,B213,Stakeholders!$F$2:$F999)</f>
        <v>1</v>
      </c>
      <c r="D213" s="1">
        <f t="shared" si="0"/>
        <v>1</v>
      </c>
      <c r="E213" s="1">
        <f>SUMIF(Stakeholders!$C$2:$C999,B213,Stakeholders!$J$2:$J999)</f>
        <v>1</v>
      </c>
    </row>
    <row r="214" spans="1:5" ht="13">
      <c r="A214" s="1" t="s">
        <v>56</v>
      </c>
      <c r="B214" s="1" t="s">
        <v>662</v>
      </c>
      <c r="C214" s="1">
        <f>SUMIF(Stakeholders!$C$2:$C999,B214,Stakeholders!$F$2:$F999)</f>
        <v>1</v>
      </c>
      <c r="D214" s="1">
        <f t="shared" si="0"/>
        <v>1</v>
      </c>
      <c r="E214" s="1">
        <f>SUMIF(Stakeholders!$C$2:$C999,B214,Stakeholders!$J$2:$J999)</f>
        <v>1</v>
      </c>
    </row>
  </sheetData>
  <autoFilter ref="A1:E220" xr:uid="{00000000-0009-0000-0000-000004000000}"/>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33"/>
  <sheetViews>
    <sheetView workbookViewId="0"/>
  </sheetViews>
  <sheetFormatPr baseColWidth="10" defaultColWidth="12.6640625" defaultRowHeight="15.75" customHeight="1"/>
  <cols>
    <col min="2" max="2" width="37.83203125" customWidth="1"/>
  </cols>
  <sheetData>
    <row r="1" spans="1:3" ht="15.75" customHeight="1">
      <c r="A1" s="1" t="s">
        <v>0</v>
      </c>
      <c r="B1" s="1" t="s">
        <v>139</v>
      </c>
      <c r="C1" s="1" t="s">
        <v>141</v>
      </c>
    </row>
    <row r="2" spans="1:3" ht="15.75" customHeight="1">
      <c r="A2" s="1" t="s">
        <v>8</v>
      </c>
      <c r="B2" s="1" t="s">
        <v>142</v>
      </c>
      <c r="C2" s="1">
        <f>Cálculos!D2</f>
        <v>26</v>
      </c>
    </row>
    <row r="3" spans="1:3" ht="15.75" customHeight="1">
      <c r="A3" s="1" t="s">
        <v>53</v>
      </c>
      <c r="B3" s="1" t="s">
        <v>142</v>
      </c>
      <c r="C3" s="1">
        <f>Cálculos!D3</f>
        <v>1</v>
      </c>
    </row>
    <row r="4" spans="1:3" ht="15.75" customHeight="1">
      <c r="A4" s="1" t="s">
        <v>64</v>
      </c>
      <c r="B4" s="1" t="s">
        <v>142</v>
      </c>
      <c r="C4" s="1">
        <f>Cálculos!D4</f>
        <v>104</v>
      </c>
    </row>
    <row r="5" spans="1:3" ht="15.75" customHeight="1">
      <c r="A5" s="1" t="s">
        <v>69</v>
      </c>
      <c r="B5" s="1" t="s">
        <v>142</v>
      </c>
      <c r="C5" s="1">
        <f>Cálculos!D5</f>
        <v>5</v>
      </c>
    </row>
    <row r="6" spans="1:3" ht="15.75" customHeight="1">
      <c r="A6" s="1" t="s">
        <v>80</v>
      </c>
      <c r="B6" s="1" t="s">
        <v>142</v>
      </c>
      <c r="C6" s="1">
        <f>Cálculos!D6</f>
        <v>25</v>
      </c>
    </row>
    <row r="7" spans="1:3" ht="15.75" customHeight="1">
      <c r="A7" s="1" t="s">
        <v>58</v>
      </c>
      <c r="B7" s="1" t="s">
        <v>142</v>
      </c>
      <c r="C7" s="1">
        <f>Cálculos!D7</f>
        <v>82</v>
      </c>
    </row>
    <row r="8" spans="1:3" ht="15.75" customHeight="1">
      <c r="A8" s="1" t="s">
        <v>92</v>
      </c>
      <c r="B8" s="1" t="s">
        <v>142</v>
      </c>
      <c r="C8" s="1">
        <f>Cálculos!D8</f>
        <v>36</v>
      </c>
    </row>
    <row r="9" spans="1:3" ht="15.75" customHeight="1">
      <c r="A9" s="1" t="s">
        <v>56</v>
      </c>
      <c r="B9" s="1" t="s">
        <v>142</v>
      </c>
      <c r="C9" s="1">
        <f>Cálculos!D9</f>
        <v>16</v>
      </c>
    </row>
    <row r="10" spans="1:3" ht="15.75" customHeight="1">
      <c r="A10" s="1" t="s">
        <v>8</v>
      </c>
      <c r="B10" s="1" t="s">
        <v>149</v>
      </c>
      <c r="C10" s="1">
        <f>Cálculos!F2</f>
        <v>-24</v>
      </c>
    </row>
    <row r="11" spans="1:3" ht="15.75" customHeight="1">
      <c r="A11" s="1" t="s">
        <v>53</v>
      </c>
      <c r="B11" s="1" t="s">
        <v>149</v>
      </c>
      <c r="C11" s="1">
        <f>Cálculos!F3</f>
        <v>1</v>
      </c>
    </row>
    <row r="12" spans="1:3" ht="15.75" customHeight="1">
      <c r="A12" s="1" t="s">
        <v>64</v>
      </c>
      <c r="B12" s="1" t="s">
        <v>149</v>
      </c>
      <c r="C12" s="1">
        <f>Cálculos!F4</f>
        <v>100.83325396825397</v>
      </c>
    </row>
    <row r="13" spans="1:3" ht="15.75" customHeight="1">
      <c r="A13" s="1" t="s">
        <v>69</v>
      </c>
      <c r="B13" s="1" t="s">
        <v>149</v>
      </c>
      <c r="C13" s="1">
        <f>Cálculos!F5</f>
        <v>-4</v>
      </c>
    </row>
    <row r="14" spans="1:3" ht="15.75" customHeight="1">
      <c r="A14" s="1" t="s">
        <v>80</v>
      </c>
      <c r="B14" s="1" t="s">
        <v>149</v>
      </c>
      <c r="C14" s="1">
        <f>Cálculos!F6</f>
        <v>-18.39</v>
      </c>
    </row>
    <row r="15" spans="1:3" ht="15.75" customHeight="1">
      <c r="A15" s="1" t="s">
        <v>58</v>
      </c>
      <c r="B15" s="1" t="s">
        <v>149</v>
      </c>
      <c r="C15" s="1">
        <f>Cálculos!F7</f>
        <v>-52.954761904761916</v>
      </c>
    </row>
    <row r="16" spans="1:3" ht="15.75" customHeight="1">
      <c r="A16" s="1" t="s">
        <v>92</v>
      </c>
      <c r="B16" s="1" t="s">
        <v>149</v>
      </c>
      <c r="C16" s="1">
        <f>Cálculos!F8</f>
        <v>-34.091818181818184</v>
      </c>
    </row>
    <row r="17" spans="1:3" ht="15.75" customHeight="1">
      <c r="A17" s="1" t="s">
        <v>56</v>
      </c>
      <c r="B17" s="1" t="s">
        <v>149</v>
      </c>
      <c r="C17" s="1">
        <f>Cálculos!F9</f>
        <v>-6.2100000000000009</v>
      </c>
    </row>
    <row r="18" spans="1:3" ht="15.75" customHeight="1">
      <c r="A18" s="1" t="s">
        <v>8</v>
      </c>
      <c r="B18" s="1" t="s">
        <v>158</v>
      </c>
      <c r="C18" s="1">
        <f>Cálculos!H2</f>
        <v>26</v>
      </c>
    </row>
    <row r="19" spans="1:3" ht="15.75" customHeight="1">
      <c r="A19" s="1" t="s">
        <v>53</v>
      </c>
      <c r="B19" s="1" t="s">
        <v>158</v>
      </c>
      <c r="C19" s="1">
        <f>Cálculos!H3</f>
        <v>1</v>
      </c>
    </row>
    <row r="20" spans="1:3" ht="15.75" customHeight="1">
      <c r="A20" s="1" t="s">
        <v>64</v>
      </c>
      <c r="B20" s="1" t="s">
        <v>158</v>
      </c>
      <c r="C20" s="1">
        <f>Cálculos!H4</f>
        <v>103</v>
      </c>
    </row>
    <row r="21" spans="1:3" ht="15.75" customHeight="1">
      <c r="A21" s="1" t="s">
        <v>69</v>
      </c>
      <c r="B21" s="1" t="s">
        <v>158</v>
      </c>
      <c r="C21" s="1">
        <f>Cálculos!H5</f>
        <v>5</v>
      </c>
    </row>
    <row r="22" spans="1:3" ht="15.75" customHeight="1">
      <c r="A22" s="1" t="s">
        <v>80</v>
      </c>
      <c r="B22" s="1" t="s">
        <v>158</v>
      </c>
      <c r="C22" s="1">
        <f>Cálculos!H6</f>
        <v>24</v>
      </c>
    </row>
    <row r="23" spans="1:3" ht="15.75" customHeight="1">
      <c r="A23" s="1" t="s">
        <v>58</v>
      </c>
      <c r="B23" s="1" t="s">
        <v>158</v>
      </c>
      <c r="C23" s="1">
        <f>Cálculos!H7</f>
        <v>89</v>
      </c>
    </row>
    <row r="24" spans="1:3" ht="15.75" customHeight="1">
      <c r="A24" s="1" t="s">
        <v>92</v>
      </c>
      <c r="B24" s="1" t="s">
        <v>158</v>
      </c>
      <c r="C24" s="1">
        <f>Cálculos!H8</f>
        <v>35</v>
      </c>
    </row>
    <row r="25" spans="1:3" ht="15.75" customHeight="1">
      <c r="A25" s="1" t="s">
        <v>56</v>
      </c>
      <c r="B25" s="1" t="s">
        <v>158</v>
      </c>
      <c r="C25" s="1">
        <f>Cálculos!H9</f>
        <v>24</v>
      </c>
    </row>
    <row r="26" spans="1:3" ht="15.75" customHeight="1">
      <c r="A26" s="1" t="s">
        <v>8</v>
      </c>
      <c r="B26" s="1" t="s">
        <v>162</v>
      </c>
      <c r="C26" s="1">
        <f>Cálculos!C2</f>
        <v>2</v>
      </c>
    </row>
    <row r="27" spans="1:3" ht="15.75" customHeight="1">
      <c r="A27" s="1" t="s">
        <v>53</v>
      </c>
      <c r="B27" s="1" t="s">
        <v>162</v>
      </c>
      <c r="C27" s="1">
        <f>Cálculos!C3</f>
        <v>2</v>
      </c>
    </row>
    <row r="28" spans="1:3" ht="15.75" customHeight="1">
      <c r="A28" s="1" t="s">
        <v>64</v>
      </c>
      <c r="B28" s="1" t="s">
        <v>162</v>
      </c>
      <c r="C28" s="1">
        <f>Cálculos!C4</f>
        <v>3.1667460317460314</v>
      </c>
    </row>
    <row r="29" spans="1:3" ht="15.75" customHeight="1">
      <c r="A29" s="1" t="s">
        <v>69</v>
      </c>
      <c r="B29" s="1" t="s">
        <v>162</v>
      </c>
      <c r="C29" s="1">
        <f>Cálculos!C5</f>
        <v>1</v>
      </c>
    </row>
    <row r="30" spans="1:3" ht="15.75" customHeight="1">
      <c r="A30" s="1" t="s">
        <v>80</v>
      </c>
      <c r="B30" s="1" t="s">
        <v>162</v>
      </c>
      <c r="C30" s="1">
        <f>Cálculos!C6</f>
        <v>6.61</v>
      </c>
    </row>
    <row r="31" spans="1:3" ht="15.75" customHeight="1">
      <c r="A31" s="1" t="s">
        <v>58</v>
      </c>
      <c r="B31" s="1" t="s">
        <v>162</v>
      </c>
      <c r="C31" s="1">
        <f>Cálculos!C7</f>
        <v>29.045238095238084</v>
      </c>
    </row>
    <row r="32" spans="1:3" ht="15.75" customHeight="1">
      <c r="A32" s="1" t="s">
        <v>92</v>
      </c>
      <c r="B32" s="1" t="s">
        <v>162</v>
      </c>
      <c r="C32" s="1">
        <f>Cálculos!C8</f>
        <v>1.9081818181818182</v>
      </c>
    </row>
    <row r="33" spans="1:3" ht="15.75" customHeight="1">
      <c r="A33" s="1" t="s">
        <v>56</v>
      </c>
      <c r="B33" s="1" t="s">
        <v>162</v>
      </c>
      <c r="C33" s="1">
        <f>Cálculos!C9</f>
        <v>9.7899999999999991</v>
      </c>
    </row>
  </sheetData>
  <autoFilter ref="A1:C33" xr:uid="{00000000-0009-0000-0000-000005000000}"/>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052"/>
  <sheetViews>
    <sheetView workbookViewId="0"/>
  </sheetViews>
  <sheetFormatPr baseColWidth="10" defaultColWidth="12.6640625" defaultRowHeight="15.75" customHeight="1"/>
  <cols>
    <col min="1" max="1" width="25.83203125" customWidth="1"/>
    <col min="3" max="3" width="18.5" customWidth="1"/>
    <col min="4" max="4" width="32.33203125" customWidth="1"/>
  </cols>
  <sheetData>
    <row r="1" spans="1:5" ht="15.75" customHeight="1">
      <c r="A1" s="42" t="s">
        <v>0</v>
      </c>
      <c r="B1" s="42" t="s">
        <v>18</v>
      </c>
      <c r="C1" s="1" t="s">
        <v>47</v>
      </c>
      <c r="D1" s="1" t="s">
        <v>186</v>
      </c>
      <c r="E1" s="1" t="s">
        <v>188</v>
      </c>
    </row>
    <row r="2" spans="1:5" ht="15.75" customHeight="1">
      <c r="A2" s="43" t="s">
        <v>192</v>
      </c>
      <c r="B2" s="12" t="s">
        <v>194</v>
      </c>
      <c r="C2" s="1">
        <v>1</v>
      </c>
      <c r="D2" s="1" t="str">
        <f t="shared" ref="D2:D256" si="0">A2&amp;B2</f>
        <v>AfricaAfrica do Sul</v>
      </c>
      <c r="E2" s="1">
        <f t="shared" ref="E2:E256" si="1">C2</f>
        <v>1</v>
      </c>
    </row>
    <row r="3" spans="1:5" ht="15.75" customHeight="1">
      <c r="A3" s="43" t="s">
        <v>192</v>
      </c>
      <c r="B3" s="22" t="s">
        <v>61</v>
      </c>
      <c r="C3" s="1">
        <v>2</v>
      </c>
      <c r="D3" s="1" t="str">
        <f t="shared" si="0"/>
        <v>AfricaAngola</v>
      </c>
      <c r="E3" s="1">
        <f t="shared" si="1"/>
        <v>2</v>
      </c>
    </row>
    <row r="4" spans="1:5" ht="15.75" customHeight="1">
      <c r="A4" s="43" t="s">
        <v>192</v>
      </c>
      <c r="B4" s="12" t="s">
        <v>66</v>
      </c>
      <c r="C4" s="1">
        <v>3</v>
      </c>
      <c r="D4" s="1" t="str">
        <f t="shared" si="0"/>
        <v>AfricaArgélia</v>
      </c>
      <c r="E4" s="1">
        <f t="shared" si="1"/>
        <v>3</v>
      </c>
    </row>
    <row r="5" spans="1:5" ht="15.75" customHeight="1">
      <c r="A5" s="43" t="s">
        <v>192</v>
      </c>
      <c r="B5" s="22" t="s">
        <v>68</v>
      </c>
      <c r="C5" s="1">
        <v>4</v>
      </c>
      <c r="D5" s="1" t="str">
        <f t="shared" si="0"/>
        <v>AfricaBenim</v>
      </c>
      <c r="E5" s="1">
        <f t="shared" si="1"/>
        <v>4</v>
      </c>
    </row>
    <row r="6" spans="1:5" ht="15.75" customHeight="1">
      <c r="A6" s="43" t="s">
        <v>192</v>
      </c>
      <c r="B6" s="12" t="s">
        <v>70</v>
      </c>
      <c r="C6" s="1">
        <v>5</v>
      </c>
      <c r="D6" s="1" t="str">
        <f t="shared" si="0"/>
        <v>AfricaBotswana</v>
      </c>
      <c r="E6" s="1">
        <f t="shared" si="1"/>
        <v>5</v>
      </c>
    </row>
    <row r="7" spans="1:5" ht="15.75" customHeight="1">
      <c r="A7" s="43" t="s">
        <v>192</v>
      </c>
      <c r="B7" s="22" t="s">
        <v>79</v>
      </c>
      <c r="C7" s="1">
        <v>6</v>
      </c>
      <c r="D7" s="1" t="str">
        <f t="shared" si="0"/>
        <v>AfricaBurkina Faso</v>
      </c>
      <c r="E7" s="1">
        <f t="shared" si="1"/>
        <v>6</v>
      </c>
    </row>
    <row r="8" spans="1:5" ht="15.75" customHeight="1">
      <c r="A8" s="43" t="s">
        <v>192</v>
      </c>
      <c r="B8" s="12" t="s">
        <v>81</v>
      </c>
      <c r="C8" s="1">
        <v>7</v>
      </c>
      <c r="D8" s="1" t="str">
        <f t="shared" si="0"/>
        <v>AfricaBurundi</v>
      </c>
      <c r="E8" s="1">
        <f t="shared" si="1"/>
        <v>7</v>
      </c>
    </row>
    <row r="9" spans="1:5" ht="15.75" customHeight="1">
      <c r="A9" s="43" t="s">
        <v>192</v>
      </c>
      <c r="B9" s="22" t="s">
        <v>83</v>
      </c>
      <c r="C9" s="1">
        <v>8</v>
      </c>
      <c r="D9" s="1" t="str">
        <f t="shared" si="0"/>
        <v>AfricaCabo Verde</v>
      </c>
      <c r="E9" s="1">
        <f t="shared" si="1"/>
        <v>8</v>
      </c>
    </row>
    <row r="10" spans="1:5" ht="15.75" customHeight="1">
      <c r="A10" s="43" t="s">
        <v>192</v>
      </c>
      <c r="B10" s="12" t="s">
        <v>84</v>
      </c>
      <c r="C10" s="1">
        <v>9</v>
      </c>
      <c r="D10" s="1" t="str">
        <f t="shared" si="0"/>
        <v>AfricaCamarões</v>
      </c>
      <c r="E10" s="1">
        <f t="shared" si="1"/>
        <v>9</v>
      </c>
    </row>
    <row r="11" spans="1:5" ht="15.75" customHeight="1">
      <c r="A11" s="43" t="s">
        <v>192</v>
      </c>
      <c r="B11" s="22" t="s">
        <v>91</v>
      </c>
      <c r="C11" s="1">
        <v>10</v>
      </c>
      <c r="D11" s="1" t="str">
        <f t="shared" si="0"/>
        <v>AfricaChade</v>
      </c>
      <c r="E11" s="1">
        <f t="shared" si="1"/>
        <v>10</v>
      </c>
    </row>
    <row r="12" spans="1:5" ht="15.75" customHeight="1">
      <c r="A12" s="43" t="s">
        <v>192</v>
      </c>
      <c r="B12" s="12" t="s">
        <v>93</v>
      </c>
      <c r="C12" s="1">
        <v>11</v>
      </c>
      <c r="D12" s="1" t="str">
        <f t="shared" si="0"/>
        <v>AfricaComores</v>
      </c>
      <c r="E12" s="1">
        <f t="shared" si="1"/>
        <v>11</v>
      </c>
    </row>
    <row r="13" spans="1:5" ht="15.75" customHeight="1">
      <c r="A13" s="43" t="s">
        <v>192</v>
      </c>
      <c r="B13" s="22" t="s">
        <v>97</v>
      </c>
      <c r="C13" s="1">
        <v>12</v>
      </c>
      <c r="D13" s="1" t="str">
        <f t="shared" si="0"/>
        <v>AfricaCosta do Marfim</v>
      </c>
      <c r="E13" s="1">
        <f t="shared" si="1"/>
        <v>12</v>
      </c>
    </row>
    <row r="14" spans="1:5" ht="15.75" customHeight="1">
      <c r="A14" s="43" t="s">
        <v>192</v>
      </c>
      <c r="B14" s="12" t="s">
        <v>100</v>
      </c>
      <c r="C14" s="1">
        <v>13</v>
      </c>
      <c r="D14" s="1" t="str">
        <f t="shared" si="0"/>
        <v>AfricaDjibouti</v>
      </c>
      <c r="E14" s="1">
        <f t="shared" si="1"/>
        <v>13</v>
      </c>
    </row>
    <row r="15" spans="1:5" ht="15.75" customHeight="1">
      <c r="A15" s="43" t="s">
        <v>192</v>
      </c>
      <c r="B15" s="22" t="s">
        <v>101</v>
      </c>
      <c r="C15" s="1">
        <v>14</v>
      </c>
      <c r="D15" s="1" t="str">
        <f t="shared" si="0"/>
        <v>AfricaEgito</v>
      </c>
      <c r="E15" s="1">
        <f t="shared" si="1"/>
        <v>14</v>
      </c>
    </row>
    <row r="16" spans="1:5" ht="15.75" customHeight="1">
      <c r="A16" s="43" t="s">
        <v>192</v>
      </c>
      <c r="B16" s="12" t="s">
        <v>105</v>
      </c>
      <c r="C16" s="1">
        <v>15</v>
      </c>
      <c r="D16" s="1" t="str">
        <f t="shared" si="0"/>
        <v>AfricaEritreia</v>
      </c>
      <c r="E16" s="1">
        <f t="shared" si="1"/>
        <v>15</v>
      </c>
    </row>
    <row r="17" spans="1:5" ht="15.75" customHeight="1">
      <c r="A17" s="43" t="s">
        <v>192</v>
      </c>
      <c r="B17" s="22" t="s">
        <v>111</v>
      </c>
      <c r="C17" s="1">
        <v>16</v>
      </c>
      <c r="D17" s="1" t="str">
        <f t="shared" si="0"/>
        <v>AfricaEtiópia</v>
      </c>
      <c r="E17" s="1">
        <f t="shared" si="1"/>
        <v>16</v>
      </c>
    </row>
    <row r="18" spans="1:5" ht="15.75" customHeight="1">
      <c r="A18" s="43" t="s">
        <v>192</v>
      </c>
      <c r="B18" s="12" t="s">
        <v>112</v>
      </c>
      <c r="C18" s="1">
        <v>17</v>
      </c>
      <c r="D18" s="1" t="str">
        <f t="shared" si="0"/>
        <v>AfricaGabão</v>
      </c>
      <c r="E18" s="1">
        <f t="shared" si="1"/>
        <v>17</v>
      </c>
    </row>
    <row r="19" spans="1:5" ht="15.75" customHeight="1">
      <c r="A19" s="43" t="s">
        <v>192</v>
      </c>
      <c r="B19" s="22" t="s">
        <v>114</v>
      </c>
      <c r="C19" s="1">
        <v>18</v>
      </c>
      <c r="D19" s="1" t="str">
        <f t="shared" si="0"/>
        <v>AfricaGâmbia</v>
      </c>
      <c r="E19" s="1">
        <f t="shared" si="1"/>
        <v>18</v>
      </c>
    </row>
    <row r="20" spans="1:5" ht="15.75" customHeight="1">
      <c r="A20" s="43" t="s">
        <v>192</v>
      </c>
      <c r="B20" s="12" t="s">
        <v>118</v>
      </c>
      <c r="C20" s="1">
        <v>19</v>
      </c>
      <c r="D20" s="1" t="str">
        <f t="shared" si="0"/>
        <v>AfricaGana</v>
      </c>
      <c r="E20" s="1">
        <f t="shared" si="1"/>
        <v>19</v>
      </c>
    </row>
    <row r="21" spans="1:5" ht="15.75" customHeight="1">
      <c r="A21" s="43" t="s">
        <v>192</v>
      </c>
      <c r="B21" s="22" t="s">
        <v>119</v>
      </c>
      <c r="C21" s="1">
        <v>20</v>
      </c>
      <c r="D21" s="1" t="str">
        <f t="shared" si="0"/>
        <v>AfricaGuiné</v>
      </c>
      <c r="E21" s="1">
        <f t="shared" si="1"/>
        <v>20</v>
      </c>
    </row>
    <row r="22" spans="1:5" ht="15.75" customHeight="1">
      <c r="A22" s="43" t="s">
        <v>192</v>
      </c>
      <c r="B22" s="12" t="s">
        <v>120</v>
      </c>
      <c r="C22" s="1">
        <v>21</v>
      </c>
      <c r="D22" s="1" t="str">
        <f t="shared" si="0"/>
        <v>AfricaGuiné Bissau</v>
      </c>
      <c r="E22" s="1">
        <f t="shared" si="1"/>
        <v>21</v>
      </c>
    </row>
    <row r="23" spans="1:5" ht="15.75" customHeight="1">
      <c r="A23" s="43" t="s">
        <v>192</v>
      </c>
      <c r="B23" s="22" t="s">
        <v>124</v>
      </c>
      <c r="C23" s="1">
        <v>22</v>
      </c>
      <c r="D23" s="1" t="str">
        <f t="shared" si="0"/>
        <v>AfricaGuiné Equatorial</v>
      </c>
      <c r="E23" s="1">
        <f t="shared" si="1"/>
        <v>22</v>
      </c>
    </row>
    <row r="24" spans="1:5" ht="15.75" customHeight="1">
      <c r="A24" s="43" t="s">
        <v>192</v>
      </c>
      <c r="B24" s="12" t="s">
        <v>128</v>
      </c>
      <c r="C24" s="1">
        <v>23</v>
      </c>
      <c r="D24" s="1" t="str">
        <f t="shared" si="0"/>
        <v>AfricaLesoto</v>
      </c>
      <c r="E24" s="1">
        <f t="shared" si="1"/>
        <v>23</v>
      </c>
    </row>
    <row r="25" spans="1:5" ht="15.75" customHeight="1">
      <c r="A25" s="43" t="s">
        <v>192</v>
      </c>
      <c r="B25" s="22" t="s">
        <v>131</v>
      </c>
      <c r="C25" s="1">
        <v>24</v>
      </c>
      <c r="D25" s="1" t="str">
        <f t="shared" si="0"/>
        <v>AfricaLibéria</v>
      </c>
      <c r="E25" s="1">
        <f t="shared" si="1"/>
        <v>24</v>
      </c>
    </row>
    <row r="26" spans="1:5" ht="15.75" customHeight="1">
      <c r="A26" s="43" t="s">
        <v>192</v>
      </c>
      <c r="B26" s="12" t="s">
        <v>135</v>
      </c>
      <c r="C26" s="1">
        <v>25</v>
      </c>
      <c r="D26" s="1" t="str">
        <f t="shared" si="0"/>
        <v>AfricaLíbia</v>
      </c>
      <c r="E26" s="1">
        <f t="shared" si="1"/>
        <v>25</v>
      </c>
    </row>
    <row r="27" spans="1:5" ht="15.75" customHeight="1">
      <c r="A27" s="43" t="s">
        <v>192</v>
      </c>
      <c r="B27" s="22" t="s">
        <v>211</v>
      </c>
      <c r="C27" s="1">
        <v>26</v>
      </c>
      <c r="D27" s="1" t="str">
        <f t="shared" si="0"/>
        <v>AfricaMadagascar</v>
      </c>
      <c r="E27" s="1">
        <f t="shared" si="1"/>
        <v>26</v>
      </c>
    </row>
    <row r="28" spans="1:5" ht="15.75" customHeight="1">
      <c r="A28" s="43" t="s">
        <v>192</v>
      </c>
      <c r="B28" s="12" t="s">
        <v>144</v>
      </c>
      <c r="C28" s="1">
        <v>27</v>
      </c>
      <c r="D28" s="1" t="str">
        <f t="shared" si="0"/>
        <v>AfricaMalawi</v>
      </c>
      <c r="E28" s="1">
        <f t="shared" si="1"/>
        <v>27</v>
      </c>
    </row>
    <row r="29" spans="1:5" ht="15.75" customHeight="1">
      <c r="A29" s="43" t="s">
        <v>192</v>
      </c>
      <c r="B29" s="22" t="s">
        <v>145</v>
      </c>
      <c r="C29" s="1">
        <v>28</v>
      </c>
      <c r="D29" s="1" t="str">
        <f t="shared" si="0"/>
        <v>AfricaMali</v>
      </c>
      <c r="E29" s="1">
        <f t="shared" si="1"/>
        <v>28</v>
      </c>
    </row>
    <row r="30" spans="1:5" ht="15.75" customHeight="1">
      <c r="A30" s="43" t="s">
        <v>192</v>
      </c>
      <c r="B30" s="12" t="s">
        <v>151</v>
      </c>
      <c r="C30" s="1">
        <v>29</v>
      </c>
      <c r="D30" s="1" t="str">
        <f t="shared" si="0"/>
        <v>AfricaMarrocos</v>
      </c>
      <c r="E30" s="1">
        <f t="shared" si="1"/>
        <v>29</v>
      </c>
    </row>
    <row r="31" spans="1:5" ht="15.75" customHeight="1">
      <c r="A31" s="43" t="s">
        <v>192</v>
      </c>
      <c r="B31" s="22" t="s">
        <v>153</v>
      </c>
      <c r="C31" s="1">
        <v>30</v>
      </c>
      <c r="D31" s="1" t="str">
        <f t="shared" si="0"/>
        <v>AfricaMaurícia</v>
      </c>
      <c r="E31" s="1">
        <f t="shared" si="1"/>
        <v>30</v>
      </c>
    </row>
    <row r="32" spans="1:5" ht="15.75" customHeight="1">
      <c r="A32" s="43" t="s">
        <v>192</v>
      </c>
      <c r="B32" s="12" t="s">
        <v>157</v>
      </c>
      <c r="C32" s="1">
        <v>31</v>
      </c>
      <c r="D32" s="1" t="str">
        <f t="shared" si="0"/>
        <v>AfricaMauritânia</v>
      </c>
      <c r="E32" s="1">
        <f t="shared" si="1"/>
        <v>31</v>
      </c>
    </row>
    <row r="33" spans="1:5" ht="15.75" customHeight="1">
      <c r="A33" s="43" t="s">
        <v>192</v>
      </c>
      <c r="B33" s="22" t="s">
        <v>160</v>
      </c>
      <c r="C33" s="1">
        <v>32</v>
      </c>
      <c r="D33" s="1" t="str">
        <f t="shared" si="0"/>
        <v>AfricaMoçambique</v>
      </c>
      <c r="E33" s="1">
        <f t="shared" si="1"/>
        <v>32</v>
      </c>
    </row>
    <row r="34" spans="1:5" ht="15.75" customHeight="1">
      <c r="A34" s="43" t="s">
        <v>192</v>
      </c>
      <c r="B34" s="12" t="s">
        <v>161</v>
      </c>
      <c r="C34" s="1">
        <v>33</v>
      </c>
      <c r="D34" s="1" t="str">
        <f t="shared" si="0"/>
        <v>AfricaNamíbia</v>
      </c>
      <c r="E34" s="1">
        <f t="shared" si="1"/>
        <v>33</v>
      </c>
    </row>
    <row r="35" spans="1:5" ht="15.75" customHeight="1">
      <c r="A35" s="43" t="s">
        <v>192</v>
      </c>
      <c r="B35" s="22" t="s">
        <v>164</v>
      </c>
      <c r="C35" s="1">
        <v>34</v>
      </c>
      <c r="D35" s="1" t="str">
        <f t="shared" si="0"/>
        <v>AfricaNíger</v>
      </c>
      <c r="E35" s="1">
        <f t="shared" si="1"/>
        <v>34</v>
      </c>
    </row>
    <row r="36" spans="1:5" ht="15.75" customHeight="1">
      <c r="A36" s="43" t="s">
        <v>192</v>
      </c>
      <c r="B36" s="12" t="s">
        <v>168</v>
      </c>
      <c r="C36" s="1">
        <v>35</v>
      </c>
      <c r="D36" s="1" t="str">
        <f t="shared" si="0"/>
        <v>AfricaNigéria</v>
      </c>
      <c r="E36" s="1">
        <f t="shared" si="1"/>
        <v>35</v>
      </c>
    </row>
    <row r="37" spans="1:5" ht="15.75" customHeight="1">
      <c r="A37" s="43" t="s">
        <v>192</v>
      </c>
      <c r="B37" s="22" t="s">
        <v>171</v>
      </c>
      <c r="C37" s="1">
        <v>36</v>
      </c>
      <c r="D37" s="1" t="str">
        <f t="shared" si="0"/>
        <v>AfricaQuênia</v>
      </c>
      <c r="E37" s="1">
        <f t="shared" si="1"/>
        <v>36</v>
      </c>
    </row>
    <row r="38" spans="1:5" ht="15.75" customHeight="1">
      <c r="A38" s="43" t="s">
        <v>192</v>
      </c>
      <c r="B38" s="12" t="s">
        <v>172</v>
      </c>
      <c r="C38" s="1">
        <v>37</v>
      </c>
      <c r="D38" s="1" t="str">
        <f t="shared" si="0"/>
        <v>AfricaRepública Centro-Africana</v>
      </c>
      <c r="E38" s="1">
        <f t="shared" si="1"/>
        <v>37</v>
      </c>
    </row>
    <row r="39" spans="1:5" ht="15.75" customHeight="1">
      <c r="A39" s="43" t="s">
        <v>192</v>
      </c>
      <c r="B39" s="22" t="s">
        <v>173</v>
      </c>
      <c r="C39" s="1">
        <v>38</v>
      </c>
      <c r="D39" s="1" t="str">
        <f t="shared" si="0"/>
        <v>AfricaRepública Democrática do Congo</v>
      </c>
      <c r="E39" s="1">
        <f t="shared" si="1"/>
        <v>38</v>
      </c>
    </row>
    <row r="40" spans="1:5" ht="15.75" customHeight="1">
      <c r="A40" s="43" t="s">
        <v>192</v>
      </c>
      <c r="B40" s="12" t="s">
        <v>174</v>
      </c>
      <c r="C40" s="1">
        <v>39</v>
      </c>
      <c r="D40" s="1" t="str">
        <f t="shared" si="0"/>
        <v>AfricaRepública do Congo</v>
      </c>
      <c r="E40" s="1">
        <f t="shared" si="1"/>
        <v>39</v>
      </c>
    </row>
    <row r="41" spans="1:5" ht="15.75" customHeight="1">
      <c r="A41" s="43" t="s">
        <v>192</v>
      </c>
      <c r="B41" s="22" t="s">
        <v>175</v>
      </c>
      <c r="C41" s="1">
        <v>40</v>
      </c>
      <c r="D41" s="1" t="str">
        <f t="shared" si="0"/>
        <v>AfricaRuanda</v>
      </c>
      <c r="E41" s="1">
        <f t="shared" si="1"/>
        <v>40</v>
      </c>
    </row>
    <row r="42" spans="1:5" ht="15.75" customHeight="1">
      <c r="A42" s="43" t="s">
        <v>192</v>
      </c>
      <c r="B42" s="12" t="s">
        <v>179</v>
      </c>
      <c r="C42" s="1">
        <v>41</v>
      </c>
      <c r="D42" s="1" t="str">
        <f t="shared" si="0"/>
        <v>AfricaSão Tomé e Príncipe</v>
      </c>
      <c r="E42" s="1">
        <f t="shared" si="1"/>
        <v>41</v>
      </c>
    </row>
    <row r="43" spans="1:5" ht="15.75" customHeight="1">
      <c r="A43" s="43" t="s">
        <v>192</v>
      </c>
      <c r="B43" s="22" t="s">
        <v>184</v>
      </c>
      <c r="C43" s="1">
        <v>42</v>
      </c>
      <c r="D43" s="1" t="str">
        <f t="shared" si="0"/>
        <v>AfricaSeicheles</v>
      </c>
      <c r="E43" s="1">
        <f t="shared" si="1"/>
        <v>42</v>
      </c>
    </row>
    <row r="44" spans="1:5" ht="15.75" customHeight="1">
      <c r="A44" s="43" t="s">
        <v>192</v>
      </c>
      <c r="B44" s="12" t="s">
        <v>185</v>
      </c>
      <c r="C44" s="1">
        <v>43</v>
      </c>
      <c r="D44" s="1" t="str">
        <f t="shared" si="0"/>
        <v>AfricaSenegal</v>
      </c>
      <c r="E44" s="1">
        <f t="shared" si="1"/>
        <v>43</v>
      </c>
    </row>
    <row r="45" spans="1:5" ht="15.75" customHeight="1">
      <c r="A45" s="43" t="s">
        <v>192</v>
      </c>
      <c r="B45" s="22" t="s">
        <v>191</v>
      </c>
      <c r="C45" s="1">
        <v>44</v>
      </c>
      <c r="D45" s="1" t="str">
        <f t="shared" si="0"/>
        <v>AfricaSerra Leoa</v>
      </c>
      <c r="E45" s="1">
        <f t="shared" si="1"/>
        <v>44</v>
      </c>
    </row>
    <row r="46" spans="1:5" ht="15.75" customHeight="1">
      <c r="A46" s="43" t="s">
        <v>192</v>
      </c>
      <c r="B46" s="12" t="s">
        <v>196</v>
      </c>
      <c r="C46" s="1">
        <v>45</v>
      </c>
      <c r="D46" s="1" t="str">
        <f t="shared" si="0"/>
        <v>AfricaSomália</v>
      </c>
      <c r="E46" s="1">
        <f t="shared" si="1"/>
        <v>45</v>
      </c>
    </row>
    <row r="47" spans="1:5" ht="15.75" customHeight="1">
      <c r="A47" s="43" t="s">
        <v>192</v>
      </c>
      <c r="B47" s="22" t="s">
        <v>197</v>
      </c>
      <c r="C47" s="1">
        <v>46</v>
      </c>
      <c r="D47" s="1" t="str">
        <f t="shared" si="0"/>
        <v>AfricaSuazilândia</v>
      </c>
      <c r="E47" s="1">
        <f t="shared" si="1"/>
        <v>46</v>
      </c>
    </row>
    <row r="48" spans="1:5" ht="15.75" customHeight="1">
      <c r="A48" s="43" t="s">
        <v>192</v>
      </c>
      <c r="B48" s="12" t="s">
        <v>198</v>
      </c>
      <c r="C48" s="1">
        <v>47</v>
      </c>
      <c r="D48" s="1" t="str">
        <f t="shared" si="0"/>
        <v>AfricaSudão</v>
      </c>
      <c r="E48" s="1">
        <f t="shared" si="1"/>
        <v>47</v>
      </c>
    </row>
    <row r="49" spans="1:5" ht="15.75" customHeight="1">
      <c r="A49" s="43" t="s">
        <v>192</v>
      </c>
      <c r="B49" s="22" t="s">
        <v>200</v>
      </c>
      <c r="C49" s="1">
        <v>48</v>
      </c>
      <c r="D49" s="1" t="str">
        <f t="shared" si="0"/>
        <v>AfricaSudão do Sul</v>
      </c>
      <c r="E49" s="1">
        <f t="shared" si="1"/>
        <v>48</v>
      </c>
    </row>
    <row r="50" spans="1:5" ht="15.75" customHeight="1">
      <c r="A50" s="43" t="s">
        <v>192</v>
      </c>
      <c r="B50" s="12" t="s">
        <v>205</v>
      </c>
      <c r="C50" s="1">
        <v>49</v>
      </c>
      <c r="D50" s="1" t="str">
        <f t="shared" si="0"/>
        <v>AfricaTanzânia</v>
      </c>
      <c r="E50" s="1">
        <f t="shared" si="1"/>
        <v>49</v>
      </c>
    </row>
    <row r="51" spans="1:5" ht="15.75" customHeight="1">
      <c r="A51" s="43" t="s">
        <v>192</v>
      </c>
      <c r="B51" s="22" t="s">
        <v>206</v>
      </c>
      <c r="C51" s="1">
        <v>50</v>
      </c>
      <c r="D51" s="1" t="str">
        <f t="shared" si="0"/>
        <v>AfricaTogo</v>
      </c>
      <c r="E51" s="1">
        <f t="shared" si="1"/>
        <v>50</v>
      </c>
    </row>
    <row r="52" spans="1:5" ht="15.75" customHeight="1">
      <c r="A52" s="43" t="s">
        <v>192</v>
      </c>
      <c r="B52" s="12" t="s">
        <v>208</v>
      </c>
      <c r="C52" s="1">
        <v>51</v>
      </c>
      <c r="D52" s="1" t="str">
        <f t="shared" si="0"/>
        <v>AfricaTunísia</v>
      </c>
      <c r="E52" s="1">
        <f t="shared" si="1"/>
        <v>51</v>
      </c>
    </row>
    <row r="53" spans="1:5" ht="15.75" customHeight="1">
      <c r="A53" s="43" t="s">
        <v>192</v>
      </c>
      <c r="B53" s="22" t="s">
        <v>210</v>
      </c>
      <c r="C53" s="1">
        <v>52</v>
      </c>
      <c r="D53" s="1" t="str">
        <f t="shared" si="0"/>
        <v>AfricaTurquia</v>
      </c>
      <c r="E53" s="1">
        <f t="shared" si="1"/>
        <v>52</v>
      </c>
    </row>
    <row r="54" spans="1:5" ht="15.75" customHeight="1">
      <c r="A54" s="43" t="s">
        <v>192</v>
      </c>
      <c r="B54" s="12" t="s">
        <v>212</v>
      </c>
      <c r="C54" s="1">
        <v>53</v>
      </c>
      <c r="D54" s="1" t="str">
        <f t="shared" si="0"/>
        <v>AfricaUganda</v>
      </c>
      <c r="E54" s="1">
        <f t="shared" si="1"/>
        <v>53</v>
      </c>
    </row>
    <row r="55" spans="1:5" ht="15.75" customHeight="1">
      <c r="A55" s="43" t="s">
        <v>192</v>
      </c>
      <c r="B55" s="22" t="s">
        <v>214</v>
      </c>
      <c r="C55" s="1">
        <v>54</v>
      </c>
      <c r="D55" s="1" t="str">
        <f t="shared" si="0"/>
        <v>AfricaZâmbia</v>
      </c>
      <c r="E55" s="1">
        <f t="shared" si="1"/>
        <v>54</v>
      </c>
    </row>
    <row r="56" spans="1:5" ht="15.75" customHeight="1">
      <c r="A56" s="43" t="s">
        <v>192</v>
      </c>
      <c r="B56" s="12" t="s">
        <v>219</v>
      </c>
      <c r="C56" s="1">
        <v>55</v>
      </c>
      <c r="D56" s="1" t="str">
        <f t="shared" si="0"/>
        <v>AfricaZimbabwe</v>
      </c>
      <c r="E56" s="1">
        <f t="shared" si="1"/>
        <v>55</v>
      </c>
    </row>
    <row r="57" spans="1:5" ht="15.75" customHeight="1">
      <c r="A57" s="22" t="s">
        <v>64</v>
      </c>
      <c r="B57" s="22" t="s">
        <v>73</v>
      </c>
      <c r="C57" s="1">
        <v>56</v>
      </c>
      <c r="D57" s="1" t="str">
        <f t="shared" si="0"/>
        <v>América do NorteEUA</v>
      </c>
      <c r="E57" s="1">
        <f t="shared" si="1"/>
        <v>56</v>
      </c>
    </row>
    <row r="58" spans="1:5" ht="15.75" customHeight="1">
      <c r="A58" s="12" t="s">
        <v>58</v>
      </c>
      <c r="B58" s="12" t="s">
        <v>60</v>
      </c>
      <c r="C58" s="1">
        <v>57</v>
      </c>
      <c r="D58" s="1" t="str">
        <f t="shared" si="0"/>
        <v>EuropaUnião Europeia</v>
      </c>
      <c r="E58" s="1">
        <f t="shared" si="1"/>
        <v>57</v>
      </c>
    </row>
    <row r="59" spans="1:5" ht="15.75" customHeight="1">
      <c r="A59" s="22" t="s">
        <v>58</v>
      </c>
      <c r="B59" s="22" t="s">
        <v>95</v>
      </c>
      <c r="C59" s="1">
        <v>58</v>
      </c>
      <c r="D59" s="1" t="str">
        <f t="shared" si="0"/>
        <v>EuropaFrança</v>
      </c>
      <c r="E59" s="1">
        <f t="shared" si="1"/>
        <v>58</v>
      </c>
    </row>
    <row r="60" spans="1:5" ht="15.75" customHeight="1">
      <c r="A60" s="12" t="s">
        <v>56</v>
      </c>
      <c r="B60" s="12" t="s">
        <v>107</v>
      </c>
      <c r="C60" s="1">
        <v>59</v>
      </c>
      <c r="D60" s="1" t="str">
        <f t="shared" si="0"/>
        <v>Organismo InternacionalUnited Nations Peacekeeping</v>
      </c>
      <c r="E60" s="1">
        <f t="shared" si="1"/>
        <v>59</v>
      </c>
    </row>
    <row r="61" spans="1:5" ht="15.75" customHeight="1">
      <c r="A61" s="22" t="s">
        <v>53</v>
      </c>
      <c r="B61" s="22" t="s">
        <v>222</v>
      </c>
      <c r="C61" s="1">
        <v>60</v>
      </c>
      <c r="D61" s="1" t="str">
        <f t="shared" si="0"/>
        <v>América CentralAntígua e Barbuda</v>
      </c>
      <c r="E61" s="1">
        <f t="shared" si="1"/>
        <v>60</v>
      </c>
    </row>
    <row r="62" spans="1:5" ht="15.75" customHeight="1">
      <c r="A62" s="12" t="s">
        <v>53</v>
      </c>
      <c r="B62" s="12" t="s">
        <v>223</v>
      </c>
      <c r="C62" s="1">
        <v>61</v>
      </c>
      <c r="D62" s="1" t="str">
        <f t="shared" si="0"/>
        <v>América CentralBahamas</v>
      </c>
      <c r="E62" s="1">
        <f t="shared" si="1"/>
        <v>61</v>
      </c>
    </row>
    <row r="63" spans="1:5" ht="15.75" customHeight="1">
      <c r="A63" s="22" t="s">
        <v>53</v>
      </c>
      <c r="B63" s="22" t="s">
        <v>228</v>
      </c>
      <c r="C63" s="1">
        <v>62</v>
      </c>
      <c r="D63" s="1" t="str">
        <f t="shared" si="0"/>
        <v>América CentralBarbados</v>
      </c>
      <c r="E63" s="1">
        <f t="shared" si="1"/>
        <v>62</v>
      </c>
    </row>
    <row r="64" spans="1:5" ht="15.75" customHeight="1">
      <c r="A64" s="12" t="s">
        <v>53</v>
      </c>
      <c r="B64" s="12" t="s">
        <v>231</v>
      </c>
      <c r="C64" s="1">
        <v>63</v>
      </c>
      <c r="D64" s="1" t="str">
        <f t="shared" si="0"/>
        <v>América CentralBelize</v>
      </c>
      <c r="E64" s="1">
        <f t="shared" si="1"/>
        <v>63</v>
      </c>
    </row>
    <row r="65" spans="1:5" ht="15.75" customHeight="1">
      <c r="A65" s="22" t="s">
        <v>53</v>
      </c>
      <c r="B65" s="22" t="s">
        <v>232</v>
      </c>
      <c r="C65" s="1">
        <v>64</v>
      </c>
      <c r="D65" s="1" t="str">
        <f t="shared" si="0"/>
        <v>América CentralCosta Rica</v>
      </c>
      <c r="E65" s="1">
        <f t="shared" si="1"/>
        <v>64</v>
      </c>
    </row>
    <row r="66" spans="1:5" ht="15.75" customHeight="1">
      <c r="A66" s="12" t="s">
        <v>53</v>
      </c>
      <c r="B66" s="12" t="s">
        <v>236</v>
      </c>
      <c r="C66" s="1">
        <v>65</v>
      </c>
      <c r="D66" s="1" t="str">
        <f t="shared" si="0"/>
        <v>América CentralCuba</v>
      </c>
      <c r="E66" s="1">
        <f t="shared" si="1"/>
        <v>65</v>
      </c>
    </row>
    <row r="67" spans="1:5" ht="15.75" customHeight="1">
      <c r="A67" s="22" t="s">
        <v>53</v>
      </c>
      <c r="B67" s="22" t="s">
        <v>237</v>
      </c>
      <c r="C67" s="1">
        <v>66</v>
      </c>
      <c r="D67" s="1" t="str">
        <f t="shared" si="0"/>
        <v>América CentralDominica</v>
      </c>
      <c r="E67" s="1">
        <f t="shared" si="1"/>
        <v>66</v>
      </c>
    </row>
    <row r="68" spans="1:5" ht="15.75" customHeight="1">
      <c r="A68" s="12" t="s">
        <v>53</v>
      </c>
      <c r="B68" s="12" t="s">
        <v>238</v>
      </c>
      <c r="C68" s="1">
        <v>67</v>
      </c>
      <c r="D68" s="1" t="str">
        <f t="shared" si="0"/>
        <v>América CentralEl Salvador</v>
      </c>
      <c r="E68" s="1">
        <f t="shared" si="1"/>
        <v>67</v>
      </c>
    </row>
    <row r="69" spans="1:5" ht="15.75" customHeight="1">
      <c r="A69" s="22" t="s">
        <v>53</v>
      </c>
      <c r="B69" s="22" t="s">
        <v>239</v>
      </c>
      <c r="C69" s="1">
        <v>68</v>
      </c>
      <c r="D69" s="1" t="str">
        <f t="shared" si="0"/>
        <v>América CentralGranada</v>
      </c>
      <c r="E69" s="1">
        <f t="shared" si="1"/>
        <v>68</v>
      </c>
    </row>
    <row r="70" spans="1:5" ht="15.75" customHeight="1">
      <c r="A70" s="12" t="s">
        <v>53</v>
      </c>
      <c r="B70" s="12" t="s">
        <v>240</v>
      </c>
      <c r="C70" s="1">
        <v>69</v>
      </c>
      <c r="D70" s="1" t="str">
        <f t="shared" si="0"/>
        <v>América CentralGuatemala</v>
      </c>
      <c r="E70" s="1">
        <f t="shared" si="1"/>
        <v>69</v>
      </c>
    </row>
    <row r="71" spans="1:5" ht="15.75" customHeight="1">
      <c r="A71" s="22" t="s">
        <v>53</v>
      </c>
      <c r="B71" s="22" t="s">
        <v>241</v>
      </c>
      <c r="C71" s="1">
        <v>70</v>
      </c>
      <c r="D71" s="1" t="str">
        <f t="shared" si="0"/>
        <v>América CentralHaiti</v>
      </c>
      <c r="E71" s="1">
        <f t="shared" si="1"/>
        <v>70</v>
      </c>
    </row>
    <row r="72" spans="1:5" ht="15.75" customHeight="1">
      <c r="A72" s="12" t="s">
        <v>53</v>
      </c>
      <c r="B72" s="12" t="s">
        <v>115</v>
      </c>
      <c r="C72" s="1">
        <v>71</v>
      </c>
      <c r="D72" s="1" t="str">
        <f t="shared" si="0"/>
        <v>América CentralHonduras</v>
      </c>
      <c r="E72" s="1">
        <f t="shared" si="1"/>
        <v>71</v>
      </c>
    </row>
    <row r="73" spans="1:5" ht="15.75" customHeight="1">
      <c r="A73" s="22" t="s">
        <v>53</v>
      </c>
      <c r="B73" s="22" t="s">
        <v>121</v>
      </c>
      <c r="C73" s="1">
        <v>72</v>
      </c>
      <c r="D73" s="1" t="str">
        <f t="shared" si="0"/>
        <v>América CentralJamaica</v>
      </c>
      <c r="E73" s="1">
        <f t="shared" si="1"/>
        <v>72</v>
      </c>
    </row>
    <row r="74" spans="1:5" ht="15.75" customHeight="1">
      <c r="A74" s="12" t="s">
        <v>53</v>
      </c>
      <c r="B74" s="12" t="s">
        <v>242</v>
      </c>
      <c r="C74" s="1">
        <v>73</v>
      </c>
      <c r="D74" s="1" t="str">
        <f t="shared" si="0"/>
        <v>América CentralNicarágua</v>
      </c>
      <c r="E74" s="1">
        <f t="shared" si="1"/>
        <v>73</v>
      </c>
    </row>
    <row r="75" spans="1:5" ht="15.75" customHeight="1">
      <c r="A75" s="22" t="s">
        <v>53</v>
      </c>
      <c r="B75" s="22" t="s">
        <v>244</v>
      </c>
      <c r="C75" s="1">
        <v>74</v>
      </c>
      <c r="D75" s="1" t="str">
        <f t="shared" si="0"/>
        <v>América CentralPanamá</v>
      </c>
      <c r="E75" s="1">
        <f t="shared" si="1"/>
        <v>74</v>
      </c>
    </row>
    <row r="76" spans="1:5" ht="15.75" customHeight="1">
      <c r="A76" s="12" t="s">
        <v>53</v>
      </c>
      <c r="B76" s="12" t="s">
        <v>245</v>
      </c>
      <c r="C76" s="1">
        <v>75</v>
      </c>
      <c r="D76" s="1" t="str">
        <f t="shared" si="0"/>
        <v>América CentralRepública Dominicana</v>
      </c>
      <c r="E76" s="1">
        <f t="shared" si="1"/>
        <v>75</v>
      </c>
    </row>
    <row r="77" spans="1:5" ht="15.75" customHeight="1">
      <c r="A77" s="22" t="s">
        <v>53</v>
      </c>
      <c r="B77" s="22" t="s">
        <v>248</v>
      </c>
      <c r="C77" s="1">
        <v>76</v>
      </c>
      <c r="D77" s="1" t="str">
        <f t="shared" si="0"/>
        <v>América CentralSanta Lúcia</v>
      </c>
      <c r="E77" s="1">
        <f t="shared" si="1"/>
        <v>76</v>
      </c>
    </row>
    <row r="78" spans="1:5" ht="15.75" customHeight="1">
      <c r="A78" s="12" t="s">
        <v>53</v>
      </c>
      <c r="B78" s="12" t="s">
        <v>249</v>
      </c>
      <c r="C78" s="1">
        <v>77</v>
      </c>
      <c r="D78" s="1" t="str">
        <f t="shared" si="0"/>
        <v>América CentralSão Cristóvão e Névis</v>
      </c>
      <c r="E78" s="1">
        <f t="shared" si="1"/>
        <v>77</v>
      </c>
    </row>
    <row r="79" spans="1:5" ht="15.75" customHeight="1">
      <c r="A79" s="22" t="s">
        <v>53</v>
      </c>
      <c r="B79" s="22" t="s">
        <v>251</v>
      </c>
      <c r="C79" s="1">
        <v>78</v>
      </c>
      <c r="D79" s="1" t="str">
        <f t="shared" si="0"/>
        <v>América CentralSão Vicente e Granadinas</v>
      </c>
      <c r="E79" s="1">
        <f t="shared" si="1"/>
        <v>78</v>
      </c>
    </row>
    <row r="80" spans="1:5" ht="15.75" customHeight="1">
      <c r="A80" s="12" t="s">
        <v>53</v>
      </c>
      <c r="B80" s="12" t="s">
        <v>253</v>
      </c>
      <c r="C80" s="1">
        <v>79</v>
      </c>
      <c r="D80" s="1" t="str">
        <f t="shared" si="0"/>
        <v>América CentralTrinidad e Tobago</v>
      </c>
      <c r="E80" s="1">
        <f t="shared" si="1"/>
        <v>79</v>
      </c>
    </row>
    <row r="81" spans="1:5" ht="15.75" customHeight="1">
      <c r="A81" s="22" t="s">
        <v>64</v>
      </c>
      <c r="B81" s="22" t="s">
        <v>103</v>
      </c>
      <c r="C81" s="1">
        <v>80</v>
      </c>
      <c r="D81" s="1" t="str">
        <f t="shared" si="0"/>
        <v>América do NorteCanadá</v>
      </c>
      <c r="E81" s="1">
        <f t="shared" si="1"/>
        <v>80</v>
      </c>
    </row>
    <row r="82" spans="1:5" ht="13">
      <c r="A82" s="12" t="s">
        <v>64</v>
      </c>
      <c r="B82" s="12" t="s">
        <v>103</v>
      </c>
      <c r="C82" s="1">
        <v>81</v>
      </c>
      <c r="D82" s="1" t="str">
        <f t="shared" si="0"/>
        <v>América do NorteCanadá</v>
      </c>
      <c r="E82" s="1">
        <f t="shared" si="1"/>
        <v>81</v>
      </c>
    </row>
    <row r="83" spans="1:5" ht="13">
      <c r="A83" s="22" t="s">
        <v>64</v>
      </c>
      <c r="B83" s="22" t="s">
        <v>103</v>
      </c>
      <c r="C83" s="1">
        <v>82</v>
      </c>
      <c r="D83" s="1" t="str">
        <f t="shared" si="0"/>
        <v>América do NorteCanadá</v>
      </c>
      <c r="E83" s="1">
        <f t="shared" si="1"/>
        <v>82</v>
      </c>
    </row>
    <row r="84" spans="1:5" ht="13">
      <c r="A84" s="12" t="s">
        <v>64</v>
      </c>
      <c r="B84" s="12" t="s">
        <v>103</v>
      </c>
      <c r="C84" s="1">
        <v>83</v>
      </c>
      <c r="D84" s="1" t="str">
        <f t="shared" si="0"/>
        <v>América do NorteCanadá</v>
      </c>
      <c r="E84" s="1">
        <f t="shared" si="1"/>
        <v>83</v>
      </c>
    </row>
    <row r="85" spans="1:5" ht="13">
      <c r="A85" s="22" t="s">
        <v>64</v>
      </c>
      <c r="B85" s="22" t="s">
        <v>103</v>
      </c>
      <c r="C85" s="1">
        <v>84</v>
      </c>
      <c r="D85" s="1" t="str">
        <f t="shared" si="0"/>
        <v>América do NorteCanadá</v>
      </c>
      <c r="E85" s="1">
        <f t="shared" si="1"/>
        <v>84</v>
      </c>
    </row>
    <row r="86" spans="1:5" ht="13">
      <c r="A86" s="12" t="s">
        <v>64</v>
      </c>
      <c r="B86" s="12" t="s">
        <v>103</v>
      </c>
      <c r="C86" s="1">
        <v>85</v>
      </c>
      <c r="D86" s="1" t="str">
        <f t="shared" si="0"/>
        <v>América do NorteCanadá</v>
      </c>
      <c r="E86" s="1">
        <f t="shared" si="1"/>
        <v>85</v>
      </c>
    </row>
    <row r="87" spans="1:5" ht="13">
      <c r="A87" s="22" t="s">
        <v>64</v>
      </c>
      <c r="B87" s="22" t="s">
        <v>73</v>
      </c>
      <c r="C87" s="1">
        <v>86</v>
      </c>
      <c r="D87" s="1" t="str">
        <f t="shared" si="0"/>
        <v>América do NorteEUA</v>
      </c>
      <c r="E87" s="1">
        <f t="shared" si="1"/>
        <v>86</v>
      </c>
    </row>
    <row r="88" spans="1:5" ht="13">
      <c r="A88" s="12" t="s">
        <v>64</v>
      </c>
      <c r="B88" s="12" t="s">
        <v>73</v>
      </c>
      <c r="C88" s="1">
        <v>87</v>
      </c>
      <c r="D88" s="1" t="str">
        <f t="shared" si="0"/>
        <v>América do NorteEUA</v>
      </c>
      <c r="E88" s="1">
        <f t="shared" si="1"/>
        <v>87</v>
      </c>
    </row>
    <row r="89" spans="1:5" ht="13">
      <c r="A89" s="22" t="s">
        <v>64</v>
      </c>
      <c r="B89" s="22" t="s">
        <v>73</v>
      </c>
      <c r="C89" s="1">
        <v>88</v>
      </c>
      <c r="D89" s="1" t="str">
        <f t="shared" si="0"/>
        <v>América do NorteEUA</v>
      </c>
      <c r="E89" s="1">
        <f t="shared" si="1"/>
        <v>88</v>
      </c>
    </row>
    <row r="90" spans="1:5" ht="13">
      <c r="A90" s="12" t="s">
        <v>64</v>
      </c>
      <c r="B90" s="12" t="s">
        <v>73</v>
      </c>
      <c r="C90" s="1">
        <v>89</v>
      </c>
      <c r="D90" s="1" t="str">
        <f t="shared" si="0"/>
        <v>América do NorteEUA</v>
      </c>
      <c r="E90" s="1">
        <f t="shared" si="1"/>
        <v>89</v>
      </c>
    </row>
    <row r="91" spans="1:5" ht="13">
      <c r="A91" s="22" t="s">
        <v>64</v>
      </c>
      <c r="B91" s="22" t="s">
        <v>73</v>
      </c>
      <c r="C91" s="1">
        <v>90</v>
      </c>
      <c r="D91" s="1" t="str">
        <f t="shared" si="0"/>
        <v>América do NorteEUA</v>
      </c>
      <c r="E91" s="1">
        <f t="shared" si="1"/>
        <v>90</v>
      </c>
    </row>
    <row r="92" spans="1:5" ht="13">
      <c r="A92" s="12" t="s">
        <v>64</v>
      </c>
      <c r="B92" s="12" t="s">
        <v>73</v>
      </c>
      <c r="C92" s="1">
        <v>91</v>
      </c>
      <c r="D92" s="1" t="str">
        <f t="shared" si="0"/>
        <v>América do NorteEUA</v>
      </c>
      <c r="E92" s="1">
        <f t="shared" si="1"/>
        <v>91</v>
      </c>
    </row>
    <row r="93" spans="1:5" ht="13">
      <c r="A93" s="22" t="s">
        <v>64</v>
      </c>
      <c r="B93" s="22" t="s">
        <v>73</v>
      </c>
      <c r="C93" s="1">
        <v>92</v>
      </c>
      <c r="D93" s="1" t="str">
        <f t="shared" si="0"/>
        <v>América do NorteEUA</v>
      </c>
      <c r="E93" s="1">
        <f t="shared" si="1"/>
        <v>92</v>
      </c>
    </row>
    <row r="94" spans="1:5" ht="13">
      <c r="A94" s="12" t="s">
        <v>64</v>
      </c>
      <c r="B94" s="12" t="s">
        <v>73</v>
      </c>
      <c r="C94" s="1">
        <v>93</v>
      </c>
      <c r="D94" s="1" t="str">
        <f t="shared" si="0"/>
        <v>América do NorteEUA</v>
      </c>
      <c r="E94" s="1">
        <f t="shared" si="1"/>
        <v>93</v>
      </c>
    </row>
    <row r="95" spans="1:5" ht="13">
      <c r="A95" s="22" t="s">
        <v>64</v>
      </c>
      <c r="B95" s="22" t="s">
        <v>73</v>
      </c>
      <c r="C95" s="1">
        <v>94</v>
      </c>
      <c r="D95" s="1" t="str">
        <f t="shared" si="0"/>
        <v>América do NorteEUA</v>
      </c>
      <c r="E95" s="1">
        <f t="shared" si="1"/>
        <v>94</v>
      </c>
    </row>
    <row r="96" spans="1:5" ht="13">
      <c r="A96" s="12" t="s">
        <v>64</v>
      </c>
      <c r="B96" s="12" t="s">
        <v>73</v>
      </c>
      <c r="C96" s="1">
        <v>95</v>
      </c>
      <c r="D96" s="1" t="str">
        <f t="shared" si="0"/>
        <v>América do NorteEUA</v>
      </c>
      <c r="E96" s="1">
        <f t="shared" si="1"/>
        <v>95</v>
      </c>
    </row>
    <row r="97" spans="1:5" ht="13">
      <c r="A97" s="22" t="s">
        <v>64</v>
      </c>
      <c r="B97" s="22" t="s">
        <v>73</v>
      </c>
      <c r="C97" s="1">
        <v>96</v>
      </c>
      <c r="D97" s="1" t="str">
        <f t="shared" si="0"/>
        <v>América do NorteEUA</v>
      </c>
      <c r="E97" s="1">
        <f t="shared" si="1"/>
        <v>96</v>
      </c>
    </row>
    <row r="98" spans="1:5" ht="13">
      <c r="A98" s="12" t="s">
        <v>64</v>
      </c>
      <c r="B98" s="12" t="s">
        <v>73</v>
      </c>
      <c r="C98" s="1">
        <v>97</v>
      </c>
      <c r="D98" s="1" t="str">
        <f t="shared" si="0"/>
        <v>América do NorteEUA</v>
      </c>
      <c r="E98" s="1">
        <f t="shared" si="1"/>
        <v>97</v>
      </c>
    </row>
    <row r="99" spans="1:5" ht="13">
      <c r="A99" s="22" t="s">
        <v>64</v>
      </c>
      <c r="B99" s="22" t="s">
        <v>73</v>
      </c>
      <c r="C99" s="1">
        <v>98</v>
      </c>
      <c r="D99" s="1" t="str">
        <f t="shared" si="0"/>
        <v>América do NorteEUA</v>
      </c>
      <c r="E99" s="1">
        <f t="shared" si="1"/>
        <v>98</v>
      </c>
    </row>
    <row r="100" spans="1:5" ht="13">
      <c r="A100" s="12" t="s">
        <v>64</v>
      </c>
      <c r="B100" s="12" t="s">
        <v>73</v>
      </c>
      <c r="C100" s="1">
        <v>99</v>
      </c>
      <c r="D100" s="1" t="str">
        <f t="shared" si="0"/>
        <v>América do NorteEUA</v>
      </c>
      <c r="E100" s="1">
        <f t="shared" si="1"/>
        <v>99</v>
      </c>
    </row>
    <row r="101" spans="1:5" ht="13">
      <c r="A101" s="22" t="s">
        <v>64</v>
      </c>
      <c r="B101" s="22" t="s">
        <v>73</v>
      </c>
      <c r="C101" s="1">
        <v>100</v>
      </c>
      <c r="D101" s="1" t="str">
        <f t="shared" si="0"/>
        <v>América do NorteEUA</v>
      </c>
      <c r="E101" s="1">
        <f t="shared" si="1"/>
        <v>100</v>
      </c>
    </row>
    <row r="102" spans="1:5" ht="13">
      <c r="A102" s="12" t="s">
        <v>64</v>
      </c>
      <c r="B102" s="12" t="s">
        <v>73</v>
      </c>
      <c r="C102" s="1">
        <v>101</v>
      </c>
      <c r="D102" s="1" t="str">
        <f t="shared" si="0"/>
        <v>América do NorteEUA</v>
      </c>
      <c r="E102" s="1">
        <f t="shared" si="1"/>
        <v>101</v>
      </c>
    </row>
    <row r="103" spans="1:5" ht="13">
      <c r="A103" s="22" t="s">
        <v>64</v>
      </c>
      <c r="B103" s="22" t="s">
        <v>73</v>
      </c>
      <c r="C103" s="1">
        <v>102</v>
      </c>
      <c r="D103" s="1" t="str">
        <f t="shared" si="0"/>
        <v>América do NorteEUA</v>
      </c>
      <c r="E103" s="1">
        <f t="shared" si="1"/>
        <v>102</v>
      </c>
    </row>
    <row r="104" spans="1:5" ht="13">
      <c r="A104" s="12" t="s">
        <v>64</v>
      </c>
      <c r="B104" s="12" t="s">
        <v>73</v>
      </c>
      <c r="C104" s="1">
        <v>103</v>
      </c>
      <c r="D104" s="1" t="str">
        <f t="shared" si="0"/>
        <v>América do NorteEUA</v>
      </c>
      <c r="E104" s="1">
        <f t="shared" si="1"/>
        <v>103</v>
      </c>
    </row>
    <row r="105" spans="1:5" ht="13">
      <c r="A105" s="22" t="s">
        <v>64</v>
      </c>
      <c r="B105" s="22" t="s">
        <v>73</v>
      </c>
      <c r="C105" s="1">
        <v>104</v>
      </c>
      <c r="D105" s="1" t="str">
        <f t="shared" si="0"/>
        <v>América do NorteEUA</v>
      </c>
      <c r="E105" s="1">
        <f t="shared" si="1"/>
        <v>104</v>
      </c>
    </row>
    <row r="106" spans="1:5" ht="13">
      <c r="A106" s="12" t="s">
        <v>64</v>
      </c>
      <c r="B106" s="12" t="s">
        <v>73</v>
      </c>
      <c r="C106" s="1">
        <v>105</v>
      </c>
      <c r="D106" s="1" t="str">
        <f t="shared" si="0"/>
        <v>América do NorteEUA</v>
      </c>
      <c r="E106" s="1">
        <f t="shared" si="1"/>
        <v>105</v>
      </c>
    </row>
    <row r="107" spans="1:5" ht="13">
      <c r="A107" s="22" t="s">
        <v>64</v>
      </c>
      <c r="B107" s="22" t="s">
        <v>267</v>
      </c>
      <c r="C107" s="1">
        <v>106</v>
      </c>
      <c r="D107" s="1" t="str">
        <f t="shared" si="0"/>
        <v>América do NorteMéxico</v>
      </c>
      <c r="E107" s="1">
        <f t="shared" si="1"/>
        <v>106</v>
      </c>
    </row>
    <row r="108" spans="1:5" ht="13">
      <c r="A108" s="12" t="s">
        <v>64</v>
      </c>
      <c r="B108" s="12" t="s">
        <v>73</v>
      </c>
      <c r="C108" s="1">
        <v>107</v>
      </c>
      <c r="D108" s="1" t="str">
        <f t="shared" si="0"/>
        <v>América do NorteEUA</v>
      </c>
      <c r="E108" s="1">
        <f t="shared" si="1"/>
        <v>107</v>
      </c>
    </row>
    <row r="109" spans="1:5" ht="13">
      <c r="A109" s="22" t="s">
        <v>64</v>
      </c>
      <c r="B109" s="22" t="s">
        <v>73</v>
      </c>
      <c r="C109" s="1">
        <v>108</v>
      </c>
      <c r="D109" s="1" t="str">
        <f t="shared" si="0"/>
        <v>América do NorteEUA</v>
      </c>
      <c r="E109" s="1">
        <f t="shared" si="1"/>
        <v>108</v>
      </c>
    </row>
    <row r="110" spans="1:5" ht="13">
      <c r="A110" s="12" t="s">
        <v>64</v>
      </c>
      <c r="B110" s="12" t="s">
        <v>73</v>
      </c>
      <c r="C110" s="1">
        <v>109</v>
      </c>
      <c r="D110" s="1" t="str">
        <f t="shared" si="0"/>
        <v>América do NorteEUA</v>
      </c>
      <c r="E110" s="1">
        <f t="shared" si="1"/>
        <v>109</v>
      </c>
    </row>
    <row r="111" spans="1:5" ht="13">
      <c r="A111" s="22" t="s">
        <v>64</v>
      </c>
      <c r="B111" s="22" t="s">
        <v>73</v>
      </c>
      <c r="C111" s="1">
        <v>110</v>
      </c>
      <c r="D111" s="1" t="str">
        <f t="shared" si="0"/>
        <v>América do NorteEUA</v>
      </c>
      <c r="E111" s="1">
        <f t="shared" si="1"/>
        <v>110</v>
      </c>
    </row>
    <row r="112" spans="1:5" ht="13">
      <c r="A112" s="12" t="s">
        <v>64</v>
      </c>
      <c r="B112" s="12" t="s">
        <v>73</v>
      </c>
      <c r="C112" s="1">
        <v>111</v>
      </c>
      <c r="D112" s="1" t="str">
        <f t="shared" si="0"/>
        <v>América do NorteEUA</v>
      </c>
      <c r="E112" s="1">
        <f t="shared" si="1"/>
        <v>111</v>
      </c>
    </row>
    <row r="113" spans="1:5" ht="13">
      <c r="A113" s="22" t="s">
        <v>64</v>
      </c>
      <c r="B113" s="22" t="s">
        <v>73</v>
      </c>
      <c r="C113" s="1">
        <v>112</v>
      </c>
      <c r="D113" s="1" t="str">
        <f t="shared" si="0"/>
        <v>América do NorteEUA</v>
      </c>
      <c r="E113" s="1">
        <f t="shared" si="1"/>
        <v>112</v>
      </c>
    </row>
    <row r="114" spans="1:5" ht="13">
      <c r="A114" s="12" t="s">
        <v>64</v>
      </c>
      <c r="B114" s="12" t="s">
        <v>73</v>
      </c>
      <c r="C114" s="1">
        <v>113</v>
      </c>
      <c r="D114" s="1" t="str">
        <f t="shared" si="0"/>
        <v>América do NorteEUA</v>
      </c>
      <c r="E114" s="1">
        <f t="shared" si="1"/>
        <v>113</v>
      </c>
    </row>
    <row r="115" spans="1:5" ht="13">
      <c r="A115" s="22" t="s">
        <v>64</v>
      </c>
      <c r="B115" s="22" t="s">
        <v>73</v>
      </c>
      <c r="C115" s="1">
        <v>114</v>
      </c>
      <c r="D115" s="1" t="str">
        <f t="shared" si="0"/>
        <v>América do NorteEUA</v>
      </c>
      <c r="E115" s="1">
        <f t="shared" si="1"/>
        <v>114</v>
      </c>
    </row>
    <row r="116" spans="1:5" ht="13">
      <c r="A116" s="12" t="s">
        <v>64</v>
      </c>
      <c r="B116" s="12" t="s">
        <v>73</v>
      </c>
      <c r="C116" s="1">
        <v>115</v>
      </c>
      <c r="D116" s="1" t="str">
        <f t="shared" si="0"/>
        <v>América do NorteEUA</v>
      </c>
      <c r="E116" s="1">
        <f t="shared" si="1"/>
        <v>115</v>
      </c>
    </row>
    <row r="117" spans="1:5" ht="13">
      <c r="A117" s="22" t="s">
        <v>64</v>
      </c>
      <c r="B117" s="22" t="s">
        <v>73</v>
      </c>
      <c r="C117" s="1">
        <v>116</v>
      </c>
      <c r="D117" s="1" t="str">
        <f t="shared" si="0"/>
        <v>América do NorteEUA</v>
      </c>
      <c r="E117" s="1">
        <f t="shared" si="1"/>
        <v>116</v>
      </c>
    </row>
    <row r="118" spans="1:5" ht="13">
      <c r="A118" s="12" t="s">
        <v>64</v>
      </c>
      <c r="B118" s="12" t="s">
        <v>73</v>
      </c>
      <c r="C118" s="1">
        <v>117</v>
      </c>
      <c r="D118" s="1" t="str">
        <f t="shared" si="0"/>
        <v>América do NorteEUA</v>
      </c>
      <c r="E118" s="1">
        <f t="shared" si="1"/>
        <v>117</v>
      </c>
    </row>
    <row r="119" spans="1:5" ht="13">
      <c r="A119" s="22" t="s">
        <v>64</v>
      </c>
      <c r="B119" s="22" t="s">
        <v>73</v>
      </c>
      <c r="C119" s="1">
        <v>118</v>
      </c>
      <c r="D119" s="1" t="str">
        <f t="shared" si="0"/>
        <v>América do NorteEUA</v>
      </c>
      <c r="E119" s="1">
        <f t="shared" si="1"/>
        <v>118</v>
      </c>
    </row>
    <row r="120" spans="1:5" ht="13">
      <c r="A120" s="12" t="s">
        <v>64</v>
      </c>
      <c r="B120" s="12" t="s">
        <v>73</v>
      </c>
      <c r="C120" s="1">
        <v>119</v>
      </c>
      <c r="D120" s="1" t="str">
        <f t="shared" si="0"/>
        <v>América do NorteEUA</v>
      </c>
      <c r="E120" s="1">
        <f t="shared" si="1"/>
        <v>119</v>
      </c>
    </row>
    <row r="121" spans="1:5" ht="13">
      <c r="A121" s="22" t="s">
        <v>64</v>
      </c>
      <c r="B121" s="22" t="s">
        <v>73</v>
      </c>
      <c r="C121" s="1">
        <v>120</v>
      </c>
      <c r="D121" s="1" t="str">
        <f t="shared" si="0"/>
        <v>América do NorteEUA</v>
      </c>
      <c r="E121" s="1">
        <f t="shared" si="1"/>
        <v>120</v>
      </c>
    </row>
    <row r="122" spans="1:5" ht="13">
      <c r="A122" s="12" t="s">
        <v>64</v>
      </c>
      <c r="B122" s="12" t="s">
        <v>73</v>
      </c>
      <c r="C122" s="1">
        <v>121</v>
      </c>
      <c r="D122" s="1" t="str">
        <f t="shared" si="0"/>
        <v>América do NorteEUA</v>
      </c>
      <c r="E122" s="1">
        <f t="shared" si="1"/>
        <v>121</v>
      </c>
    </row>
    <row r="123" spans="1:5" ht="13">
      <c r="A123" s="22" t="s">
        <v>64</v>
      </c>
      <c r="B123" s="22" t="s">
        <v>103</v>
      </c>
      <c r="C123" s="1">
        <v>122</v>
      </c>
      <c r="D123" s="1" t="str">
        <f t="shared" si="0"/>
        <v>América do NorteCanadá</v>
      </c>
      <c r="E123" s="1">
        <f t="shared" si="1"/>
        <v>122</v>
      </c>
    </row>
    <row r="124" spans="1:5" ht="13">
      <c r="A124" s="12" t="s">
        <v>64</v>
      </c>
      <c r="B124" s="12" t="s">
        <v>103</v>
      </c>
      <c r="C124" s="1">
        <v>123</v>
      </c>
      <c r="D124" s="1" t="str">
        <f t="shared" si="0"/>
        <v>América do NorteCanadá</v>
      </c>
      <c r="E124" s="1">
        <f t="shared" si="1"/>
        <v>123</v>
      </c>
    </row>
    <row r="125" spans="1:5" ht="13">
      <c r="A125" s="22" t="s">
        <v>64</v>
      </c>
      <c r="B125" s="22" t="s">
        <v>73</v>
      </c>
      <c r="C125" s="1">
        <v>124</v>
      </c>
      <c r="D125" s="1" t="str">
        <f t="shared" si="0"/>
        <v>América do NorteEUA</v>
      </c>
      <c r="E125" s="1">
        <f t="shared" si="1"/>
        <v>124</v>
      </c>
    </row>
    <row r="126" spans="1:5" ht="13">
      <c r="A126" s="12" t="s">
        <v>64</v>
      </c>
      <c r="B126" s="12" t="s">
        <v>73</v>
      </c>
      <c r="C126" s="1">
        <v>125</v>
      </c>
      <c r="D126" s="1" t="str">
        <f t="shared" si="0"/>
        <v>América do NorteEUA</v>
      </c>
      <c r="E126" s="1">
        <f t="shared" si="1"/>
        <v>125</v>
      </c>
    </row>
    <row r="127" spans="1:5" ht="13">
      <c r="A127" s="22" t="s">
        <v>64</v>
      </c>
      <c r="B127" s="45" t="s">
        <v>73</v>
      </c>
      <c r="C127" s="1">
        <v>126</v>
      </c>
      <c r="D127" s="1" t="str">
        <f t="shared" si="0"/>
        <v>América do NorteEUA</v>
      </c>
      <c r="E127" s="1">
        <f t="shared" si="1"/>
        <v>126</v>
      </c>
    </row>
    <row r="128" spans="1:5" ht="13">
      <c r="A128" s="12" t="s">
        <v>69</v>
      </c>
      <c r="B128" s="12" t="s">
        <v>273</v>
      </c>
      <c r="C128" s="1">
        <v>127</v>
      </c>
      <c r="D128" s="1" t="str">
        <f t="shared" si="0"/>
        <v>América do SulArgentina</v>
      </c>
      <c r="E128" s="1">
        <f t="shared" si="1"/>
        <v>127</v>
      </c>
    </row>
    <row r="129" spans="1:5" ht="13">
      <c r="A129" s="22" t="s">
        <v>69</v>
      </c>
      <c r="B129" s="22" t="s">
        <v>276</v>
      </c>
      <c r="C129" s="1">
        <v>128</v>
      </c>
      <c r="D129" s="1" t="str">
        <f t="shared" si="0"/>
        <v>América do SulBolívia</v>
      </c>
      <c r="E129" s="1">
        <f t="shared" si="1"/>
        <v>128</v>
      </c>
    </row>
    <row r="130" spans="1:5" ht="13">
      <c r="A130" s="12" t="s">
        <v>69</v>
      </c>
      <c r="B130" s="12" t="s">
        <v>270</v>
      </c>
      <c r="C130" s="1">
        <v>129</v>
      </c>
      <c r="D130" s="1" t="str">
        <f t="shared" si="0"/>
        <v>América do SulBrasil</v>
      </c>
      <c r="E130" s="1">
        <f t="shared" si="1"/>
        <v>129</v>
      </c>
    </row>
    <row r="131" spans="1:5" ht="13">
      <c r="A131" s="22" t="s">
        <v>69</v>
      </c>
      <c r="B131" s="22" t="s">
        <v>277</v>
      </c>
      <c r="C131" s="1">
        <v>130</v>
      </c>
      <c r="D131" s="1" t="str">
        <f t="shared" si="0"/>
        <v>América do SulChile</v>
      </c>
      <c r="E131" s="1">
        <f t="shared" si="1"/>
        <v>130</v>
      </c>
    </row>
    <row r="132" spans="1:5" ht="13">
      <c r="A132" s="12" t="s">
        <v>69</v>
      </c>
      <c r="B132" s="12" t="s">
        <v>279</v>
      </c>
      <c r="C132" s="1">
        <v>131</v>
      </c>
      <c r="D132" s="1" t="str">
        <f t="shared" si="0"/>
        <v>América do SulColômbia</v>
      </c>
      <c r="E132" s="1">
        <f t="shared" si="1"/>
        <v>131</v>
      </c>
    </row>
    <row r="133" spans="1:5" ht="13">
      <c r="A133" s="22" t="s">
        <v>69</v>
      </c>
      <c r="B133" s="22" t="s">
        <v>280</v>
      </c>
      <c r="C133" s="1">
        <v>132</v>
      </c>
      <c r="D133" s="1" t="str">
        <f t="shared" si="0"/>
        <v>América do SulEquador</v>
      </c>
      <c r="E133" s="1">
        <f t="shared" si="1"/>
        <v>132</v>
      </c>
    </row>
    <row r="134" spans="1:5" ht="13">
      <c r="A134" s="12" t="s">
        <v>69</v>
      </c>
      <c r="B134" s="12" t="s">
        <v>281</v>
      </c>
      <c r="C134" s="1">
        <v>133</v>
      </c>
      <c r="D134" s="1" t="str">
        <f t="shared" si="0"/>
        <v>América do SulGuiana</v>
      </c>
      <c r="E134" s="1">
        <f t="shared" si="1"/>
        <v>133</v>
      </c>
    </row>
    <row r="135" spans="1:5" ht="13">
      <c r="A135" s="22" t="s">
        <v>69</v>
      </c>
      <c r="B135" s="22" t="s">
        <v>282</v>
      </c>
      <c r="C135" s="1">
        <v>134</v>
      </c>
      <c r="D135" s="1" t="str">
        <f t="shared" si="0"/>
        <v>América do SulParaguai</v>
      </c>
      <c r="E135" s="1">
        <f t="shared" si="1"/>
        <v>134</v>
      </c>
    </row>
    <row r="136" spans="1:5" ht="13">
      <c r="A136" s="12" t="s">
        <v>69</v>
      </c>
      <c r="B136" s="12" t="s">
        <v>283</v>
      </c>
      <c r="C136" s="1">
        <v>135</v>
      </c>
      <c r="D136" s="1" t="str">
        <f t="shared" si="0"/>
        <v>América do SulPeru</v>
      </c>
      <c r="E136" s="1">
        <f t="shared" si="1"/>
        <v>135</v>
      </c>
    </row>
    <row r="137" spans="1:5" ht="13">
      <c r="A137" s="22" t="s">
        <v>69</v>
      </c>
      <c r="B137" s="22" t="s">
        <v>284</v>
      </c>
      <c r="C137" s="1">
        <v>136</v>
      </c>
      <c r="D137" s="1" t="str">
        <f t="shared" si="0"/>
        <v>América do SulSuriname</v>
      </c>
      <c r="E137" s="1">
        <f t="shared" si="1"/>
        <v>136</v>
      </c>
    </row>
    <row r="138" spans="1:5" ht="13">
      <c r="A138" s="12" t="s">
        <v>69</v>
      </c>
      <c r="B138" s="12" t="s">
        <v>286</v>
      </c>
      <c r="C138" s="1">
        <v>137</v>
      </c>
      <c r="D138" s="1" t="str">
        <f t="shared" si="0"/>
        <v>América do SulUruguai</v>
      </c>
      <c r="E138" s="1">
        <f t="shared" si="1"/>
        <v>137</v>
      </c>
    </row>
    <row r="139" spans="1:5" ht="13">
      <c r="A139" s="22" t="s">
        <v>69</v>
      </c>
      <c r="B139" s="22" t="s">
        <v>288</v>
      </c>
      <c r="C139" s="1">
        <v>138</v>
      </c>
      <c r="D139" s="1" t="str">
        <f t="shared" si="0"/>
        <v>América do SulVenezuela</v>
      </c>
      <c r="E139" s="1">
        <f t="shared" si="1"/>
        <v>138</v>
      </c>
    </row>
    <row r="140" spans="1:5" ht="13">
      <c r="A140" s="12" t="s">
        <v>80</v>
      </c>
      <c r="B140" s="12" t="s">
        <v>289</v>
      </c>
      <c r="C140" s="1">
        <v>139</v>
      </c>
      <c r="D140" s="1" t="str">
        <f t="shared" si="0"/>
        <v>ÁsiaAfeganistão</v>
      </c>
      <c r="E140" s="1">
        <f t="shared" si="1"/>
        <v>139</v>
      </c>
    </row>
    <row r="141" spans="1:5" ht="13">
      <c r="A141" s="22" t="s">
        <v>80</v>
      </c>
      <c r="B141" s="22" t="s">
        <v>290</v>
      </c>
      <c r="C141" s="1">
        <v>140</v>
      </c>
      <c r="D141" s="1" t="str">
        <f t="shared" si="0"/>
        <v>ÁsiaArábia Saudita</v>
      </c>
      <c r="E141" s="1">
        <f t="shared" si="1"/>
        <v>140</v>
      </c>
    </row>
    <row r="142" spans="1:5" ht="13">
      <c r="A142" s="12" t="s">
        <v>80</v>
      </c>
      <c r="B142" s="12" t="s">
        <v>292</v>
      </c>
      <c r="C142" s="1">
        <v>141</v>
      </c>
      <c r="D142" s="1" t="str">
        <f t="shared" si="0"/>
        <v>ÁsiaBahrein</v>
      </c>
      <c r="E142" s="1">
        <f t="shared" si="1"/>
        <v>141</v>
      </c>
    </row>
    <row r="143" spans="1:5" ht="13">
      <c r="A143" s="22" t="s">
        <v>80</v>
      </c>
      <c r="B143" s="22" t="s">
        <v>296</v>
      </c>
      <c r="C143" s="1">
        <v>142</v>
      </c>
      <c r="D143" s="1" t="str">
        <f t="shared" si="0"/>
        <v>ÁsiaBangladesh</v>
      </c>
      <c r="E143" s="1">
        <f t="shared" si="1"/>
        <v>142</v>
      </c>
    </row>
    <row r="144" spans="1:5" ht="13">
      <c r="A144" s="12" t="s">
        <v>80</v>
      </c>
      <c r="B144" s="12" t="s">
        <v>297</v>
      </c>
      <c r="C144" s="1">
        <v>143</v>
      </c>
      <c r="D144" s="1" t="str">
        <f t="shared" si="0"/>
        <v>ÁsiaBrunei</v>
      </c>
      <c r="E144" s="1">
        <f t="shared" si="1"/>
        <v>143</v>
      </c>
    </row>
    <row r="145" spans="1:5" ht="13">
      <c r="A145" s="22" t="s">
        <v>80</v>
      </c>
      <c r="B145" s="22" t="s">
        <v>298</v>
      </c>
      <c r="C145" s="1">
        <v>144</v>
      </c>
      <c r="D145" s="1" t="str">
        <f t="shared" si="0"/>
        <v>ÁsiaButão</v>
      </c>
      <c r="E145" s="1">
        <f t="shared" si="1"/>
        <v>144</v>
      </c>
    </row>
    <row r="146" spans="1:5" ht="13">
      <c r="A146" s="12" t="s">
        <v>80</v>
      </c>
      <c r="B146" s="12" t="s">
        <v>299</v>
      </c>
      <c r="C146" s="1">
        <v>145</v>
      </c>
      <c r="D146" s="1" t="str">
        <f t="shared" si="0"/>
        <v>ÁsiaCamboja</v>
      </c>
      <c r="E146" s="1">
        <f t="shared" si="1"/>
        <v>145</v>
      </c>
    </row>
    <row r="147" spans="1:5" ht="13">
      <c r="A147" s="22" t="s">
        <v>80</v>
      </c>
      <c r="B147" s="22" t="s">
        <v>300</v>
      </c>
      <c r="C147" s="1">
        <v>146</v>
      </c>
      <c r="D147" s="1" t="str">
        <f t="shared" si="0"/>
        <v>ÁsiaCatar</v>
      </c>
      <c r="E147" s="1">
        <f t="shared" si="1"/>
        <v>146</v>
      </c>
    </row>
    <row r="148" spans="1:5" ht="13">
      <c r="A148" s="12" t="s">
        <v>80</v>
      </c>
      <c r="B148" s="12" t="s">
        <v>301</v>
      </c>
      <c r="C148" s="1">
        <v>147</v>
      </c>
      <c r="D148" s="1" t="str">
        <f t="shared" si="0"/>
        <v>ÁsiaCazaquistão</v>
      </c>
      <c r="E148" s="1">
        <f t="shared" si="1"/>
        <v>147</v>
      </c>
    </row>
    <row r="149" spans="1:5" ht="13">
      <c r="A149" s="22" t="s">
        <v>80</v>
      </c>
      <c r="B149" s="22" t="s">
        <v>246</v>
      </c>
      <c r="C149" s="1">
        <v>148</v>
      </c>
      <c r="D149" s="1" t="str">
        <f t="shared" si="0"/>
        <v>ÁsiaChina</v>
      </c>
      <c r="E149" s="1">
        <f t="shared" si="1"/>
        <v>148</v>
      </c>
    </row>
    <row r="150" spans="1:5" ht="13">
      <c r="A150" s="12" t="s">
        <v>80</v>
      </c>
      <c r="B150" s="12" t="s">
        <v>302</v>
      </c>
      <c r="C150" s="1">
        <v>149</v>
      </c>
      <c r="D150" s="1" t="str">
        <f t="shared" si="0"/>
        <v>ÁsiaCoreia do Norte</v>
      </c>
      <c r="E150" s="1">
        <f t="shared" si="1"/>
        <v>149</v>
      </c>
    </row>
    <row r="151" spans="1:5" ht="13">
      <c r="A151" s="22" t="s">
        <v>80</v>
      </c>
      <c r="B151" s="22" t="s">
        <v>303</v>
      </c>
      <c r="C151" s="1">
        <v>150</v>
      </c>
      <c r="D151" s="1" t="str">
        <f t="shared" si="0"/>
        <v>ÁsiaCoreia do Sul</v>
      </c>
      <c r="E151" s="1">
        <f t="shared" si="1"/>
        <v>150</v>
      </c>
    </row>
    <row r="152" spans="1:5" ht="13">
      <c r="A152" s="12" t="s">
        <v>80</v>
      </c>
      <c r="B152" s="12" t="s">
        <v>304</v>
      </c>
      <c r="C152" s="1">
        <v>151</v>
      </c>
      <c r="D152" s="1" t="str">
        <f t="shared" si="0"/>
        <v>ÁsiaEmirados Árabes Unidos</v>
      </c>
      <c r="E152" s="1">
        <f t="shared" si="1"/>
        <v>151</v>
      </c>
    </row>
    <row r="153" spans="1:5" ht="13">
      <c r="A153" s="22" t="s">
        <v>80</v>
      </c>
      <c r="B153" s="22" t="s">
        <v>305</v>
      </c>
      <c r="C153" s="1">
        <v>152</v>
      </c>
      <c r="D153" s="1" t="str">
        <f t="shared" si="0"/>
        <v>ÁsiaFilipinas</v>
      </c>
      <c r="E153" s="1">
        <f t="shared" si="1"/>
        <v>152</v>
      </c>
    </row>
    <row r="154" spans="1:5" ht="13">
      <c r="A154" s="12" t="s">
        <v>80</v>
      </c>
      <c r="B154" s="12" t="s">
        <v>308</v>
      </c>
      <c r="C154" s="1">
        <v>153</v>
      </c>
      <c r="D154" s="1" t="str">
        <f t="shared" si="0"/>
        <v>ÁsiaIêmen</v>
      </c>
      <c r="E154" s="1">
        <f t="shared" si="1"/>
        <v>153</v>
      </c>
    </row>
    <row r="155" spans="1:5" ht="13">
      <c r="A155" s="22" t="s">
        <v>80</v>
      </c>
      <c r="B155" s="22" t="s">
        <v>310</v>
      </c>
      <c r="C155" s="1">
        <v>154</v>
      </c>
      <c r="D155" s="1" t="str">
        <f t="shared" si="0"/>
        <v>ÁsiaÍndia</v>
      </c>
      <c r="E155" s="1">
        <f t="shared" si="1"/>
        <v>154</v>
      </c>
    </row>
    <row r="156" spans="1:5" ht="13">
      <c r="A156" s="12" t="s">
        <v>80</v>
      </c>
      <c r="B156" s="12" t="s">
        <v>311</v>
      </c>
      <c r="C156" s="1">
        <v>155</v>
      </c>
      <c r="D156" s="1" t="str">
        <f t="shared" si="0"/>
        <v>ÁsiaIndonésia</v>
      </c>
      <c r="E156" s="1">
        <f t="shared" si="1"/>
        <v>155</v>
      </c>
    </row>
    <row r="157" spans="1:5" ht="13">
      <c r="A157" s="22" t="s">
        <v>80</v>
      </c>
      <c r="B157" s="22" t="s">
        <v>312</v>
      </c>
      <c r="C157" s="1">
        <v>156</v>
      </c>
      <c r="D157" s="1" t="str">
        <f t="shared" si="0"/>
        <v>ÁsiaIrão</v>
      </c>
      <c r="E157" s="1">
        <f t="shared" si="1"/>
        <v>156</v>
      </c>
    </row>
    <row r="158" spans="1:5" ht="13">
      <c r="A158" s="12" t="s">
        <v>80</v>
      </c>
      <c r="B158" s="12" t="s">
        <v>313</v>
      </c>
      <c r="C158" s="1">
        <v>157</v>
      </c>
      <c r="D158" s="1" t="str">
        <f t="shared" si="0"/>
        <v>ÁsiaIraque</v>
      </c>
      <c r="E158" s="1">
        <f t="shared" si="1"/>
        <v>157</v>
      </c>
    </row>
    <row r="159" spans="1:5" ht="13">
      <c r="A159" s="22" t="s">
        <v>80</v>
      </c>
      <c r="B159" s="22" t="s">
        <v>163</v>
      </c>
      <c r="C159" s="1">
        <v>158</v>
      </c>
      <c r="D159" s="1" t="str">
        <f t="shared" si="0"/>
        <v>ÁsiaIsrael</v>
      </c>
      <c r="E159" s="1">
        <f t="shared" si="1"/>
        <v>158</v>
      </c>
    </row>
    <row r="160" spans="1:5" ht="13">
      <c r="A160" s="12" t="s">
        <v>80</v>
      </c>
      <c r="B160" s="12" t="s">
        <v>314</v>
      </c>
      <c r="C160" s="1">
        <v>159</v>
      </c>
      <c r="D160" s="1" t="str">
        <f t="shared" si="0"/>
        <v>ÁsiaJapão</v>
      </c>
      <c r="E160" s="1">
        <f t="shared" si="1"/>
        <v>159</v>
      </c>
    </row>
    <row r="161" spans="1:5" ht="13">
      <c r="A161" s="22" t="s">
        <v>80</v>
      </c>
      <c r="B161" s="22" t="s">
        <v>315</v>
      </c>
      <c r="C161" s="1">
        <v>160</v>
      </c>
      <c r="D161" s="1" t="str">
        <f t="shared" si="0"/>
        <v>ÁsiaJordânia</v>
      </c>
      <c r="E161" s="1">
        <f t="shared" si="1"/>
        <v>160</v>
      </c>
    </row>
    <row r="162" spans="1:5" ht="13">
      <c r="A162" s="12" t="s">
        <v>80</v>
      </c>
      <c r="B162" s="12" t="s">
        <v>316</v>
      </c>
      <c r="C162" s="1">
        <v>161</v>
      </c>
      <c r="D162" s="1" t="str">
        <f t="shared" si="0"/>
        <v>ÁsiaKuwait</v>
      </c>
      <c r="E162" s="1">
        <f t="shared" si="1"/>
        <v>161</v>
      </c>
    </row>
    <row r="163" spans="1:5" ht="13">
      <c r="A163" s="22" t="s">
        <v>80</v>
      </c>
      <c r="B163" s="22" t="s">
        <v>317</v>
      </c>
      <c r="C163" s="1">
        <v>162</v>
      </c>
      <c r="D163" s="1" t="str">
        <f t="shared" si="0"/>
        <v>ÁsiaLaos</v>
      </c>
      <c r="E163" s="1">
        <f t="shared" si="1"/>
        <v>162</v>
      </c>
    </row>
    <row r="164" spans="1:5" ht="13">
      <c r="A164" s="12" t="s">
        <v>80</v>
      </c>
      <c r="B164" s="12" t="s">
        <v>320</v>
      </c>
      <c r="C164" s="1">
        <v>163</v>
      </c>
      <c r="D164" s="1" t="str">
        <f t="shared" si="0"/>
        <v>ÁsiaLíbano</v>
      </c>
      <c r="E164" s="1">
        <f t="shared" si="1"/>
        <v>163</v>
      </c>
    </row>
    <row r="165" spans="1:5" ht="13">
      <c r="A165" s="22" t="s">
        <v>80</v>
      </c>
      <c r="B165" s="22" t="s">
        <v>322</v>
      </c>
      <c r="C165" s="1">
        <v>164</v>
      </c>
      <c r="D165" s="1" t="str">
        <f t="shared" si="0"/>
        <v>ÁsiaMalásia</v>
      </c>
      <c r="E165" s="1">
        <f t="shared" si="1"/>
        <v>164</v>
      </c>
    </row>
    <row r="166" spans="1:5" ht="13">
      <c r="A166" s="12" t="s">
        <v>80</v>
      </c>
      <c r="B166" s="12" t="s">
        <v>323</v>
      </c>
      <c r="C166" s="1">
        <v>165</v>
      </c>
      <c r="D166" s="1" t="str">
        <f t="shared" si="0"/>
        <v>ÁsiaMaldivas</v>
      </c>
      <c r="E166" s="1">
        <f t="shared" si="1"/>
        <v>165</v>
      </c>
    </row>
    <row r="167" spans="1:5" ht="13">
      <c r="A167" s="22" t="s">
        <v>80</v>
      </c>
      <c r="B167" s="22" t="s">
        <v>325</v>
      </c>
      <c r="C167" s="1">
        <v>166</v>
      </c>
      <c r="D167" s="1" t="str">
        <f t="shared" si="0"/>
        <v>ÁsiaMianmar</v>
      </c>
      <c r="E167" s="1">
        <f t="shared" si="1"/>
        <v>166</v>
      </c>
    </row>
    <row r="168" spans="1:5" ht="13">
      <c r="A168" s="12" t="s">
        <v>80</v>
      </c>
      <c r="B168" s="12" t="s">
        <v>326</v>
      </c>
      <c r="C168" s="1">
        <v>167</v>
      </c>
      <c r="D168" s="1" t="str">
        <f t="shared" si="0"/>
        <v>ÁsiaMongólia</v>
      </c>
      <c r="E168" s="1">
        <f t="shared" si="1"/>
        <v>167</v>
      </c>
    </row>
    <row r="169" spans="1:5" ht="13">
      <c r="A169" s="22" t="s">
        <v>80</v>
      </c>
      <c r="B169" s="22" t="s">
        <v>327</v>
      </c>
      <c r="C169" s="1">
        <v>168</v>
      </c>
      <c r="D169" s="1" t="str">
        <f t="shared" si="0"/>
        <v>ÁsiaNepal</v>
      </c>
      <c r="E169" s="1">
        <f t="shared" si="1"/>
        <v>168</v>
      </c>
    </row>
    <row r="170" spans="1:5" ht="13">
      <c r="A170" s="12" t="s">
        <v>80</v>
      </c>
      <c r="B170" s="12" t="s">
        <v>328</v>
      </c>
      <c r="C170" s="1">
        <v>169</v>
      </c>
      <c r="D170" s="1" t="str">
        <f t="shared" si="0"/>
        <v>ÁsiaPaquistão</v>
      </c>
      <c r="E170" s="1">
        <f t="shared" si="1"/>
        <v>169</v>
      </c>
    </row>
    <row r="171" spans="1:5" ht="13">
      <c r="A171" s="22" t="s">
        <v>80</v>
      </c>
      <c r="B171" s="22" t="s">
        <v>329</v>
      </c>
      <c r="C171" s="1">
        <v>170</v>
      </c>
      <c r="D171" s="1" t="str">
        <f t="shared" si="0"/>
        <v>ÁsiaQuirguistão</v>
      </c>
      <c r="E171" s="1">
        <f t="shared" si="1"/>
        <v>170</v>
      </c>
    </row>
    <row r="172" spans="1:5" ht="13">
      <c r="A172" s="12" t="s">
        <v>80</v>
      </c>
      <c r="B172" s="12" t="s">
        <v>331</v>
      </c>
      <c r="C172" s="1">
        <v>171</v>
      </c>
      <c r="D172" s="1" t="str">
        <f t="shared" si="0"/>
        <v>ÁsiaRússia</v>
      </c>
      <c r="E172" s="1">
        <f t="shared" si="1"/>
        <v>171</v>
      </c>
    </row>
    <row r="173" spans="1:5" ht="13">
      <c r="A173" s="22" t="s">
        <v>80</v>
      </c>
      <c r="B173" s="22" t="s">
        <v>307</v>
      </c>
      <c r="C173" s="1">
        <v>172</v>
      </c>
      <c r="D173" s="1" t="str">
        <f t="shared" si="0"/>
        <v>ÁsiaSingapura</v>
      </c>
      <c r="E173" s="1">
        <f t="shared" si="1"/>
        <v>172</v>
      </c>
    </row>
    <row r="174" spans="1:5" ht="13">
      <c r="A174" s="12" t="s">
        <v>80</v>
      </c>
      <c r="B174" s="12" t="s">
        <v>334</v>
      </c>
      <c r="C174" s="1">
        <v>173</v>
      </c>
      <c r="D174" s="1" t="str">
        <f t="shared" si="0"/>
        <v>ÁsiaSíria</v>
      </c>
      <c r="E174" s="1">
        <f t="shared" si="1"/>
        <v>173</v>
      </c>
    </row>
    <row r="175" spans="1:5" ht="13">
      <c r="A175" s="22" t="s">
        <v>80</v>
      </c>
      <c r="B175" s="22" t="s">
        <v>335</v>
      </c>
      <c r="C175" s="1">
        <v>174</v>
      </c>
      <c r="D175" s="1" t="str">
        <f t="shared" si="0"/>
        <v>ÁsiaSri Lanka</v>
      </c>
      <c r="E175" s="1">
        <f t="shared" si="1"/>
        <v>174</v>
      </c>
    </row>
    <row r="176" spans="1:5" ht="13">
      <c r="A176" s="12" t="s">
        <v>80</v>
      </c>
      <c r="B176" s="12" t="s">
        <v>337</v>
      </c>
      <c r="C176" s="1">
        <v>175</v>
      </c>
      <c r="D176" s="1" t="str">
        <f t="shared" si="0"/>
        <v>ÁsiaTailândia</v>
      </c>
      <c r="E176" s="1">
        <f t="shared" si="1"/>
        <v>175</v>
      </c>
    </row>
    <row r="177" spans="1:5" ht="13">
      <c r="A177" s="22" t="s">
        <v>80</v>
      </c>
      <c r="B177" s="22" t="s">
        <v>338</v>
      </c>
      <c r="C177" s="1">
        <v>176</v>
      </c>
      <c r="D177" s="1" t="str">
        <f t="shared" si="0"/>
        <v>ÁsiaTajiquistão</v>
      </c>
      <c r="E177" s="1">
        <f t="shared" si="1"/>
        <v>176</v>
      </c>
    </row>
    <row r="178" spans="1:5" ht="13">
      <c r="A178" s="12" t="s">
        <v>80</v>
      </c>
      <c r="B178" s="12" t="s">
        <v>339</v>
      </c>
      <c r="C178" s="1">
        <v>177</v>
      </c>
      <c r="D178" s="1" t="str">
        <f t="shared" si="0"/>
        <v>ÁsiaTimor Leste</v>
      </c>
      <c r="E178" s="1">
        <f t="shared" si="1"/>
        <v>177</v>
      </c>
    </row>
    <row r="179" spans="1:5" ht="13">
      <c r="A179" s="22" t="s">
        <v>80</v>
      </c>
      <c r="B179" s="22" t="s">
        <v>340</v>
      </c>
      <c r="C179" s="1">
        <v>178</v>
      </c>
      <c r="D179" s="1" t="str">
        <f t="shared" si="0"/>
        <v>ÁsiaTurquemenistão</v>
      </c>
      <c r="E179" s="1">
        <f t="shared" si="1"/>
        <v>178</v>
      </c>
    </row>
    <row r="180" spans="1:5" ht="13">
      <c r="A180" s="12" t="s">
        <v>80</v>
      </c>
      <c r="B180" s="12" t="s">
        <v>342</v>
      </c>
      <c r="C180" s="1">
        <v>179</v>
      </c>
      <c r="D180" s="1" t="str">
        <f t="shared" si="0"/>
        <v>ÁsiaUzbequistão</v>
      </c>
      <c r="E180" s="1">
        <f t="shared" si="1"/>
        <v>179</v>
      </c>
    </row>
    <row r="181" spans="1:5" ht="13">
      <c r="A181" s="22" t="s">
        <v>80</v>
      </c>
      <c r="B181" s="22" t="s">
        <v>343</v>
      </c>
      <c r="C181" s="1">
        <v>180</v>
      </c>
      <c r="D181" s="1" t="str">
        <f t="shared" si="0"/>
        <v>ÁsiaVietnã</v>
      </c>
      <c r="E181" s="1">
        <f t="shared" si="1"/>
        <v>180</v>
      </c>
    </row>
    <row r="182" spans="1:5" ht="13">
      <c r="A182" s="12" t="s">
        <v>58</v>
      </c>
      <c r="B182" s="12" t="s">
        <v>226</v>
      </c>
      <c r="C182" s="1">
        <v>181</v>
      </c>
      <c r="D182" s="1" t="str">
        <f t="shared" si="0"/>
        <v>EuropaNão se aplica</v>
      </c>
      <c r="E182" s="1">
        <f t="shared" si="1"/>
        <v>181</v>
      </c>
    </row>
    <row r="183" spans="1:5" ht="13">
      <c r="A183" s="22" t="s">
        <v>58</v>
      </c>
      <c r="B183" s="22" t="s">
        <v>348</v>
      </c>
      <c r="C183" s="1">
        <v>182</v>
      </c>
      <c r="D183" s="1" t="str">
        <f t="shared" si="0"/>
        <v>EuropaAlbânia</v>
      </c>
      <c r="E183" s="1">
        <f t="shared" si="1"/>
        <v>182</v>
      </c>
    </row>
    <row r="184" spans="1:5" ht="13">
      <c r="A184" s="12" t="s">
        <v>58</v>
      </c>
      <c r="B184" s="12" t="s">
        <v>349</v>
      </c>
      <c r="C184" s="1">
        <v>183</v>
      </c>
      <c r="D184" s="1" t="str">
        <f t="shared" si="0"/>
        <v>EuropaAlemanha</v>
      </c>
      <c r="E184" s="1">
        <f t="shared" si="1"/>
        <v>183</v>
      </c>
    </row>
    <row r="185" spans="1:5" ht="13">
      <c r="A185" s="22" t="s">
        <v>58</v>
      </c>
      <c r="B185" s="22" t="s">
        <v>349</v>
      </c>
      <c r="C185" s="1">
        <v>184</v>
      </c>
      <c r="D185" s="1" t="str">
        <f t="shared" si="0"/>
        <v>EuropaAlemanha</v>
      </c>
      <c r="E185" s="1">
        <f t="shared" si="1"/>
        <v>184</v>
      </c>
    </row>
    <row r="186" spans="1:5" ht="13">
      <c r="A186" s="12" t="s">
        <v>58</v>
      </c>
      <c r="B186" s="12" t="s">
        <v>349</v>
      </c>
      <c r="C186" s="1">
        <v>185</v>
      </c>
      <c r="D186" s="1" t="str">
        <f t="shared" si="0"/>
        <v>EuropaAlemanha</v>
      </c>
      <c r="E186" s="1">
        <f t="shared" si="1"/>
        <v>185</v>
      </c>
    </row>
    <row r="187" spans="1:5" ht="13">
      <c r="A187" s="22" t="s">
        <v>58</v>
      </c>
      <c r="B187" s="22" t="s">
        <v>349</v>
      </c>
      <c r="C187" s="1">
        <v>186</v>
      </c>
      <c r="D187" s="1" t="str">
        <f t="shared" si="0"/>
        <v>EuropaAlemanha</v>
      </c>
      <c r="E187" s="1">
        <f t="shared" si="1"/>
        <v>186</v>
      </c>
    </row>
    <row r="188" spans="1:5" ht="13">
      <c r="A188" s="12" t="s">
        <v>58</v>
      </c>
      <c r="B188" s="12" t="s">
        <v>349</v>
      </c>
      <c r="C188" s="1">
        <v>187</v>
      </c>
      <c r="D188" s="1" t="str">
        <f t="shared" si="0"/>
        <v>EuropaAlemanha</v>
      </c>
      <c r="E188" s="1">
        <f t="shared" si="1"/>
        <v>187</v>
      </c>
    </row>
    <row r="189" spans="1:5" ht="13">
      <c r="A189" s="22" t="s">
        <v>58</v>
      </c>
      <c r="B189" s="22" t="s">
        <v>351</v>
      </c>
      <c r="C189" s="1">
        <v>188</v>
      </c>
      <c r="D189" s="1" t="str">
        <f t="shared" si="0"/>
        <v>EuropaAndorra</v>
      </c>
      <c r="E189" s="1">
        <f t="shared" si="1"/>
        <v>188</v>
      </c>
    </row>
    <row r="190" spans="1:5" ht="13">
      <c r="A190" s="12" t="s">
        <v>58</v>
      </c>
      <c r="B190" s="12" t="s">
        <v>352</v>
      </c>
      <c r="C190" s="1">
        <v>189</v>
      </c>
      <c r="D190" s="1" t="str">
        <f t="shared" si="0"/>
        <v>EuropaArmênia</v>
      </c>
      <c r="E190" s="1">
        <f t="shared" si="1"/>
        <v>189</v>
      </c>
    </row>
    <row r="191" spans="1:5" ht="13">
      <c r="A191" s="22" t="s">
        <v>58</v>
      </c>
      <c r="B191" s="22" t="s">
        <v>353</v>
      </c>
      <c r="C191" s="1">
        <v>190</v>
      </c>
      <c r="D191" s="1" t="str">
        <f t="shared" si="0"/>
        <v>EuropaÁustria</v>
      </c>
      <c r="E191" s="1">
        <f t="shared" si="1"/>
        <v>190</v>
      </c>
    </row>
    <row r="192" spans="1:5" ht="13">
      <c r="A192" s="12" t="s">
        <v>58</v>
      </c>
      <c r="B192" s="12" t="s">
        <v>354</v>
      </c>
      <c r="C192" s="1">
        <v>191</v>
      </c>
      <c r="D192" s="1" t="str">
        <f t="shared" si="0"/>
        <v>EuropaAzerbaijão</v>
      </c>
      <c r="E192" s="1">
        <f t="shared" si="1"/>
        <v>191</v>
      </c>
    </row>
    <row r="193" spans="1:5" ht="13">
      <c r="A193" s="22" t="s">
        <v>58</v>
      </c>
      <c r="B193" s="22" t="s">
        <v>356</v>
      </c>
      <c r="C193" s="1">
        <v>192</v>
      </c>
      <c r="D193" s="1" t="str">
        <f t="shared" si="0"/>
        <v>EuropaBélgica</v>
      </c>
      <c r="E193" s="1">
        <f t="shared" si="1"/>
        <v>192</v>
      </c>
    </row>
    <row r="194" spans="1:5" ht="13">
      <c r="A194" s="12" t="s">
        <v>58</v>
      </c>
      <c r="B194" s="12" t="s">
        <v>357</v>
      </c>
      <c r="C194" s="1">
        <v>193</v>
      </c>
      <c r="D194" s="1" t="str">
        <f t="shared" si="0"/>
        <v>EuropaBielorrússia</v>
      </c>
      <c r="E194" s="1">
        <f t="shared" si="1"/>
        <v>193</v>
      </c>
    </row>
    <row r="195" spans="1:5" ht="13">
      <c r="A195" s="22" t="s">
        <v>58</v>
      </c>
      <c r="B195" s="22" t="s">
        <v>358</v>
      </c>
      <c r="C195" s="1">
        <v>194</v>
      </c>
      <c r="D195" s="1" t="str">
        <f t="shared" si="0"/>
        <v>EuropaBósnia e Herzegovina</v>
      </c>
      <c r="E195" s="1">
        <f t="shared" si="1"/>
        <v>194</v>
      </c>
    </row>
    <row r="196" spans="1:5" ht="13">
      <c r="A196" s="12" t="s">
        <v>58</v>
      </c>
      <c r="B196" s="12" t="s">
        <v>359</v>
      </c>
      <c r="C196" s="1">
        <v>195</v>
      </c>
      <c r="D196" s="1" t="str">
        <f t="shared" si="0"/>
        <v>EuropaBruxelas</v>
      </c>
      <c r="E196" s="1">
        <f t="shared" si="1"/>
        <v>195</v>
      </c>
    </row>
    <row r="197" spans="1:5" ht="13">
      <c r="A197" s="22" t="s">
        <v>58</v>
      </c>
      <c r="B197" s="22" t="s">
        <v>360</v>
      </c>
      <c r="C197" s="1">
        <v>196</v>
      </c>
      <c r="D197" s="1" t="str">
        <f t="shared" si="0"/>
        <v>EuropaBulgária</v>
      </c>
      <c r="E197" s="1">
        <f t="shared" si="1"/>
        <v>196</v>
      </c>
    </row>
    <row r="198" spans="1:5" ht="13">
      <c r="A198" s="12" t="s">
        <v>58</v>
      </c>
      <c r="B198" s="12" t="s">
        <v>362</v>
      </c>
      <c r="C198" s="1">
        <v>197</v>
      </c>
      <c r="D198" s="1" t="str">
        <f t="shared" si="0"/>
        <v>EuropaChipre</v>
      </c>
      <c r="E198" s="1">
        <f t="shared" si="1"/>
        <v>197</v>
      </c>
    </row>
    <row r="199" spans="1:5" ht="13">
      <c r="A199" s="22" t="s">
        <v>58</v>
      </c>
      <c r="B199" s="22" t="s">
        <v>364</v>
      </c>
      <c r="C199" s="1">
        <v>198</v>
      </c>
      <c r="D199" s="1" t="str">
        <f t="shared" si="0"/>
        <v>EuropaCroácia</v>
      </c>
      <c r="E199" s="1">
        <f t="shared" si="1"/>
        <v>198</v>
      </c>
    </row>
    <row r="200" spans="1:5" ht="13">
      <c r="A200" s="12" t="s">
        <v>58</v>
      </c>
      <c r="B200" s="12" t="s">
        <v>365</v>
      </c>
      <c r="C200" s="1">
        <v>199</v>
      </c>
      <c r="D200" s="1" t="str">
        <f t="shared" si="0"/>
        <v>EuropaDinamarca</v>
      </c>
      <c r="E200" s="1">
        <f t="shared" si="1"/>
        <v>199</v>
      </c>
    </row>
    <row r="201" spans="1:5" ht="13">
      <c r="A201" s="22" t="s">
        <v>58</v>
      </c>
      <c r="B201" s="22" t="s">
        <v>366</v>
      </c>
      <c r="C201" s="1">
        <v>200</v>
      </c>
      <c r="D201" s="1" t="str">
        <f t="shared" si="0"/>
        <v>EuropaEslováquia</v>
      </c>
      <c r="E201" s="1">
        <f t="shared" si="1"/>
        <v>200</v>
      </c>
    </row>
    <row r="202" spans="1:5" ht="13">
      <c r="A202" s="12" t="s">
        <v>58</v>
      </c>
      <c r="B202" s="12" t="s">
        <v>367</v>
      </c>
      <c r="C202" s="1">
        <v>201</v>
      </c>
      <c r="D202" s="1" t="str">
        <f t="shared" si="0"/>
        <v>EuropaEslovênia</v>
      </c>
      <c r="E202" s="1">
        <f t="shared" si="1"/>
        <v>201</v>
      </c>
    </row>
    <row r="203" spans="1:5" ht="13">
      <c r="A203" s="22" t="s">
        <v>58</v>
      </c>
      <c r="B203" s="22" t="s">
        <v>368</v>
      </c>
      <c r="C203" s="1">
        <v>202</v>
      </c>
      <c r="D203" s="1" t="str">
        <f t="shared" si="0"/>
        <v>EuropaEspanha</v>
      </c>
      <c r="E203" s="1">
        <f t="shared" si="1"/>
        <v>202</v>
      </c>
    </row>
    <row r="204" spans="1:5" ht="13">
      <c r="A204" s="12" t="s">
        <v>58</v>
      </c>
      <c r="B204" s="12" t="s">
        <v>370</v>
      </c>
      <c r="C204" s="1">
        <v>203</v>
      </c>
      <c r="D204" s="1" t="str">
        <f t="shared" si="0"/>
        <v>EuropaEstônia</v>
      </c>
      <c r="E204" s="1">
        <f t="shared" si="1"/>
        <v>203</v>
      </c>
    </row>
    <row r="205" spans="1:5" ht="13">
      <c r="A205" s="22" t="s">
        <v>58</v>
      </c>
      <c r="B205" s="22" t="s">
        <v>372</v>
      </c>
      <c r="C205" s="1">
        <v>204</v>
      </c>
      <c r="D205" s="1" t="str">
        <f t="shared" si="0"/>
        <v>EuropaFinlândia</v>
      </c>
      <c r="E205" s="1">
        <f t="shared" si="1"/>
        <v>204</v>
      </c>
    </row>
    <row r="206" spans="1:5" ht="13">
      <c r="A206" s="12" t="s">
        <v>58</v>
      </c>
      <c r="B206" s="12" t="s">
        <v>372</v>
      </c>
      <c r="C206" s="1">
        <v>205</v>
      </c>
      <c r="D206" s="1" t="str">
        <f t="shared" si="0"/>
        <v>EuropaFinlândia</v>
      </c>
      <c r="E206" s="1">
        <f t="shared" si="1"/>
        <v>205</v>
      </c>
    </row>
    <row r="207" spans="1:5" ht="13">
      <c r="A207" s="22" t="s">
        <v>58</v>
      </c>
      <c r="B207" s="22" t="s">
        <v>372</v>
      </c>
      <c r="C207" s="1">
        <v>206</v>
      </c>
      <c r="D207" s="1" t="str">
        <f t="shared" si="0"/>
        <v>EuropaFinlândia</v>
      </c>
      <c r="E207" s="1">
        <f t="shared" si="1"/>
        <v>206</v>
      </c>
    </row>
    <row r="208" spans="1:5" ht="13">
      <c r="A208" s="12" t="s">
        <v>58</v>
      </c>
      <c r="B208" s="12" t="s">
        <v>95</v>
      </c>
      <c r="C208" s="1">
        <v>207</v>
      </c>
      <c r="D208" s="1" t="str">
        <f t="shared" si="0"/>
        <v>EuropaFrança</v>
      </c>
      <c r="E208" s="1">
        <f t="shared" si="1"/>
        <v>207</v>
      </c>
    </row>
    <row r="209" spans="1:5" ht="13">
      <c r="A209" s="22" t="s">
        <v>58</v>
      </c>
      <c r="B209" s="22" t="s">
        <v>95</v>
      </c>
      <c r="C209" s="1">
        <v>208</v>
      </c>
      <c r="D209" s="1" t="str">
        <f t="shared" si="0"/>
        <v>EuropaFrança</v>
      </c>
      <c r="E209" s="1">
        <f t="shared" si="1"/>
        <v>208</v>
      </c>
    </row>
    <row r="210" spans="1:5" ht="13">
      <c r="A210" s="12" t="s">
        <v>58</v>
      </c>
      <c r="B210" s="12" t="s">
        <v>95</v>
      </c>
      <c r="C210" s="1">
        <v>209</v>
      </c>
      <c r="D210" s="1" t="str">
        <f t="shared" si="0"/>
        <v>EuropaFrança</v>
      </c>
      <c r="E210" s="1">
        <f t="shared" si="1"/>
        <v>209</v>
      </c>
    </row>
    <row r="211" spans="1:5" ht="13">
      <c r="A211" s="22" t="s">
        <v>58</v>
      </c>
      <c r="B211" s="22" t="s">
        <v>374</v>
      </c>
      <c r="C211" s="1">
        <v>210</v>
      </c>
      <c r="D211" s="1" t="str">
        <f t="shared" si="0"/>
        <v>EuropaGeórgia</v>
      </c>
      <c r="E211" s="1">
        <f t="shared" si="1"/>
        <v>210</v>
      </c>
    </row>
    <row r="212" spans="1:5" ht="13">
      <c r="A212" s="12" t="s">
        <v>58</v>
      </c>
      <c r="B212" s="12" t="s">
        <v>375</v>
      </c>
      <c r="C212" s="1">
        <v>211</v>
      </c>
      <c r="D212" s="1" t="str">
        <f t="shared" si="0"/>
        <v>EuropaGrécia</v>
      </c>
      <c r="E212" s="1">
        <f t="shared" si="1"/>
        <v>211</v>
      </c>
    </row>
    <row r="213" spans="1:5" ht="13">
      <c r="A213" s="22" t="s">
        <v>58</v>
      </c>
      <c r="B213" s="22" t="s">
        <v>376</v>
      </c>
      <c r="C213" s="1">
        <v>212</v>
      </c>
      <c r="D213" s="1" t="str">
        <f t="shared" si="0"/>
        <v>EuropaHungria</v>
      </c>
      <c r="E213" s="1">
        <f t="shared" si="1"/>
        <v>212</v>
      </c>
    </row>
    <row r="214" spans="1:5" ht="13">
      <c r="A214" s="12" t="s">
        <v>58</v>
      </c>
      <c r="B214" s="12" t="s">
        <v>377</v>
      </c>
      <c r="C214" s="1">
        <v>213</v>
      </c>
      <c r="D214" s="1" t="str">
        <f t="shared" si="0"/>
        <v>EuropaIrlanda</v>
      </c>
      <c r="E214" s="1">
        <f t="shared" si="1"/>
        <v>213</v>
      </c>
    </row>
    <row r="215" spans="1:5" ht="13">
      <c r="A215" s="22" t="s">
        <v>58</v>
      </c>
      <c r="B215" s="22" t="s">
        <v>378</v>
      </c>
      <c r="C215" s="1">
        <v>214</v>
      </c>
      <c r="D215" s="1" t="str">
        <f t="shared" si="0"/>
        <v>EuropaIslândia</v>
      </c>
      <c r="E215" s="1">
        <f t="shared" si="1"/>
        <v>214</v>
      </c>
    </row>
    <row r="216" spans="1:5" ht="13">
      <c r="A216" s="12" t="s">
        <v>58</v>
      </c>
      <c r="B216" s="12" t="s">
        <v>379</v>
      </c>
      <c r="C216" s="1">
        <v>215</v>
      </c>
      <c r="D216" s="1" t="str">
        <f t="shared" si="0"/>
        <v>EuropaItália</v>
      </c>
      <c r="E216" s="1">
        <f t="shared" si="1"/>
        <v>215</v>
      </c>
    </row>
    <row r="217" spans="1:5" ht="13">
      <c r="A217" s="22" t="s">
        <v>58</v>
      </c>
      <c r="B217" s="22" t="s">
        <v>380</v>
      </c>
      <c r="C217" s="1">
        <v>216</v>
      </c>
      <c r="D217" s="1" t="str">
        <f t="shared" si="0"/>
        <v>EuropaLetônia</v>
      </c>
      <c r="E217" s="1">
        <f t="shared" si="1"/>
        <v>216</v>
      </c>
    </row>
    <row r="218" spans="1:5" ht="13">
      <c r="A218" s="12" t="s">
        <v>58</v>
      </c>
      <c r="B218" s="12" t="s">
        <v>381</v>
      </c>
      <c r="C218" s="1">
        <v>217</v>
      </c>
      <c r="D218" s="1" t="str">
        <f t="shared" si="0"/>
        <v>EuropaLiechtenstein</v>
      </c>
      <c r="E218" s="1">
        <f t="shared" si="1"/>
        <v>217</v>
      </c>
    </row>
    <row r="219" spans="1:5" ht="13">
      <c r="A219" s="22" t="s">
        <v>58</v>
      </c>
      <c r="B219" s="22" t="s">
        <v>383</v>
      </c>
      <c r="C219" s="1">
        <v>218</v>
      </c>
      <c r="D219" s="1" t="str">
        <f t="shared" si="0"/>
        <v>EuropaLituânia</v>
      </c>
      <c r="E219" s="1">
        <f t="shared" si="1"/>
        <v>218</v>
      </c>
    </row>
    <row r="220" spans="1:5" ht="13">
      <c r="A220" s="12" t="s">
        <v>58</v>
      </c>
      <c r="B220" s="12" t="s">
        <v>384</v>
      </c>
      <c r="C220" s="1">
        <v>219</v>
      </c>
      <c r="D220" s="1" t="str">
        <f t="shared" si="0"/>
        <v>EuropaLuxemburgo</v>
      </c>
      <c r="E220" s="1">
        <f t="shared" si="1"/>
        <v>219</v>
      </c>
    </row>
    <row r="221" spans="1:5" ht="13">
      <c r="A221" s="22" t="s">
        <v>58</v>
      </c>
      <c r="B221" s="22" t="s">
        <v>385</v>
      </c>
      <c r="C221" s="1">
        <v>220</v>
      </c>
      <c r="D221" s="1" t="str">
        <f t="shared" si="0"/>
        <v>EuropaMacedônia do Norte</v>
      </c>
      <c r="E221" s="1">
        <f t="shared" si="1"/>
        <v>220</v>
      </c>
    </row>
    <row r="222" spans="1:5" ht="13">
      <c r="A222" s="12" t="s">
        <v>58</v>
      </c>
      <c r="B222" s="12" t="s">
        <v>386</v>
      </c>
      <c r="C222" s="1">
        <v>221</v>
      </c>
      <c r="D222" s="1" t="str">
        <f t="shared" si="0"/>
        <v>EuropaMalta</v>
      </c>
      <c r="E222" s="1">
        <f t="shared" si="1"/>
        <v>221</v>
      </c>
    </row>
    <row r="223" spans="1:5" ht="13">
      <c r="A223" s="22" t="s">
        <v>58</v>
      </c>
      <c r="B223" s="22" t="s">
        <v>387</v>
      </c>
      <c r="C223" s="1">
        <v>222</v>
      </c>
      <c r="D223" s="1" t="str">
        <f t="shared" si="0"/>
        <v>EuropaMoldávia</v>
      </c>
      <c r="E223" s="1">
        <f t="shared" si="1"/>
        <v>222</v>
      </c>
    </row>
    <row r="224" spans="1:5" ht="13">
      <c r="A224" s="12" t="s">
        <v>58</v>
      </c>
      <c r="B224" s="12" t="s">
        <v>388</v>
      </c>
      <c r="C224" s="1">
        <v>223</v>
      </c>
      <c r="D224" s="1" t="str">
        <f t="shared" si="0"/>
        <v>EuropaMônaco</v>
      </c>
      <c r="E224" s="1">
        <f t="shared" si="1"/>
        <v>223</v>
      </c>
    </row>
    <row r="225" spans="1:5" ht="13">
      <c r="A225" s="22" t="s">
        <v>58</v>
      </c>
      <c r="B225" s="22" t="s">
        <v>391</v>
      </c>
      <c r="C225" s="1">
        <v>224</v>
      </c>
      <c r="D225" s="1" t="str">
        <f t="shared" si="0"/>
        <v>EuropaMontenegro</v>
      </c>
      <c r="E225" s="1">
        <f t="shared" si="1"/>
        <v>224</v>
      </c>
    </row>
    <row r="226" spans="1:5" ht="13">
      <c r="A226" s="12" t="s">
        <v>58</v>
      </c>
      <c r="B226" s="12" t="s">
        <v>393</v>
      </c>
      <c r="C226" s="1">
        <v>225</v>
      </c>
      <c r="D226" s="1" t="str">
        <f t="shared" si="0"/>
        <v>EuropaNoruega</v>
      </c>
      <c r="E226" s="1">
        <f t="shared" si="1"/>
        <v>225</v>
      </c>
    </row>
    <row r="227" spans="1:5" ht="13">
      <c r="A227" s="22" t="s">
        <v>58</v>
      </c>
      <c r="B227" s="22" t="s">
        <v>393</v>
      </c>
      <c r="C227" s="1">
        <v>226</v>
      </c>
      <c r="D227" s="1" t="str">
        <f t="shared" si="0"/>
        <v>EuropaNoruega</v>
      </c>
      <c r="E227" s="1">
        <f t="shared" si="1"/>
        <v>226</v>
      </c>
    </row>
    <row r="228" spans="1:5" ht="13">
      <c r="A228" s="12" t="s">
        <v>58</v>
      </c>
      <c r="B228" s="12" t="s">
        <v>393</v>
      </c>
      <c r="C228" s="1">
        <v>227</v>
      </c>
      <c r="D228" s="1" t="str">
        <f t="shared" si="0"/>
        <v>EuropaNoruega</v>
      </c>
      <c r="E228" s="1">
        <f t="shared" si="1"/>
        <v>227</v>
      </c>
    </row>
    <row r="229" spans="1:5" ht="13">
      <c r="A229" s="22" t="s">
        <v>58</v>
      </c>
      <c r="B229" s="22" t="s">
        <v>395</v>
      </c>
      <c r="C229" s="1">
        <v>228</v>
      </c>
      <c r="D229" s="1" t="str">
        <f t="shared" si="0"/>
        <v>EuropaPaíses Baixos</v>
      </c>
      <c r="E229" s="1">
        <f t="shared" si="1"/>
        <v>228</v>
      </c>
    </row>
    <row r="230" spans="1:5" ht="13">
      <c r="A230" s="12" t="s">
        <v>58</v>
      </c>
      <c r="B230" s="12" t="s">
        <v>396</v>
      </c>
      <c r="C230" s="1">
        <v>229</v>
      </c>
      <c r="D230" s="1" t="str">
        <f t="shared" si="0"/>
        <v>EuropaPortugal</v>
      </c>
      <c r="E230" s="1">
        <f t="shared" si="1"/>
        <v>229</v>
      </c>
    </row>
    <row r="231" spans="1:5" ht="13">
      <c r="A231" s="22" t="s">
        <v>58</v>
      </c>
      <c r="B231" s="22" t="s">
        <v>396</v>
      </c>
      <c r="C231" s="1">
        <v>230</v>
      </c>
      <c r="D231" s="1" t="str">
        <f t="shared" si="0"/>
        <v>EuropaPortugal</v>
      </c>
      <c r="E231" s="1">
        <f t="shared" si="1"/>
        <v>230</v>
      </c>
    </row>
    <row r="232" spans="1:5" ht="13">
      <c r="A232" s="16" t="s">
        <v>58</v>
      </c>
      <c r="B232" s="16" t="s">
        <v>397</v>
      </c>
      <c r="C232" s="1">
        <v>231</v>
      </c>
      <c r="D232" s="1" t="str">
        <f t="shared" si="0"/>
        <v>EuropaReino Unido</v>
      </c>
      <c r="E232" s="1">
        <f t="shared" si="1"/>
        <v>231</v>
      </c>
    </row>
    <row r="233" spans="1:5" ht="13">
      <c r="A233" s="22" t="s">
        <v>58</v>
      </c>
      <c r="B233" s="22" t="s">
        <v>397</v>
      </c>
      <c r="C233" s="1">
        <v>232</v>
      </c>
      <c r="D233" s="1" t="str">
        <f t="shared" si="0"/>
        <v>EuropaReino Unido</v>
      </c>
      <c r="E233" s="1">
        <f t="shared" si="1"/>
        <v>232</v>
      </c>
    </row>
    <row r="234" spans="1:5" ht="13">
      <c r="A234" s="12" t="s">
        <v>58</v>
      </c>
      <c r="B234" s="12" t="s">
        <v>398</v>
      </c>
      <c r="C234" s="1">
        <v>233</v>
      </c>
      <c r="D234" s="1" t="str">
        <f t="shared" si="0"/>
        <v>EuropaRepública Tcheca</v>
      </c>
      <c r="E234" s="1">
        <f t="shared" si="1"/>
        <v>233</v>
      </c>
    </row>
    <row r="235" spans="1:5" ht="13">
      <c r="A235" s="22" t="s">
        <v>58</v>
      </c>
      <c r="B235" s="22" t="s">
        <v>398</v>
      </c>
      <c r="C235" s="1">
        <v>234</v>
      </c>
      <c r="D235" s="1" t="str">
        <f t="shared" si="0"/>
        <v>EuropaRepública Tcheca</v>
      </c>
      <c r="E235" s="1">
        <f t="shared" si="1"/>
        <v>234</v>
      </c>
    </row>
    <row r="236" spans="1:5" ht="13">
      <c r="A236" s="12" t="s">
        <v>58</v>
      </c>
      <c r="B236" s="12" t="s">
        <v>400</v>
      </c>
      <c r="C236" s="1">
        <v>235</v>
      </c>
      <c r="D236" s="1" t="str">
        <f t="shared" si="0"/>
        <v>EuropaRomênia</v>
      </c>
      <c r="E236" s="1">
        <f t="shared" si="1"/>
        <v>235</v>
      </c>
    </row>
    <row r="237" spans="1:5" ht="13">
      <c r="A237" s="22" t="s">
        <v>58</v>
      </c>
      <c r="B237" s="22" t="s">
        <v>402</v>
      </c>
      <c r="C237" s="1">
        <v>236</v>
      </c>
      <c r="D237" s="1" t="str">
        <f t="shared" si="0"/>
        <v>EuropaSan Marino</v>
      </c>
      <c r="E237" s="1">
        <f t="shared" si="1"/>
        <v>236</v>
      </c>
    </row>
    <row r="238" spans="1:5" ht="13">
      <c r="A238" s="12" t="s">
        <v>58</v>
      </c>
      <c r="B238" s="12" t="s">
        <v>403</v>
      </c>
      <c r="C238" s="1">
        <v>237</v>
      </c>
      <c r="D238" s="1" t="str">
        <f t="shared" si="0"/>
        <v>EuropaSérvia</v>
      </c>
      <c r="E238" s="1">
        <f t="shared" si="1"/>
        <v>237</v>
      </c>
    </row>
    <row r="239" spans="1:5" ht="13">
      <c r="A239" s="22" t="s">
        <v>58</v>
      </c>
      <c r="B239" s="22" t="s">
        <v>404</v>
      </c>
      <c r="C239" s="1">
        <v>238</v>
      </c>
      <c r="D239" s="1" t="str">
        <f t="shared" si="0"/>
        <v>EuropaSuécia</v>
      </c>
      <c r="E239" s="1">
        <f t="shared" si="1"/>
        <v>238</v>
      </c>
    </row>
    <row r="240" spans="1:5" ht="13">
      <c r="A240" s="12" t="s">
        <v>58</v>
      </c>
      <c r="B240" s="12" t="s">
        <v>404</v>
      </c>
      <c r="C240" s="1">
        <v>239</v>
      </c>
      <c r="D240" s="1" t="str">
        <f t="shared" si="0"/>
        <v>EuropaSuécia</v>
      </c>
      <c r="E240" s="1">
        <f t="shared" si="1"/>
        <v>239</v>
      </c>
    </row>
    <row r="241" spans="1:5" ht="13">
      <c r="A241" s="45" t="s">
        <v>58</v>
      </c>
      <c r="B241" s="45" t="s">
        <v>405</v>
      </c>
      <c r="C241" s="1">
        <v>240</v>
      </c>
      <c r="D241" s="1" t="str">
        <f t="shared" si="0"/>
        <v>EuropaSuíça</v>
      </c>
      <c r="E241" s="1">
        <f t="shared" si="1"/>
        <v>240</v>
      </c>
    </row>
    <row r="242" spans="1:5" ht="13">
      <c r="A242" s="12" t="s">
        <v>58</v>
      </c>
      <c r="B242" s="12" t="s">
        <v>406</v>
      </c>
      <c r="C242" s="1">
        <v>241</v>
      </c>
      <c r="D242" s="1" t="str">
        <f t="shared" si="0"/>
        <v>EuropaUcrânia</v>
      </c>
      <c r="E242" s="1">
        <f t="shared" si="1"/>
        <v>241</v>
      </c>
    </row>
    <row r="243" spans="1:5" ht="13">
      <c r="A243" s="22" t="s">
        <v>58</v>
      </c>
      <c r="B243" s="22" t="s">
        <v>60</v>
      </c>
      <c r="C243" s="1">
        <v>242</v>
      </c>
      <c r="D243" s="1" t="str">
        <f t="shared" si="0"/>
        <v>EuropaUnião Europeia</v>
      </c>
      <c r="E243" s="1">
        <f t="shared" si="1"/>
        <v>242</v>
      </c>
    </row>
    <row r="244" spans="1:5" ht="13">
      <c r="A244" s="12" t="s">
        <v>58</v>
      </c>
      <c r="B244" s="12" t="s">
        <v>60</v>
      </c>
      <c r="C244" s="1">
        <v>243</v>
      </c>
      <c r="D244" s="1" t="str">
        <f t="shared" si="0"/>
        <v>EuropaUnião Europeia</v>
      </c>
      <c r="E244" s="1">
        <f t="shared" si="1"/>
        <v>243</v>
      </c>
    </row>
    <row r="245" spans="1:5" ht="13">
      <c r="A245" s="22" t="s">
        <v>58</v>
      </c>
      <c r="B245" s="22" t="s">
        <v>60</v>
      </c>
      <c r="C245" s="1">
        <v>244</v>
      </c>
      <c r="D245" s="1" t="str">
        <f t="shared" si="0"/>
        <v>EuropaUnião Europeia</v>
      </c>
      <c r="E245" s="1">
        <f t="shared" si="1"/>
        <v>244</v>
      </c>
    </row>
    <row r="246" spans="1:5" ht="13">
      <c r="A246" s="12" t="s">
        <v>58</v>
      </c>
      <c r="B246" s="12" t="s">
        <v>60</v>
      </c>
      <c r="C246" s="1">
        <v>245</v>
      </c>
      <c r="D246" s="1" t="str">
        <f t="shared" si="0"/>
        <v>EuropaUnião Europeia</v>
      </c>
      <c r="E246" s="1">
        <f t="shared" si="1"/>
        <v>245</v>
      </c>
    </row>
    <row r="247" spans="1:5" ht="13">
      <c r="A247" s="22" t="s">
        <v>58</v>
      </c>
      <c r="B247" s="22" t="s">
        <v>60</v>
      </c>
      <c r="C247" s="1">
        <v>246</v>
      </c>
      <c r="D247" s="1" t="str">
        <f t="shared" si="0"/>
        <v>EuropaUnião Europeia</v>
      </c>
      <c r="E247" s="1">
        <f t="shared" si="1"/>
        <v>246</v>
      </c>
    </row>
    <row r="248" spans="1:5" ht="13">
      <c r="A248" s="12" t="s">
        <v>58</v>
      </c>
      <c r="B248" s="12" t="s">
        <v>411</v>
      </c>
      <c r="C248" s="1">
        <v>247</v>
      </c>
      <c r="D248" s="1" t="str">
        <f t="shared" si="0"/>
        <v>EuropaPolônia</v>
      </c>
      <c r="E248" s="1">
        <f t="shared" si="1"/>
        <v>247</v>
      </c>
    </row>
    <row r="249" spans="1:5" ht="13">
      <c r="A249" s="22" t="s">
        <v>58</v>
      </c>
      <c r="B249" s="22" t="s">
        <v>397</v>
      </c>
      <c r="C249" s="1">
        <v>248</v>
      </c>
      <c r="D249" s="1" t="str">
        <f t="shared" si="0"/>
        <v>EuropaReino Unido</v>
      </c>
      <c r="E249" s="1">
        <f t="shared" si="1"/>
        <v>248</v>
      </c>
    </row>
    <row r="250" spans="1:5" ht="13">
      <c r="A250" s="12" t="s">
        <v>92</v>
      </c>
      <c r="B250" s="12" t="s">
        <v>412</v>
      </c>
      <c r="C250" s="1">
        <v>249</v>
      </c>
      <c r="D250" s="1" t="str">
        <f t="shared" si="0"/>
        <v>OceaniaAustrália</v>
      </c>
      <c r="E250" s="1">
        <f t="shared" si="1"/>
        <v>249</v>
      </c>
    </row>
    <row r="251" spans="1:5" ht="13">
      <c r="A251" s="22" t="s">
        <v>92</v>
      </c>
      <c r="B251" s="22" t="s">
        <v>412</v>
      </c>
      <c r="C251" s="1">
        <v>250</v>
      </c>
      <c r="D251" s="1" t="str">
        <f t="shared" si="0"/>
        <v>OceaniaAustrália</v>
      </c>
      <c r="E251" s="1">
        <f t="shared" si="1"/>
        <v>250</v>
      </c>
    </row>
    <row r="252" spans="1:5" ht="13">
      <c r="A252" s="12" t="s">
        <v>92</v>
      </c>
      <c r="B252" s="12" t="s">
        <v>412</v>
      </c>
      <c r="C252" s="1">
        <v>251</v>
      </c>
      <c r="D252" s="1" t="str">
        <f t="shared" si="0"/>
        <v>OceaniaAustrália</v>
      </c>
      <c r="E252" s="1">
        <f t="shared" si="1"/>
        <v>251</v>
      </c>
    </row>
    <row r="253" spans="1:5" ht="13">
      <c r="A253" s="22" t="s">
        <v>92</v>
      </c>
      <c r="B253" s="22" t="s">
        <v>412</v>
      </c>
      <c r="C253" s="1">
        <v>252</v>
      </c>
      <c r="D253" s="1" t="str">
        <f t="shared" si="0"/>
        <v>OceaniaAustrália</v>
      </c>
      <c r="E253" s="1">
        <f t="shared" si="1"/>
        <v>252</v>
      </c>
    </row>
    <row r="254" spans="1:5" ht="13">
      <c r="A254" s="12" t="s">
        <v>92</v>
      </c>
      <c r="B254" s="12" t="s">
        <v>412</v>
      </c>
      <c r="C254" s="1">
        <v>253</v>
      </c>
      <c r="D254" s="1" t="str">
        <f t="shared" si="0"/>
        <v>OceaniaAustrália</v>
      </c>
      <c r="E254" s="1">
        <f t="shared" si="1"/>
        <v>253</v>
      </c>
    </row>
    <row r="255" spans="1:5" ht="13">
      <c r="A255" s="22" t="s">
        <v>92</v>
      </c>
      <c r="B255" s="22" t="s">
        <v>417</v>
      </c>
      <c r="C255" s="1">
        <v>254</v>
      </c>
      <c r="D255" s="1" t="str">
        <f t="shared" si="0"/>
        <v>OceaniaEstados Federados da Micronésia</v>
      </c>
      <c r="E255" s="1">
        <f t="shared" si="1"/>
        <v>254</v>
      </c>
    </row>
    <row r="256" spans="1:5" ht="13">
      <c r="A256" s="12" t="s">
        <v>92</v>
      </c>
      <c r="B256" s="12" t="s">
        <v>418</v>
      </c>
      <c r="C256" s="1">
        <v>255</v>
      </c>
      <c r="D256" s="1" t="str">
        <f t="shared" si="0"/>
        <v>OceaniaFiji</v>
      </c>
      <c r="E256" s="1">
        <f t="shared" si="1"/>
        <v>255</v>
      </c>
    </row>
    <row r="257" spans="1:5" ht="13">
      <c r="A257" s="22" t="s">
        <v>92</v>
      </c>
      <c r="B257" s="48" t="s">
        <v>420</v>
      </c>
      <c r="C257" s="1">
        <v>256</v>
      </c>
      <c r="D257" s="1" t="str">
        <f t="shared" ref="D257:D280" si="2">A257&amp;B257</f>
        <v>OceaniaGuam</v>
      </c>
      <c r="E257" s="1">
        <f t="shared" ref="E257:E280" si="3">C257</f>
        <v>256</v>
      </c>
    </row>
    <row r="258" spans="1:5" ht="13">
      <c r="A258" s="12" t="s">
        <v>92</v>
      </c>
      <c r="B258" s="16" t="s">
        <v>422</v>
      </c>
      <c r="C258" s="1">
        <v>257</v>
      </c>
      <c r="D258" s="1" t="str">
        <f t="shared" si="2"/>
        <v>OceaniaIlha Norfolk</v>
      </c>
      <c r="E258" s="1">
        <f t="shared" si="3"/>
        <v>257</v>
      </c>
    </row>
    <row r="259" spans="1:5" ht="13">
      <c r="A259" s="22" t="s">
        <v>92</v>
      </c>
      <c r="B259" s="48" t="s">
        <v>423</v>
      </c>
      <c r="C259" s="1">
        <v>258</v>
      </c>
      <c r="D259" s="1" t="str">
        <f t="shared" si="2"/>
        <v>OceaniaIlhas Cook</v>
      </c>
      <c r="E259" s="1">
        <f t="shared" si="3"/>
        <v>258</v>
      </c>
    </row>
    <row r="260" spans="1:5" ht="13">
      <c r="A260" s="12" t="s">
        <v>92</v>
      </c>
      <c r="B260" s="16" t="s">
        <v>425</v>
      </c>
      <c r="C260" s="1">
        <v>259</v>
      </c>
      <c r="D260" s="1" t="str">
        <f t="shared" si="2"/>
        <v>OceaniaIlhas Marianas do Norte</v>
      </c>
      <c r="E260" s="1">
        <f t="shared" si="3"/>
        <v>259</v>
      </c>
    </row>
    <row r="261" spans="1:5" ht="13">
      <c r="A261" s="22" t="s">
        <v>92</v>
      </c>
      <c r="B261" s="22" t="s">
        <v>426</v>
      </c>
      <c r="C261" s="1">
        <v>260</v>
      </c>
      <c r="D261" s="1" t="str">
        <f t="shared" si="2"/>
        <v>OceaniaIlhas Marshall</v>
      </c>
      <c r="E261" s="1">
        <f t="shared" si="3"/>
        <v>260</v>
      </c>
    </row>
    <row r="262" spans="1:5" ht="13">
      <c r="A262" s="12" t="s">
        <v>92</v>
      </c>
      <c r="B262" s="16" t="s">
        <v>427</v>
      </c>
      <c r="C262" s="1">
        <v>261</v>
      </c>
      <c r="D262" s="1" t="str">
        <f t="shared" si="2"/>
        <v>OceaniaIlhas Pitcaim</v>
      </c>
      <c r="E262" s="1">
        <f t="shared" si="3"/>
        <v>261</v>
      </c>
    </row>
    <row r="263" spans="1:5" ht="13">
      <c r="A263" s="22" t="s">
        <v>92</v>
      </c>
      <c r="B263" s="48" t="s">
        <v>428</v>
      </c>
      <c r="C263" s="1">
        <v>262</v>
      </c>
      <c r="D263" s="1" t="str">
        <f t="shared" si="2"/>
        <v>OceaniaIlhas Salomão</v>
      </c>
      <c r="E263" s="1">
        <f t="shared" si="3"/>
        <v>262</v>
      </c>
    </row>
    <row r="264" spans="1:5" ht="13">
      <c r="A264" s="12" t="s">
        <v>92</v>
      </c>
      <c r="B264" s="12" t="s">
        <v>429</v>
      </c>
      <c r="C264" s="1">
        <v>263</v>
      </c>
      <c r="D264" s="1" t="str">
        <f t="shared" si="2"/>
        <v>OceaniaKiribati</v>
      </c>
      <c r="E264" s="1">
        <f t="shared" si="3"/>
        <v>263</v>
      </c>
    </row>
    <row r="265" spans="1:5" ht="13">
      <c r="A265" s="22" t="s">
        <v>92</v>
      </c>
      <c r="B265" s="48" t="s">
        <v>433</v>
      </c>
      <c r="C265" s="1">
        <v>264</v>
      </c>
      <c r="D265" s="1" t="str">
        <f t="shared" si="2"/>
        <v>OceaniaNauru</v>
      </c>
      <c r="E265" s="1">
        <f t="shared" si="3"/>
        <v>264</v>
      </c>
    </row>
    <row r="266" spans="1:5" ht="13">
      <c r="A266" s="12" t="s">
        <v>92</v>
      </c>
      <c r="B266" s="16" t="s">
        <v>435</v>
      </c>
      <c r="C266" s="1">
        <v>265</v>
      </c>
      <c r="D266" s="1" t="str">
        <f t="shared" si="2"/>
        <v>OceaniaNiue</v>
      </c>
      <c r="E266" s="1">
        <f t="shared" si="3"/>
        <v>265</v>
      </c>
    </row>
    <row r="267" spans="1:5" ht="13">
      <c r="A267" s="22" t="s">
        <v>92</v>
      </c>
      <c r="B267" s="48" t="s">
        <v>436</v>
      </c>
      <c r="C267" s="1">
        <v>266</v>
      </c>
      <c r="D267" s="1" t="str">
        <f t="shared" si="2"/>
        <v>OceaniaNova Caledônia</v>
      </c>
      <c r="E267" s="1">
        <f t="shared" si="3"/>
        <v>266</v>
      </c>
    </row>
    <row r="268" spans="1:5" ht="13">
      <c r="A268" s="12" t="s">
        <v>92</v>
      </c>
      <c r="B268" s="12" t="s">
        <v>438</v>
      </c>
      <c r="C268" s="1">
        <v>267</v>
      </c>
      <c r="D268" s="1" t="str">
        <f t="shared" si="2"/>
        <v>OceaniaNova Zelândia</v>
      </c>
      <c r="E268" s="1">
        <f t="shared" si="3"/>
        <v>267</v>
      </c>
    </row>
    <row r="269" spans="1:5" ht="13">
      <c r="A269" s="22" t="s">
        <v>64</v>
      </c>
      <c r="B269" s="22" t="s">
        <v>73</v>
      </c>
      <c r="C269" s="1">
        <v>268</v>
      </c>
      <c r="D269" s="1" t="str">
        <f t="shared" si="2"/>
        <v>América do NorteEUA</v>
      </c>
      <c r="E269" s="1">
        <f t="shared" si="3"/>
        <v>268</v>
      </c>
    </row>
    <row r="270" spans="1:5" ht="13">
      <c r="A270" s="12" t="s">
        <v>92</v>
      </c>
      <c r="B270" s="16" t="s">
        <v>439</v>
      </c>
      <c r="C270" s="1">
        <v>269</v>
      </c>
      <c r="D270" s="1" t="str">
        <f t="shared" si="2"/>
        <v>OceaniaPalau</v>
      </c>
      <c r="E270" s="1">
        <f t="shared" si="3"/>
        <v>269</v>
      </c>
    </row>
    <row r="271" spans="1:5" ht="13">
      <c r="A271" s="22" t="s">
        <v>92</v>
      </c>
      <c r="B271" s="48" t="s">
        <v>440</v>
      </c>
      <c r="C271" s="1">
        <v>270</v>
      </c>
      <c r="D271" s="1" t="str">
        <f t="shared" si="2"/>
        <v>OceaniaPapua Nova-Guiné</v>
      </c>
      <c r="E271" s="1">
        <f t="shared" si="3"/>
        <v>270</v>
      </c>
    </row>
    <row r="272" spans="1:5" ht="13">
      <c r="A272" s="12" t="s">
        <v>92</v>
      </c>
      <c r="B272" s="16" t="s">
        <v>441</v>
      </c>
      <c r="C272" s="1">
        <v>271</v>
      </c>
      <c r="D272" s="1" t="str">
        <f t="shared" si="2"/>
        <v>OceaniaPolinésia Francesa</v>
      </c>
      <c r="E272" s="1">
        <f t="shared" si="3"/>
        <v>271</v>
      </c>
    </row>
    <row r="273" spans="1:5" ht="13">
      <c r="A273" s="22" t="s">
        <v>92</v>
      </c>
      <c r="B273" s="48" t="s">
        <v>442</v>
      </c>
      <c r="C273" s="1">
        <v>272</v>
      </c>
      <c r="D273" s="1" t="str">
        <f t="shared" si="2"/>
        <v>OceaniaSamoa</v>
      </c>
      <c r="E273" s="1">
        <f t="shared" si="3"/>
        <v>272</v>
      </c>
    </row>
    <row r="274" spans="1:5" ht="13">
      <c r="A274" s="12" t="s">
        <v>92</v>
      </c>
      <c r="B274" s="16" t="s">
        <v>443</v>
      </c>
      <c r="C274" s="1">
        <v>273</v>
      </c>
      <c r="D274" s="1" t="str">
        <f t="shared" si="2"/>
        <v>OceaniaSamoa Americana</v>
      </c>
      <c r="E274" s="1">
        <f t="shared" si="3"/>
        <v>273</v>
      </c>
    </row>
    <row r="275" spans="1:5" ht="13">
      <c r="A275" s="22" t="s">
        <v>92</v>
      </c>
      <c r="B275" s="48" t="s">
        <v>446</v>
      </c>
      <c r="C275" s="1">
        <v>274</v>
      </c>
      <c r="D275" s="1" t="str">
        <f t="shared" si="2"/>
        <v>OceaniaTonga</v>
      </c>
      <c r="E275" s="1">
        <f t="shared" si="3"/>
        <v>274</v>
      </c>
    </row>
    <row r="276" spans="1:5" ht="13">
      <c r="A276" s="12" t="s">
        <v>92</v>
      </c>
      <c r="B276" s="16" t="s">
        <v>448</v>
      </c>
      <c r="C276" s="1">
        <v>275</v>
      </c>
      <c r="D276" s="1" t="str">
        <f t="shared" si="2"/>
        <v>OceaniaTuvalu</v>
      </c>
      <c r="E276" s="1">
        <f t="shared" si="3"/>
        <v>275</v>
      </c>
    </row>
    <row r="277" spans="1:5" ht="13">
      <c r="A277" s="22" t="s">
        <v>92</v>
      </c>
      <c r="B277" s="48" t="s">
        <v>449</v>
      </c>
      <c r="C277" s="1">
        <v>276</v>
      </c>
      <c r="D277" s="1" t="str">
        <f t="shared" si="2"/>
        <v>OceaniaVanuatu</v>
      </c>
      <c r="E277" s="1">
        <f t="shared" si="3"/>
        <v>276</v>
      </c>
    </row>
    <row r="278" spans="1:5" ht="13">
      <c r="A278" s="12" t="s">
        <v>92</v>
      </c>
      <c r="B278" s="16" t="s">
        <v>450</v>
      </c>
      <c r="C278" s="1">
        <v>277</v>
      </c>
      <c r="D278" s="1" t="str">
        <f t="shared" si="2"/>
        <v>OceaniaWallis e Futuna</v>
      </c>
      <c r="E278" s="1">
        <f t="shared" si="3"/>
        <v>277</v>
      </c>
    </row>
    <row r="279" spans="1:5" ht="13">
      <c r="A279" s="22" t="s">
        <v>56</v>
      </c>
      <c r="B279" s="22" t="s">
        <v>451</v>
      </c>
      <c r="C279" s="1">
        <v>278</v>
      </c>
      <c r="D279" s="1" t="str">
        <f t="shared" si="2"/>
        <v>Organismo InternacionalWorld Economic Forum</v>
      </c>
      <c r="E279" s="1">
        <f t="shared" si="3"/>
        <v>278</v>
      </c>
    </row>
    <row r="280" spans="1:5" ht="13">
      <c r="A280" s="12" t="s">
        <v>56</v>
      </c>
      <c r="B280" s="12" t="s">
        <v>227</v>
      </c>
      <c r="C280" s="1">
        <v>279</v>
      </c>
      <c r="D280" s="1" t="str">
        <f t="shared" si="2"/>
        <v>Organismo InternacionalInternational Renewable Energy Agency</v>
      </c>
      <c r="E280" s="1">
        <f t="shared" si="3"/>
        <v>279</v>
      </c>
    </row>
    <row r="281" spans="1:5" ht="13">
      <c r="A281" s="49" t="s">
        <v>64</v>
      </c>
      <c r="B281" s="50" t="s">
        <v>349</v>
      </c>
      <c r="C281" s="51">
        <v>280</v>
      </c>
      <c r="D281" s="52" t="s">
        <v>454</v>
      </c>
      <c r="E281" s="51">
        <v>280</v>
      </c>
    </row>
    <row r="282" spans="1:5" ht="13">
      <c r="A282" s="53" t="s">
        <v>64</v>
      </c>
      <c r="B282" s="50" t="s">
        <v>455</v>
      </c>
      <c r="C282" s="51">
        <v>281</v>
      </c>
      <c r="D282" s="52" t="s">
        <v>456</v>
      </c>
      <c r="E282" s="51">
        <v>281</v>
      </c>
    </row>
    <row r="283" spans="1:5" ht="13">
      <c r="A283" s="53" t="s">
        <v>64</v>
      </c>
      <c r="B283" s="50" t="s">
        <v>372</v>
      </c>
      <c r="C283" s="51">
        <v>282</v>
      </c>
      <c r="D283" s="52" t="s">
        <v>457</v>
      </c>
      <c r="E283" s="51">
        <v>282</v>
      </c>
    </row>
    <row r="284" spans="1:5" ht="13">
      <c r="A284" s="53" t="s">
        <v>64</v>
      </c>
      <c r="B284" s="50" t="s">
        <v>85</v>
      </c>
      <c r="C284" s="51">
        <v>283</v>
      </c>
      <c r="D284" s="52" t="s">
        <v>459</v>
      </c>
      <c r="E284" s="51">
        <v>283</v>
      </c>
    </row>
    <row r="285" spans="1:5" ht="13">
      <c r="A285" s="53" t="s">
        <v>64</v>
      </c>
      <c r="B285" s="50" t="s">
        <v>380</v>
      </c>
      <c r="C285" s="51">
        <v>284</v>
      </c>
      <c r="D285" s="52" t="s">
        <v>460</v>
      </c>
      <c r="E285" s="51">
        <v>284</v>
      </c>
    </row>
    <row r="286" spans="1:5" ht="13">
      <c r="A286" s="53" t="s">
        <v>64</v>
      </c>
      <c r="B286" s="50" t="s">
        <v>462</v>
      </c>
      <c r="C286" s="51">
        <v>285</v>
      </c>
      <c r="D286" s="52" t="s">
        <v>463</v>
      </c>
      <c r="E286" s="51">
        <v>285</v>
      </c>
    </row>
    <row r="287" spans="1:5" ht="13">
      <c r="A287" s="53" t="s">
        <v>64</v>
      </c>
      <c r="B287" s="50" t="s">
        <v>404</v>
      </c>
      <c r="C287" s="51">
        <v>286</v>
      </c>
      <c r="D287" s="52" t="s">
        <v>464</v>
      </c>
      <c r="E287" s="51">
        <v>286</v>
      </c>
    </row>
    <row r="288" spans="1:5" ht="13">
      <c r="A288" s="53" t="s">
        <v>64</v>
      </c>
      <c r="B288" s="50" t="s">
        <v>465</v>
      </c>
      <c r="C288" s="51">
        <v>287</v>
      </c>
      <c r="D288" s="52" t="s">
        <v>467</v>
      </c>
      <c r="E288" s="51">
        <v>287</v>
      </c>
    </row>
    <row r="289" spans="1:5" ht="13">
      <c r="A289" s="53" t="s">
        <v>80</v>
      </c>
      <c r="B289" s="50" t="s">
        <v>465</v>
      </c>
      <c r="C289" s="51">
        <v>288</v>
      </c>
      <c r="D289" s="52" t="s">
        <v>469</v>
      </c>
      <c r="E289" s="51">
        <v>288</v>
      </c>
    </row>
    <row r="290" spans="1:5" ht="13">
      <c r="A290" s="53" t="s">
        <v>58</v>
      </c>
      <c r="B290" s="50" t="s">
        <v>310</v>
      </c>
      <c r="C290" s="51">
        <v>289</v>
      </c>
      <c r="D290" s="52" t="s">
        <v>471</v>
      </c>
      <c r="E290" s="51">
        <v>289</v>
      </c>
    </row>
    <row r="291" spans="1:5" ht="13">
      <c r="A291" s="53" t="s">
        <v>58</v>
      </c>
      <c r="B291" s="50" t="s">
        <v>135</v>
      </c>
      <c r="C291" s="51">
        <v>290</v>
      </c>
      <c r="D291" s="52" t="s">
        <v>472</v>
      </c>
      <c r="E291" s="51">
        <v>290</v>
      </c>
    </row>
    <row r="292" spans="1:5" ht="13">
      <c r="A292" s="53" t="s">
        <v>58</v>
      </c>
      <c r="B292" s="50" t="s">
        <v>462</v>
      </c>
      <c r="C292" s="51">
        <v>291</v>
      </c>
      <c r="D292" s="52" t="s">
        <v>473</v>
      </c>
      <c r="E292" s="51">
        <v>291</v>
      </c>
    </row>
    <row r="293" spans="1:5" ht="13">
      <c r="A293" s="53" t="s">
        <v>58</v>
      </c>
      <c r="B293" s="50" t="s">
        <v>331</v>
      </c>
      <c r="C293" s="51">
        <v>292</v>
      </c>
      <c r="D293" s="52" t="s">
        <v>474</v>
      </c>
      <c r="E293" s="51">
        <v>292</v>
      </c>
    </row>
    <row r="294" spans="1:5" ht="13">
      <c r="A294" s="53" t="s">
        <v>58</v>
      </c>
      <c r="B294" s="50" t="s">
        <v>465</v>
      </c>
      <c r="C294" s="51">
        <v>293</v>
      </c>
      <c r="D294" s="52" t="s">
        <v>475</v>
      </c>
      <c r="E294" s="51">
        <v>293</v>
      </c>
    </row>
    <row r="295" spans="1:5" ht="13">
      <c r="A295" s="53" t="s">
        <v>92</v>
      </c>
      <c r="B295" s="50" t="s">
        <v>465</v>
      </c>
      <c r="C295" s="51">
        <v>294</v>
      </c>
      <c r="D295" s="52" t="s">
        <v>477</v>
      </c>
      <c r="E295" s="51">
        <v>294</v>
      </c>
    </row>
    <row r="296" spans="1:5" ht="13">
      <c r="A296" s="53" t="s">
        <v>56</v>
      </c>
      <c r="B296" s="50" t="s">
        <v>380</v>
      </c>
      <c r="C296" s="51">
        <v>295</v>
      </c>
      <c r="D296" s="52" t="s">
        <v>478</v>
      </c>
      <c r="E296" s="51">
        <v>295</v>
      </c>
    </row>
    <row r="297" spans="1:5" ht="13">
      <c r="A297" s="53" t="s">
        <v>56</v>
      </c>
      <c r="B297" s="50" t="s">
        <v>465</v>
      </c>
      <c r="C297" s="51">
        <v>296</v>
      </c>
      <c r="D297" s="52" t="s">
        <v>479</v>
      </c>
      <c r="E297" s="51">
        <v>296</v>
      </c>
    </row>
    <row r="298" spans="1:5" ht="13">
      <c r="A298" s="54"/>
      <c r="B298" s="54"/>
    </row>
    <row r="299" spans="1:5" ht="13">
      <c r="A299" s="54"/>
      <c r="B299" s="54"/>
    </row>
    <row r="300" spans="1:5" ht="13">
      <c r="A300" s="54"/>
      <c r="B300" s="54"/>
    </row>
    <row r="301" spans="1:5" ht="13">
      <c r="A301" s="54"/>
      <c r="B301" s="54"/>
    </row>
    <row r="302" spans="1:5" ht="13">
      <c r="A302" s="54"/>
      <c r="B302" s="54"/>
    </row>
    <row r="303" spans="1:5" ht="13">
      <c r="A303" s="54"/>
      <c r="B303" s="54"/>
    </row>
    <row r="304" spans="1:5" ht="13">
      <c r="A304" s="54"/>
      <c r="B304" s="54"/>
    </row>
    <row r="305" spans="1:2" ht="13">
      <c r="A305" s="54"/>
      <c r="B305" s="54"/>
    </row>
    <row r="306" spans="1:2" ht="13">
      <c r="A306" s="54"/>
      <c r="B306" s="54"/>
    </row>
    <row r="307" spans="1:2" ht="13">
      <c r="A307" s="54"/>
      <c r="B307" s="54"/>
    </row>
    <row r="308" spans="1:2" ht="13">
      <c r="A308" s="54"/>
      <c r="B308" s="54"/>
    </row>
    <row r="309" spans="1:2" ht="13">
      <c r="A309" s="54"/>
      <c r="B309" s="54"/>
    </row>
    <row r="310" spans="1:2" ht="13">
      <c r="A310" s="54"/>
      <c r="B310" s="54"/>
    </row>
    <row r="311" spans="1:2" ht="13">
      <c r="A311" s="54"/>
      <c r="B311" s="54"/>
    </row>
    <row r="312" spans="1:2" ht="13">
      <c r="A312" s="54"/>
      <c r="B312" s="54"/>
    </row>
    <row r="313" spans="1:2" ht="13">
      <c r="A313" s="54"/>
      <c r="B313" s="54"/>
    </row>
    <row r="314" spans="1:2" ht="13">
      <c r="A314" s="54"/>
      <c r="B314" s="54"/>
    </row>
    <row r="315" spans="1:2" ht="13">
      <c r="A315" s="54"/>
      <c r="B315" s="54"/>
    </row>
    <row r="316" spans="1:2" ht="13">
      <c r="A316" s="54"/>
      <c r="B316" s="54"/>
    </row>
    <row r="317" spans="1:2" ht="13">
      <c r="A317" s="54"/>
      <c r="B317" s="54"/>
    </row>
    <row r="318" spans="1:2" ht="13">
      <c r="A318" s="54"/>
      <c r="B318" s="54"/>
    </row>
    <row r="319" spans="1:2" ht="13">
      <c r="A319" s="54"/>
      <c r="B319" s="54"/>
    </row>
    <row r="320" spans="1:2" ht="13">
      <c r="A320" s="54"/>
      <c r="B320" s="54"/>
    </row>
    <row r="321" spans="1:2" ht="13">
      <c r="A321" s="54"/>
      <c r="B321" s="54"/>
    </row>
    <row r="322" spans="1:2" ht="13">
      <c r="A322" s="54"/>
      <c r="B322" s="54"/>
    </row>
    <row r="323" spans="1:2" ht="13">
      <c r="A323" s="54"/>
      <c r="B323" s="54"/>
    </row>
    <row r="324" spans="1:2" ht="13">
      <c r="A324" s="54"/>
      <c r="B324" s="54"/>
    </row>
    <row r="325" spans="1:2" ht="13">
      <c r="A325" s="54"/>
      <c r="B325" s="54"/>
    </row>
    <row r="326" spans="1:2" ht="13">
      <c r="A326" s="54"/>
      <c r="B326" s="54"/>
    </row>
    <row r="327" spans="1:2" ht="13">
      <c r="A327" s="54"/>
      <c r="B327" s="54"/>
    </row>
    <row r="328" spans="1:2" ht="13">
      <c r="A328" s="54"/>
      <c r="B328" s="54"/>
    </row>
    <row r="329" spans="1:2" ht="13">
      <c r="A329" s="54"/>
      <c r="B329" s="54"/>
    </row>
    <row r="330" spans="1:2" ht="13">
      <c r="A330" s="54"/>
      <c r="B330" s="54"/>
    </row>
    <row r="331" spans="1:2" ht="13">
      <c r="A331" s="54"/>
      <c r="B331" s="54"/>
    </row>
    <row r="332" spans="1:2" ht="13">
      <c r="A332" s="54"/>
      <c r="B332" s="54"/>
    </row>
    <row r="333" spans="1:2" ht="13">
      <c r="A333" s="54"/>
      <c r="B333" s="54"/>
    </row>
    <row r="334" spans="1:2" ht="13">
      <c r="A334" s="54"/>
      <c r="B334" s="54"/>
    </row>
    <row r="335" spans="1:2" ht="13">
      <c r="A335" s="54"/>
      <c r="B335" s="54"/>
    </row>
    <row r="336" spans="1:2" ht="13">
      <c r="A336" s="54"/>
      <c r="B336" s="54"/>
    </row>
    <row r="337" spans="1:2" ht="13">
      <c r="A337" s="54"/>
      <c r="B337" s="54"/>
    </row>
    <row r="338" spans="1:2" ht="13">
      <c r="A338" s="54"/>
      <c r="B338" s="54"/>
    </row>
    <row r="339" spans="1:2" ht="13">
      <c r="A339" s="54"/>
      <c r="B339" s="54"/>
    </row>
    <row r="340" spans="1:2" ht="13">
      <c r="A340" s="54"/>
      <c r="B340" s="54"/>
    </row>
    <row r="341" spans="1:2" ht="13">
      <c r="A341" s="54"/>
      <c r="B341" s="54"/>
    </row>
    <row r="342" spans="1:2" ht="13">
      <c r="A342" s="54"/>
      <c r="B342" s="54"/>
    </row>
    <row r="343" spans="1:2" ht="13">
      <c r="A343" s="54"/>
      <c r="B343" s="54"/>
    </row>
    <row r="344" spans="1:2" ht="13">
      <c r="A344" s="54"/>
      <c r="B344" s="54"/>
    </row>
    <row r="345" spans="1:2" ht="13">
      <c r="A345" s="54"/>
      <c r="B345" s="54"/>
    </row>
    <row r="346" spans="1:2" ht="13">
      <c r="A346" s="54"/>
      <c r="B346" s="54"/>
    </row>
    <row r="347" spans="1:2" ht="13">
      <c r="A347" s="54"/>
      <c r="B347" s="54"/>
    </row>
    <row r="348" spans="1:2" ht="13">
      <c r="A348" s="54"/>
      <c r="B348" s="54"/>
    </row>
    <row r="349" spans="1:2" ht="13">
      <c r="A349" s="54"/>
      <c r="B349" s="54"/>
    </row>
    <row r="350" spans="1:2" ht="13">
      <c r="A350" s="54"/>
      <c r="B350" s="54"/>
    </row>
    <row r="351" spans="1:2" ht="13">
      <c r="A351" s="54"/>
      <c r="B351" s="54"/>
    </row>
    <row r="352" spans="1:2" ht="13">
      <c r="A352" s="54"/>
      <c r="B352" s="54"/>
    </row>
    <row r="353" spans="1:2" ht="13">
      <c r="A353" s="54"/>
      <c r="B353" s="54"/>
    </row>
    <row r="354" spans="1:2" ht="13">
      <c r="A354" s="54"/>
      <c r="B354" s="54"/>
    </row>
    <row r="355" spans="1:2" ht="13">
      <c r="A355" s="54"/>
      <c r="B355" s="54"/>
    </row>
    <row r="356" spans="1:2" ht="13">
      <c r="A356" s="54"/>
      <c r="B356" s="54"/>
    </row>
    <row r="357" spans="1:2" ht="13">
      <c r="A357" s="54"/>
      <c r="B357" s="54"/>
    </row>
    <row r="358" spans="1:2" ht="13">
      <c r="A358" s="54"/>
      <c r="B358" s="54"/>
    </row>
    <row r="359" spans="1:2" ht="13">
      <c r="A359" s="54"/>
      <c r="B359" s="54"/>
    </row>
    <row r="360" spans="1:2" ht="13">
      <c r="A360" s="54"/>
      <c r="B360" s="54"/>
    </row>
    <row r="361" spans="1:2" ht="13">
      <c r="A361" s="54"/>
      <c r="B361" s="54"/>
    </row>
    <row r="362" spans="1:2" ht="13">
      <c r="A362" s="54"/>
      <c r="B362" s="54"/>
    </row>
    <row r="363" spans="1:2" ht="13">
      <c r="A363" s="54"/>
      <c r="B363" s="54"/>
    </row>
    <row r="364" spans="1:2" ht="13">
      <c r="A364" s="54"/>
      <c r="B364" s="54"/>
    </row>
    <row r="365" spans="1:2" ht="13">
      <c r="A365" s="54"/>
      <c r="B365" s="54"/>
    </row>
    <row r="366" spans="1:2" ht="13">
      <c r="A366" s="54"/>
      <c r="B366" s="54"/>
    </row>
    <row r="367" spans="1:2" ht="13">
      <c r="A367" s="54"/>
      <c r="B367" s="54"/>
    </row>
    <row r="368" spans="1:2" ht="13">
      <c r="A368" s="54"/>
      <c r="B368" s="54"/>
    </row>
    <row r="369" spans="1:2" ht="13">
      <c r="A369" s="54"/>
      <c r="B369" s="54"/>
    </row>
    <row r="370" spans="1:2" ht="13">
      <c r="A370" s="54"/>
      <c r="B370" s="54"/>
    </row>
    <row r="371" spans="1:2" ht="13">
      <c r="A371" s="54"/>
      <c r="B371" s="54"/>
    </row>
    <row r="372" spans="1:2" ht="13">
      <c r="A372" s="54"/>
      <c r="B372" s="54"/>
    </row>
    <row r="373" spans="1:2" ht="13">
      <c r="A373" s="54"/>
      <c r="B373" s="54"/>
    </row>
    <row r="374" spans="1:2" ht="13">
      <c r="A374" s="54"/>
      <c r="B374" s="54"/>
    </row>
    <row r="375" spans="1:2" ht="13">
      <c r="A375" s="54"/>
      <c r="B375" s="54"/>
    </row>
    <row r="376" spans="1:2" ht="13">
      <c r="A376" s="54"/>
      <c r="B376" s="54"/>
    </row>
    <row r="377" spans="1:2" ht="13">
      <c r="A377" s="54"/>
      <c r="B377" s="54"/>
    </row>
    <row r="378" spans="1:2" ht="13">
      <c r="A378" s="54"/>
      <c r="B378" s="54"/>
    </row>
    <row r="379" spans="1:2" ht="13">
      <c r="A379" s="54"/>
      <c r="B379" s="54"/>
    </row>
    <row r="380" spans="1:2" ht="13">
      <c r="A380" s="54"/>
      <c r="B380" s="54"/>
    </row>
    <row r="381" spans="1:2" ht="13">
      <c r="A381" s="54"/>
      <c r="B381" s="54"/>
    </row>
    <row r="382" spans="1:2" ht="13">
      <c r="A382" s="54"/>
      <c r="B382" s="54"/>
    </row>
    <row r="383" spans="1:2" ht="13">
      <c r="A383" s="54"/>
      <c r="B383" s="54"/>
    </row>
    <row r="384" spans="1:2" ht="13">
      <c r="A384" s="54"/>
      <c r="B384" s="54"/>
    </row>
    <row r="385" spans="1:2" ht="13">
      <c r="A385" s="54"/>
      <c r="B385" s="54"/>
    </row>
    <row r="386" spans="1:2" ht="13">
      <c r="A386" s="54"/>
      <c r="B386" s="54"/>
    </row>
    <row r="387" spans="1:2" ht="13">
      <c r="A387" s="54"/>
      <c r="B387" s="54"/>
    </row>
    <row r="388" spans="1:2" ht="13">
      <c r="A388" s="54"/>
      <c r="B388" s="54"/>
    </row>
    <row r="389" spans="1:2" ht="13">
      <c r="A389" s="54"/>
      <c r="B389" s="54"/>
    </row>
    <row r="390" spans="1:2" ht="13">
      <c r="A390" s="54"/>
      <c r="B390" s="54"/>
    </row>
    <row r="391" spans="1:2" ht="13">
      <c r="A391" s="54"/>
      <c r="B391" s="54"/>
    </row>
    <row r="392" spans="1:2" ht="13">
      <c r="A392" s="54"/>
      <c r="B392" s="54"/>
    </row>
    <row r="393" spans="1:2" ht="13">
      <c r="A393" s="54"/>
      <c r="B393" s="54"/>
    </row>
    <row r="394" spans="1:2" ht="13">
      <c r="A394" s="54"/>
      <c r="B394" s="54"/>
    </row>
    <row r="395" spans="1:2" ht="13">
      <c r="A395" s="54"/>
      <c r="B395" s="54"/>
    </row>
    <row r="396" spans="1:2" ht="13">
      <c r="A396" s="54"/>
      <c r="B396" s="54"/>
    </row>
    <row r="397" spans="1:2" ht="13">
      <c r="A397" s="54"/>
      <c r="B397" s="54"/>
    </row>
    <row r="398" spans="1:2" ht="13">
      <c r="A398" s="54"/>
      <c r="B398" s="54"/>
    </row>
    <row r="399" spans="1:2" ht="13">
      <c r="A399" s="54"/>
      <c r="B399" s="54"/>
    </row>
    <row r="400" spans="1:2" ht="13">
      <c r="A400" s="54"/>
      <c r="B400" s="54"/>
    </row>
    <row r="401" spans="1:2" ht="13">
      <c r="A401" s="54"/>
      <c r="B401" s="54"/>
    </row>
    <row r="402" spans="1:2" ht="13">
      <c r="A402" s="54"/>
      <c r="B402" s="54"/>
    </row>
    <row r="403" spans="1:2" ht="13">
      <c r="A403" s="54"/>
      <c r="B403" s="54"/>
    </row>
    <row r="404" spans="1:2" ht="13">
      <c r="A404" s="54"/>
      <c r="B404" s="54"/>
    </row>
    <row r="405" spans="1:2" ht="13">
      <c r="A405" s="54"/>
      <c r="B405" s="54"/>
    </row>
    <row r="406" spans="1:2" ht="13">
      <c r="A406" s="54"/>
      <c r="B406" s="54"/>
    </row>
    <row r="407" spans="1:2" ht="13">
      <c r="A407" s="54"/>
      <c r="B407" s="54"/>
    </row>
    <row r="408" spans="1:2" ht="13">
      <c r="A408" s="54"/>
      <c r="B408" s="54"/>
    </row>
    <row r="409" spans="1:2" ht="13">
      <c r="A409" s="54"/>
      <c r="B409" s="54"/>
    </row>
    <row r="410" spans="1:2" ht="13">
      <c r="A410" s="54"/>
      <c r="B410" s="54"/>
    </row>
    <row r="411" spans="1:2" ht="13">
      <c r="A411" s="54"/>
      <c r="B411" s="54"/>
    </row>
    <row r="412" spans="1:2" ht="13">
      <c r="A412" s="54"/>
      <c r="B412" s="54"/>
    </row>
    <row r="413" spans="1:2" ht="13">
      <c r="A413" s="54"/>
      <c r="B413" s="54"/>
    </row>
    <row r="414" spans="1:2" ht="13">
      <c r="A414" s="54"/>
      <c r="B414" s="54"/>
    </row>
    <row r="415" spans="1:2" ht="13">
      <c r="A415" s="54"/>
      <c r="B415" s="54"/>
    </row>
    <row r="416" spans="1:2" ht="13">
      <c r="A416" s="54"/>
      <c r="B416" s="54"/>
    </row>
    <row r="417" spans="1:2" ht="13">
      <c r="A417" s="54"/>
      <c r="B417" s="54"/>
    </row>
    <row r="418" spans="1:2" ht="13">
      <c r="A418" s="54"/>
      <c r="B418" s="54"/>
    </row>
    <row r="419" spans="1:2" ht="13">
      <c r="A419" s="54"/>
      <c r="B419" s="54"/>
    </row>
    <row r="420" spans="1:2" ht="13">
      <c r="A420" s="54"/>
      <c r="B420" s="54"/>
    </row>
    <row r="421" spans="1:2" ht="13">
      <c r="A421" s="54"/>
      <c r="B421" s="54"/>
    </row>
    <row r="422" spans="1:2" ht="13">
      <c r="A422" s="54"/>
      <c r="B422" s="54"/>
    </row>
    <row r="423" spans="1:2" ht="13">
      <c r="A423" s="54"/>
      <c r="B423" s="54"/>
    </row>
    <row r="424" spans="1:2" ht="13">
      <c r="A424" s="54"/>
      <c r="B424" s="54"/>
    </row>
    <row r="425" spans="1:2" ht="13">
      <c r="A425" s="54"/>
      <c r="B425" s="54"/>
    </row>
    <row r="426" spans="1:2" ht="13">
      <c r="A426" s="54"/>
      <c r="B426" s="54"/>
    </row>
    <row r="427" spans="1:2" ht="13">
      <c r="A427" s="54"/>
      <c r="B427" s="54"/>
    </row>
    <row r="428" spans="1:2" ht="13">
      <c r="A428" s="54"/>
      <c r="B428" s="54"/>
    </row>
    <row r="429" spans="1:2" ht="13">
      <c r="A429" s="54"/>
      <c r="B429" s="54"/>
    </row>
    <row r="430" spans="1:2" ht="13">
      <c r="A430" s="54"/>
      <c r="B430" s="54"/>
    </row>
    <row r="431" spans="1:2" ht="13">
      <c r="A431" s="54"/>
      <c r="B431" s="54"/>
    </row>
    <row r="432" spans="1:2" ht="13">
      <c r="A432" s="54"/>
      <c r="B432" s="54"/>
    </row>
    <row r="433" spans="1:2" ht="13">
      <c r="A433" s="54"/>
      <c r="B433" s="54"/>
    </row>
    <row r="434" spans="1:2" ht="13">
      <c r="A434" s="54"/>
      <c r="B434" s="54"/>
    </row>
    <row r="435" spans="1:2" ht="13">
      <c r="A435" s="54"/>
      <c r="B435" s="54"/>
    </row>
    <row r="436" spans="1:2" ht="13">
      <c r="A436" s="54"/>
      <c r="B436" s="54"/>
    </row>
    <row r="437" spans="1:2" ht="13">
      <c r="A437" s="54"/>
      <c r="B437" s="54"/>
    </row>
    <row r="438" spans="1:2" ht="13">
      <c r="A438" s="54"/>
      <c r="B438" s="54"/>
    </row>
    <row r="439" spans="1:2" ht="13">
      <c r="A439" s="54"/>
      <c r="B439" s="54"/>
    </row>
    <row r="440" spans="1:2" ht="13">
      <c r="A440" s="54"/>
      <c r="B440" s="54"/>
    </row>
    <row r="441" spans="1:2" ht="13">
      <c r="A441" s="54"/>
      <c r="B441" s="54"/>
    </row>
    <row r="442" spans="1:2" ht="13">
      <c r="A442" s="54"/>
      <c r="B442" s="54"/>
    </row>
    <row r="443" spans="1:2" ht="13">
      <c r="A443" s="54"/>
      <c r="B443" s="54"/>
    </row>
    <row r="444" spans="1:2" ht="13">
      <c r="A444" s="54"/>
      <c r="B444" s="54"/>
    </row>
    <row r="445" spans="1:2" ht="13">
      <c r="A445" s="54"/>
      <c r="B445" s="54"/>
    </row>
    <row r="446" spans="1:2" ht="13">
      <c r="A446" s="54"/>
      <c r="B446" s="54"/>
    </row>
    <row r="447" spans="1:2" ht="13">
      <c r="A447" s="54"/>
      <c r="B447" s="54"/>
    </row>
    <row r="448" spans="1:2" ht="13">
      <c r="A448" s="54"/>
      <c r="B448" s="54"/>
    </row>
    <row r="449" spans="1:2" ht="13">
      <c r="A449" s="54"/>
      <c r="B449" s="54"/>
    </row>
    <row r="450" spans="1:2" ht="13">
      <c r="A450" s="54"/>
      <c r="B450" s="54"/>
    </row>
    <row r="451" spans="1:2" ht="13">
      <c r="A451" s="54"/>
      <c r="B451" s="54"/>
    </row>
    <row r="452" spans="1:2" ht="13">
      <c r="A452" s="54"/>
      <c r="B452" s="54"/>
    </row>
    <row r="453" spans="1:2" ht="13">
      <c r="A453" s="54"/>
      <c r="B453" s="54"/>
    </row>
    <row r="454" spans="1:2" ht="13">
      <c r="A454" s="54"/>
      <c r="B454" s="54"/>
    </row>
    <row r="455" spans="1:2" ht="13">
      <c r="A455" s="54"/>
      <c r="B455" s="54"/>
    </row>
    <row r="456" spans="1:2" ht="13">
      <c r="A456" s="54"/>
      <c r="B456" s="54"/>
    </row>
    <row r="457" spans="1:2" ht="13">
      <c r="A457" s="54"/>
      <c r="B457" s="54"/>
    </row>
    <row r="458" spans="1:2" ht="13">
      <c r="A458" s="54"/>
      <c r="B458" s="54"/>
    </row>
    <row r="459" spans="1:2" ht="13">
      <c r="A459" s="54"/>
      <c r="B459" s="54"/>
    </row>
    <row r="460" spans="1:2" ht="13">
      <c r="A460" s="54"/>
      <c r="B460" s="54"/>
    </row>
    <row r="461" spans="1:2" ht="13">
      <c r="A461" s="54"/>
      <c r="B461" s="54"/>
    </row>
    <row r="462" spans="1:2" ht="13">
      <c r="A462" s="54"/>
      <c r="B462" s="54"/>
    </row>
    <row r="463" spans="1:2" ht="13">
      <c r="A463" s="54"/>
      <c r="B463" s="54"/>
    </row>
    <row r="464" spans="1:2" ht="13">
      <c r="A464" s="54"/>
      <c r="B464" s="54"/>
    </row>
    <row r="465" spans="1:2" ht="13">
      <c r="A465" s="54"/>
      <c r="B465" s="54"/>
    </row>
    <row r="466" spans="1:2" ht="13">
      <c r="A466" s="54"/>
      <c r="B466" s="54"/>
    </row>
    <row r="467" spans="1:2" ht="13">
      <c r="A467" s="54"/>
      <c r="B467" s="54"/>
    </row>
    <row r="468" spans="1:2" ht="13">
      <c r="A468" s="54"/>
      <c r="B468" s="54"/>
    </row>
    <row r="469" spans="1:2" ht="13">
      <c r="A469" s="54"/>
      <c r="B469" s="54"/>
    </row>
    <row r="470" spans="1:2" ht="13">
      <c r="A470" s="54"/>
      <c r="B470" s="54"/>
    </row>
    <row r="471" spans="1:2" ht="13">
      <c r="A471" s="54"/>
      <c r="B471" s="54"/>
    </row>
    <row r="472" spans="1:2" ht="13">
      <c r="A472" s="54"/>
      <c r="B472" s="54"/>
    </row>
    <row r="473" spans="1:2" ht="13">
      <c r="A473" s="54"/>
      <c r="B473" s="54"/>
    </row>
    <row r="474" spans="1:2" ht="13">
      <c r="A474" s="54"/>
      <c r="B474" s="54"/>
    </row>
    <row r="475" spans="1:2" ht="13">
      <c r="A475" s="54"/>
      <c r="B475" s="54"/>
    </row>
    <row r="476" spans="1:2" ht="13">
      <c r="A476" s="54"/>
      <c r="B476" s="54"/>
    </row>
    <row r="477" spans="1:2" ht="13">
      <c r="A477" s="54"/>
      <c r="B477" s="54"/>
    </row>
    <row r="478" spans="1:2" ht="13">
      <c r="A478" s="54"/>
      <c r="B478" s="54"/>
    </row>
    <row r="479" spans="1:2" ht="13">
      <c r="A479" s="54"/>
      <c r="B479" s="54"/>
    </row>
    <row r="480" spans="1:2" ht="13">
      <c r="A480" s="54"/>
      <c r="B480" s="54"/>
    </row>
    <row r="481" spans="1:2" ht="13">
      <c r="A481" s="54"/>
      <c r="B481" s="54"/>
    </row>
    <row r="482" spans="1:2" ht="13">
      <c r="A482" s="54"/>
      <c r="B482" s="54"/>
    </row>
    <row r="483" spans="1:2" ht="13">
      <c r="A483" s="54"/>
      <c r="B483" s="54"/>
    </row>
    <row r="484" spans="1:2" ht="13">
      <c r="A484" s="54"/>
      <c r="B484" s="54"/>
    </row>
    <row r="485" spans="1:2" ht="13">
      <c r="A485" s="54"/>
      <c r="B485" s="54"/>
    </row>
    <row r="486" spans="1:2" ht="13">
      <c r="A486" s="54"/>
      <c r="B486" s="54"/>
    </row>
    <row r="487" spans="1:2" ht="13">
      <c r="A487" s="54"/>
      <c r="B487" s="54"/>
    </row>
    <row r="488" spans="1:2" ht="13">
      <c r="A488" s="54"/>
      <c r="B488" s="54"/>
    </row>
    <row r="489" spans="1:2" ht="13">
      <c r="A489" s="54"/>
      <c r="B489" s="54"/>
    </row>
    <row r="490" spans="1:2" ht="13">
      <c r="A490" s="54"/>
      <c r="B490" s="54"/>
    </row>
    <row r="491" spans="1:2" ht="13">
      <c r="A491" s="54"/>
      <c r="B491" s="54"/>
    </row>
    <row r="492" spans="1:2" ht="13">
      <c r="A492" s="54"/>
      <c r="B492" s="54"/>
    </row>
    <row r="493" spans="1:2" ht="13">
      <c r="A493" s="54"/>
      <c r="B493" s="54"/>
    </row>
    <row r="494" spans="1:2" ht="13">
      <c r="A494" s="54"/>
      <c r="B494" s="54"/>
    </row>
    <row r="495" spans="1:2" ht="13">
      <c r="A495" s="54"/>
      <c r="B495" s="54"/>
    </row>
    <row r="496" spans="1:2" ht="13">
      <c r="A496" s="54"/>
      <c r="B496" s="54"/>
    </row>
    <row r="497" spans="1:2" ht="13">
      <c r="A497" s="54"/>
      <c r="B497" s="54"/>
    </row>
    <row r="498" spans="1:2" ht="13">
      <c r="A498" s="54"/>
      <c r="B498" s="54"/>
    </row>
    <row r="499" spans="1:2" ht="13">
      <c r="A499" s="54"/>
      <c r="B499" s="54"/>
    </row>
    <row r="500" spans="1:2" ht="13">
      <c r="A500" s="54"/>
      <c r="B500" s="54"/>
    </row>
    <row r="501" spans="1:2" ht="13">
      <c r="A501" s="54"/>
      <c r="B501" s="54"/>
    </row>
    <row r="502" spans="1:2" ht="13">
      <c r="A502" s="54"/>
      <c r="B502" s="54"/>
    </row>
    <row r="503" spans="1:2" ht="13">
      <c r="A503" s="54"/>
      <c r="B503" s="54"/>
    </row>
    <row r="504" spans="1:2" ht="13">
      <c r="A504" s="54"/>
      <c r="B504" s="54"/>
    </row>
    <row r="505" spans="1:2" ht="13">
      <c r="A505" s="54"/>
      <c r="B505" s="54"/>
    </row>
    <row r="506" spans="1:2" ht="13">
      <c r="A506" s="54"/>
      <c r="B506" s="54"/>
    </row>
    <row r="507" spans="1:2" ht="13">
      <c r="A507" s="54"/>
      <c r="B507" s="54"/>
    </row>
    <row r="508" spans="1:2" ht="13">
      <c r="A508" s="54"/>
      <c r="B508" s="54"/>
    </row>
    <row r="509" spans="1:2" ht="13">
      <c r="A509" s="54"/>
      <c r="B509" s="54"/>
    </row>
    <row r="510" spans="1:2" ht="13">
      <c r="A510" s="54"/>
      <c r="B510" s="54"/>
    </row>
    <row r="511" spans="1:2" ht="13">
      <c r="A511" s="54"/>
      <c r="B511" s="54"/>
    </row>
    <row r="512" spans="1:2" ht="13">
      <c r="A512" s="54"/>
      <c r="B512" s="54"/>
    </row>
    <row r="513" spans="1:2" ht="13">
      <c r="A513" s="54"/>
      <c r="B513" s="54"/>
    </row>
    <row r="514" spans="1:2" ht="13">
      <c r="A514" s="54"/>
      <c r="B514" s="54"/>
    </row>
    <row r="515" spans="1:2" ht="13">
      <c r="A515" s="54"/>
      <c r="B515" s="54"/>
    </row>
    <row r="516" spans="1:2" ht="13">
      <c r="A516" s="54"/>
      <c r="B516" s="54"/>
    </row>
    <row r="517" spans="1:2" ht="13">
      <c r="A517" s="54"/>
      <c r="B517" s="54"/>
    </row>
    <row r="518" spans="1:2" ht="13">
      <c r="A518" s="54"/>
      <c r="B518" s="54"/>
    </row>
    <row r="519" spans="1:2" ht="13">
      <c r="A519" s="54"/>
      <c r="B519" s="54"/>
    </row>
    <row r="520" spans="1:2" ht="13">
      <c r="A520" s="54"/>
      <c r="B520" s="54"/>
    </row>
    <row r="521" spans="1:2" ht="13">
      <c r="A521" s="54"/>
      <c r="B521" s="54"/>
    </row>
    <row r="522" spans="1:2" ht="13">
      <c r="A522" s="54"/>
      <c r="B522" s="54"/>
    </row>
    <row r="523" spans="1:2" ht="13">
      <c r="A523" s="54"/>
      <c r="B523" s="54"/>
    </row>
    <row r="524" spans="1:2" ht="13">
      <c r="A524" s="54"/>
      <c r="B524" s="54"/>
    </row>
    <row r="525" spans="1:2" ht="13">
      <c r="A525" s="54"/>
      <c r="B525" s="54"/>
    </row>
    <row r="526" spans="1:2" ht="13">
      <c r="A526" s="54"/>
      <c r="B526" s="54"/>
    </row>
    <row r="527" spans="1:2" ht="13">
      <c r="A527" s="54"/>
      <c r="B527" s="54"/>
    </row>
    <row r="528" spans="1:2" ht="13">
      <c r="A528" s="54"/>
      <c r="B528" s="54"/>
    </row>
    <row r="529" spans="1:2" ht="13">
      <c r="A529" s="54"/>
      <c r="B529" s="54"/>
    </row>
    <row r="530" spans="1:2" ht="13">
      <c r="A530" s="54"/>
      <c r="B530" s="54"/>
    </row>
    <row r="531" spans="1:2" ht="13">
      <c r="A531" s="54"/>
      <c r="B531" s="54"/>
    </row>
    <row r="532" spans="1:2" ht="13">
      <c r="A532" s="54"/>
      <c r="B532" s="54"/>
    </row>
    <row r="533" spans="1:2" ht="13">
      <c r="A533" s="54"/>
      <c r="B533" s="54"/>
    </row>
    <row r="534" spans="1:2" ht="13">
      <c r="A534" s="54"/>
      <c r="B534" s="54"/>
    </row>
    <row r="535" spans="1:2" ht="13">
      <c r="A535" s="54"/>
      <c r="B535" s="54"/>
    </row>
    <row r="536" spans="1:2" ht="13">
      <c r="A536" s="54"/>
      <c r="B536" s="54"/>
    </row>
    <row r="537" spans="1:2" ht="13">
      <c r="A537" s="54"/>
      <c r="B537" s="54"/>
    </row>
    <row r="538" spans="1:2" ht="13">
      <c r="A538" s="54"/>
      <c r="B538" s="54"/>
    </row>
    <row r="539" spans="1:2" ht="13">
      <c r="A539" s="54"/>
      <c r="B539" s="54"/>
    </row>
    <row r="540" spans="1:2" ht="13">
      <c r="A540" s="54"/>
      <c r="B540" s="54"/>
    </row>
    <row r="541" spans="1:2" ht="13">
      <c r="A541" s="54"/>
      <c r="B541" s="54"/>
    </row>
    <row r="542" spans="1:2" ht="13">
      <c r="A542" s="54"/>
      <c r="B542" s="54"/>
    </row>
    <row r="543" spans="1:2" ht="13">
      <c r="A543" s="54"/>
      <c r="B543" s="54"/>
    </row>
    <row r="544" spans="1:2" ht="13">
      <c r="A544" s="54"/>
      <c r="B544" s="54"/>
    </row>
    <row r="545" spans="1:2" ht="13">
      <c r="A545" s="54"/>
      <c r="B545" s="54"/>
    </row>
    <row r="546" spans="1:2" ht="13">
      <c r="A546" s="54"/>
      <c r="B546" s="54"/>
    </row>
    <row r="547" spans="1:2" ht="13">
      <c r="A547" s="54"/>
      <c r="B547" s="54"/>
    </row>
    <row r="548" spans="1:2" ht="13">
      <c r="A548" s="54"/>
      <c r="B548" s="54"/>
    </row>
    <row r="549" spans="1:2" ht="13">
      <c r="A549" s="54"/>
      <c r="B549" s="54"/>
    </row>
    <row r="550" spans="1:2" ht="13">
      <c r="A550" s="54"/>
      <c r="B550" s="54"/>
    </row>
    <row r="551" spans="1:2" ht="13">
      <c r="A551" s="54"/>
      <c r="B551" s="54"/>
    </row>
    <row r="552" spans="1:2" ht="13">
      <c r="A552" s="54"/>
      <c r="B552" s="54"/>
    </row>
    <row r="553" spans="1:2" ht="13">
      <c r="A553" s="54"/>
      <c r="B553" s="54"/>
    </row>
    <row r="554" spans="1:2" ht="13">
      <c r="A554" s="54"/>
      <c r="B554" s="54"/>
    </row>
    <row r="555" spans="1:2" ht="13">
      <c r="A555" s="54"/>
      <c r="B555" s="54"/>
    </row>
    <row r="556" spans="1:2" ht="13">
      <c r="A556" s="54"/>
      <c r="B556" s="54"/>
    </row>
    <row r="557" spans="1:2" ht="13">
      <c r="A557" s="54"/>
      <c r="B557" s="54"/>
    </row>
    <row r="558" spans="1:2" ht="13">
      <c r="A558" s="54"/>
      <c r="B558" s="54"/>
    </row>
    <row r="559" spans="1:2" ht="13">
      <c r="A559" s="54"/>
      <c r="B559" s="54"/>
    </row>
    <row r="560" spans="1:2" ht="13">
      <c r="A560" s="54"/>
      <c r="B560" s="54"/>
    </row>
    <row r="561" spans="1:2" ht="13">
      <c r="A561" s="54"/>
      <c r="B561" s="54"/>
    </row>
    <row r="562" spans="1:2" ht="13">
      <c r="A562" s="54"/>
      <c r="B562" s="54"/>
    </row>
    <row r="563" spans="1:2" ht="13">
      <c r="A563" s="54"/>
      <c r="B563" s="54"/>
    </row>
    <row r="564" spans="1:2" ht="13">
      <c r="A564" s="54"/>
      <c r="B564" s="54"/>
    </row>
    <row r="565" spans="1:2" ht="13">
      <c r="A565" s="54"/>
      <c r="B565" s="54"/>
    </row>
    <row r="566" spans="1:2" ht="13">
      <c r="A566" s="54"/>
      <c r="B566" s="54"/>
    </row>
    <row r="567" spans="1:2" ht="13">
      <c r="A567" s="54"/>
      <c r="B567" s="54"/>
    </row>
    <row r="568" spans="1:2" ht="13">
      <c r="A568" s="54"/>
      <c r="B568" s="54"/>
    </row>
    <row r="569" spans="1:2" ht="13">
      <c r="A569" s="54"/>
      <c r="B569" s="54"/>
    </row>
    <row r="570" spans="1:2" ht="13">
      <c r="A570" s="54"/>
      <c r="B570" s="54"/>
    </row>
    <row r="571" spans="1:2" ht="13">
      <c r="A571" s="54"/>
      <c r="B571" s="54"/>
    </row>
    <row r="572" spans="1:2" ht="13">
      <c r="A572" s="54"/>
      <c r="B572" s="54"/>
    </row>
    <row r="573" spans="1:2" ht="13">
      <c r="A573" s="54"/>
      <c r="B573" s="54"/>
    </row>
    <row r="574" spans="1:2" ht="13">
      <c r="A574" s="54"/>
      <c r="B574" s="54"/>
    </row>
    <row r="575" spans="1:2" ht="13">
      <c r="A575" s="54"/>
      <c r="B575" s="54"/>
    </row>
    <row r="576" spans="1:2" ht="13">
      <c r="A576" s="54"/>
      <c r="B576" s="54"/>
    </row>
    <row r="577" spans="1:2" ht="13">
      <c r="A577" s="54"/>
      <c r="B577" s="54"/>
    </row>
    <row r="578" spans="1:2" ht="13">
      <c r="A578" s="54"/>
      <c r="B578" s="54"/>
    </row>
    <row r="579" spans="1:2" ht="13">
      <c r="A579" s="54"/>
      <c r="B579" s="54"/>
    </row>
    <row r="580" spans="1:2" ht="13">
      <c r="A580" s="54"/>
      <c r="B580" s="54"/>
    </row>
    <row r="581" spans="1:2" ht="13">
      <c r="A581" s="54"/>
      <c r="B581" s="54"/>
    </row>
    <row r="582" spans="1:2" ht="13">
      <c r="A582" s="54"/>
      <c r="B582" s="54"/>
    </row>
    <row r="583" spans="1:2" ht="13">
      <c r="A583" s="54"/>
      <c r="B583" s="54"/>
    </row>
    <row r="584" spans="1:2" ht="13">
      <c r="A584" s="54"/>
      <c r="B584" s="54"/>
    </row>
    <row r="585" spans="1:2" ht="13">
      <c r="A585" s="54"/>
      <c r="B585" s="54"/>
    </row>
    <row r="586" spans="1:2" ht="13">
      <c r="A586" s="54"/>
      <c r="B586" s="54"/>
    </row>
    <row r="587" spans="1:2" ht="13">
      <c r="A587" s="54"/>
      <c r="B587" s="54"/>
    </row>
    <row r="588" spans="1:2" ht="13">
      <c r="A588" s="54"/>
      <c r="B588" s="54"/>
    </row>
    <row r="589" spans="1:2" ht="13">
      <c r="A589" s="54"/>
      <c r="B589" s="54"/>
    </row>
    <row r="590" spans="1:2" ht="13">
      <c r="A590" s="54"/>
      <c r="B590" s="54"/>
    </row>
    <row r="591" spans="1:2" ht="13">
      <c r="A591" s="54"/>
      <c r="B591" s="54"/>
    </row>
    <row r="592" spans="1:2" ht="13">
      <c r="A592" s="54"/>
      <c r="B592" s="54"/>
    </row>
    <row r="593" spans="1:2" ht="13">
      <c r="A593" s="54"/>
      <c r="B593" s="54"/>
    </row>
    <row r="594" spans="1:2" ht="13">
      <c r="A594" s="54"/>
      <c r="B594" s="54"/>
    </row>
    <row r="595" spans="1:2" ht="13">
      <c r="A595" s="54"/>
      <c r="B595" s="54"/>
    </row>
    <row r="596" spans="1:2" ht="13">
      <c r="A596" s="54"/>
      <c r="B596" s="54"/>
    </row>
    <row r="597" spans="1:2" ht="13">
      <c r="A597" s="54"/>
      <c r="B597" s="54"/>
    </row>
    <row r="598" spans="1:2" ht="13">
      <c r="A598" s="54"/>
      <c r="B598" s="54"/>
    </row>
    <row r="599" spans="1:2" ht="13">
      <c r="A599" s="54"/>
      <c r="B599" s="54"/>
    </row>
    <row r="600" spans="1:2" ht="13">
      <c r="A600" s="54"/>
      <c r="B600" s="54"/>
    </row>
    <row r="601" spans="1:2" ht="13">
      <c r="A601" s="54"/>
      <c r="B601" s="54"/>
    </row>
    <row r="602" spans="1:2" ht="13">
      <c r="A602" s="54"/>
      <c r="B602" s="54"/>
    </row>
    <row r="603" spans="1:2" ht="13">
      <c r="A603" s="54"/>
      <c r="B603" s="54"/>
    </row>
    <row r="604" spans="1:2" ht="13">
      <c r="A604" s="54"/>
      <c r="B604" s="54"/>
    </row>
    <row r="605" spans="1:2" ht="13">
      <c r="A605" s="54"/>
      <c r="B605" s="54"/>
    </row>
    <row r="606" spans="1:2" ht="13">
      <c r="A606" s="54"/>
      <c r="B606" s="54"/>
    </row>
    <row r="607" spans="1:2" ht="13">
      <c r="A607" s="54"/>
      <c r="B607" s="54"/>
    </row>
    <row r="608" spans="1:2" ht="13">
      <c r="A608" s="54"/>
      <c r="B608" s="54"/>
    </row>
    <row r="609" spans="1:2" ht="13">
      <c r="A609" s="54"/>
      <c r="B609" s="54"/>
    </row>
    <row r="610" spans="1:2" ht="13">
      <c r="A610" s="54"/>
      <c r="B610" s="54"/>
    </row>
    <row r="611" spans="1:2" ht="13">
      <c r="A611" s="54"/>
      <c r="B611" s="54"/>
    </row>
    <row r="612" spans="1:2" ht="13">
      <c r="A612" s="54"/>
      <c r="B612" s="54"/>
    </row>
    <row r="613" spans="1:2" ht="13">
      <c r="A613" s="54"/>
      <c r="B613" s="54"/>
    </row>
    <row r="614" spans="1:2" ht="13">
      <c r="A614" s="54"/>
      <c r="B614" s="54"/>
    </row>
    <row r="615" spans="1:2" ht="13">
      <c r="A615" s="54"/>
      <c r="B615" s="54"/>
    </row>
    <row r="616" spans="1:2" ht="13">
      <c r="A616" s="54"/>
      <c r="B616" s="54"/>
    </row>
    <row r="617" spans="1:2" ht="13">
      <c r="A617" s="54"/>
      <c r="B617" s="54"/>
    </row>
    <row r="618" spans="1:2" ht="13">
      <c r="A618" s="54"/>
      <c r="B618" s="54"/>
    </row>
    <row r="619" spans="1:2" ht="13">
      <c r="A619" s="54"/>
      <c r="B619" s="54"/>
    </row>
    <row r="620" spans="1:2" ht="13">
      <c r="A620" s="54"/>
      <c r="B620" s="54"/>
    </row>
    <row r="621" spans="1:2" ht="13">
      <c r="A621" s="54"/>
      <c r="B621" s="54"/>
    </row>
    <row r="622" spans="1:2" ht="13">
      <c r="A622" s="54"/>
      <c r="B622" s="54"/>
    </row>
    <row r="623" spans="1:2" ht="13">
      <c r="A623" s="54"/>
      <c r="B623" s="54"/>
    </row>
    <row r="624" spans="1:2" ht="13">
      <c r="A624" s="54"/>
      <c r="B624" s="54"/>
    </row>
    <row r="625" spans="1:2" ht="13">
      <c r="A625" s="54"/>
      <c r="B625" s="54"/>
    </row>
    <row r="626" spans="1:2" ht="13">
      <c r="A626" s="54"/>
      <c r="B626" s="54"/>
    </row>
    <row r="627" spans="1:2" ht="13">
      <c r="A627" s="54"/>
      <c r="B627" s="54"/>
    </row>
    <row r="628" spans="1:2" ht="13">
      <c r="A628" s="54"/>
      <c r="B628" s="54"/>
    </row>
    <row r="629" spans="1:2" ht="13">
      <c r="A629" s="54"/>
      <c r="B629" s="54"/>
    </row>
    <row r="630" spans="1:2" ht="13">
      <c r="A630" s="54"/>
      <c r="B630" s="54"/>
    </row>
    <row r="631" spans="1:2" ht="13">
      <c r="A631" s="54"/>
      <c r="B631" s="54"/>
    </row>
    <row r="632" spans="1:2" ht="13">
      <c r="A632" s="54"/>
      <c r="B632" s="54"/>
    </row>
    <row r="633" spans="1:2" ht="13">
      <c r="A633" s="54"/>
      <c r="B633" s="54"/>
    </row>
    <row r="634" spans="1:2" ht="13">
      <c r="A634" s="54"/>
      <c r="B634" s="54"/>
    </row>
    <row r="635" spans="1:2" ht="13">
      <c r="A635" s="54"/>
      <c r="B635" s="54"/>
    </row>
    <row r="636" spans="1:2" ht="13">
      <c r="A636" s="54"/>
      <c r="B636" s="54"/>
    </row>
    <row r="637" spans="1:2" ht="13">
      <c r="A637" s="54"/>
      <c r="B637" s="54"/>
    </row>
    <row r="638" spans="1:2" ht="13">
      <c r="A638" s="54"/>
      <c r="B638" s="54"/>
    </row>
    <row r="639" spans="1:2" ht="13">
      <c r="A639" s="54"/>
      <c r="B639" s="54"/>
    </row>
    <row r="640" spans="1:2" ht="13">
      <c r="A640" s="54"/>
      <c r="B640" s="54"/>
    </row>
    <row r="641" spans="1:2" ht="13">
      <c r="A641" s="54"/>
      <c r="B641" s="54"/>
    </row>
    <row r="642" spans="1:2" ht="13">
      <c r="A642" s="54"/>
      <c r="B642" s="54"/>
    </row>
    <row r="643" spans="1:2" ht="13">
      <c r="A643" s="54"/>
      <c r="B643" s="54"/>
    </row>
    <row r="644" spans="1:2" ht="13">
      <c r="A644" s="54"/>
      <c r="B644" s="54"/>
    </row>
    <row r="645" spans="1:2" ht="13">
      <c r="A645" s="54"/>
      <c r="B645" s="54"/>
    </row>
    <row r="646" spans="1:2" ht="13">
      <c r="A646" s="54"/>
      <c r="B646" s="54"/>
    </row>
    <row r="647" spans="1:2" ht="13">
      <c r="A647" s="54"/>
      <c r="B647" s="54"/>
    </row>
    <row r="648" spans="1:2" ht="13">
      <c r="A648" s="54"/>
      <c r="B648" s="54"/>
    </row>
    <row r="649" spans="1:2" ht="13">
      <c r="A649" s="54"/>
      <c r="B649" s="54"/>
    </row>
    <row r="650" spans="1:2" ht="13">
      <c r="A650" s="54"/>
      <c r="B650" s="54"/>
    </row>
    <row r="651" spans="1:2" ht="13">
      <c r="A651" s="54"/>
      <c r="B651" s="54"/>
    </row>
    <row r="652" spans="1:2" ht="13">
      <c r="A652" s="54"/>
      <c r="B652" s="54"/>
    </row>
    <row r="653" spans="1:2" ht="13">
      <c r="A653" s="54"/>
      <c r="B653" s="54"/>
    </row>
    <row r="654" spans="1:2" ht="13">
      <c r="A654" s="54"/>
      <c r="B654" s="54"/>
    </row>
    <row r="655" spans="1:2" ht="13">
      <c r="A655" s="54"/>
      <c r="B655" s="54"/>
    </row>
    <row r="656" spans="1:2" ht="13">
      <c r="A656" s="54"/>
      <c r="B656" s="54"/>
    </row>
    <row r="657" spans="1:2" ht="13">
      <c r="A657" s="54"/>
      <c r="B657" s="54"/>
    </row>
    <row r="658" spans="1:2" ht="13">
      <c r="A658" s="54"/>
      <c r="B658" s="54"/>
    </row>
    <row r="659" spans="1:2" ht="13">
      <c r="A659" s="54"/>
      <c r="B659" s="54"/>
    </row>
    <row r="660" spans="1:2" ht="13">
      <c r="A660" s="54"/>
      <c r="B660" s="54"/>
    </row>
    <row r="661" spans="1:2" ht="13">
      <c r="A661" s="54"/>
      <c r="B661" s="54"/>
    </row>
    <row r="662" spans="1:2" ht="13">
      <c r="A662" s="54"/>
      <c r="B662" s="54"/>
    </row>
    <row r="663" spans="1:2" ht="13">
      <c r="A663" s="54"/>
      <c r="B663" s="54"/>
    </row>
    <row r="664" spans="1:2" ht="13">
      <c r="A664" s="54"/>
      <c r="B664" s="54"/>
    </row>
    <row r="665" spans="1:2" ht="13">
      <c r="A665" s="54"/>
      <c r="B665" s="54"/>
    </row>
    <row r="666" spans="1:2" ht="13">
      <c r="A666" s="54"/>
      <c r="B666" s="54"/>
    </row>
    <row r="667" spans="1:2" ht="13">
      <c r="A667" s="54"/>
      <c r="B667" s="54"/>
    </row>
    <row r="668" spans="1:2" ht="13">
      <c r="A668" s="54"/>
      <c r="B668" s="54"/>
    </row>
    <row r="669" spans="1:2" ht="13">
      <c r="A669" s="54"/>
      <c r="B669" s="54"/>
    </row>
    <row r="670" spans="1:2" ht="13">
      <c r="A670" s="54"/>
      <c r="B670" s="54"/>
    </row>
    <row r="671" spans="1:2" ht="13">
      <c r="A671" s="54"/>
      <c r="B671" s="54"/>
    </row>
    <row r="672" spans="1:2" ht="13">
      <c r="A672" s="54"/>
      <c r="B672" s="54"/>
    </row>
    <row r="673" spans="1:2" ht="13">
      <c r="A673" s="54"/>
      <c r="B673" s="54"/>
    </row>
    <row r="674" spans="1:2" ht="13">
      <c r="A674" s="54"/>
      <c r="B674" s="54"/>
    </row>
    <row r="675" spans="1:2" ht="13">
      <c r="A675" s="54"/>
      <c r="B675" s="54"/>
    </row>
    <row r="676" spans="1:2" ht="13">
      <c r="A676" s="54"/>
      <c r="B676" s="54"/>
    </row>
    <row r="677" spans="1:2" ht="13">
      <c r="A677" s="54"/>
      <c r="B677" s="54"/>
    </row>
    <row r="678" spans="1:2" ht="13">
      <c r="A678" s="54"/>
      <c r="B678" s="54"/>
    </row>
    <row r="679" spans="1:2" ht="13">
      <c r="A679" s="54"/>
      <c r="B679" s="54"/>
    </row>
    <row r="680" spans="1:2" ht="13">
      <c r="A680" s="54"/>
      <c r="B680" s="54"/>
    </row>
    <row r="681" spans="1:2" ht="13">
      <c r="A681" s="54"/>
      <c r="B681" s="54"/>
    </row>
    <row r="682" spans="1:2" ht="13">
      <c r="A682" s="54"/>
      <c r="B682" s="54"/>
    </row>
    <row r="683" spans="1:2" ht="13">
      <c r="A683" s="54"/>
      <c r="B683" s="54"/>
    </row>
    <row r="684" spans="1:2" ht="13">
      <c r="A684" s="54"/>
      <c r="B684" s="54"/>
    </row>
    <row r="685" spans="1:2" ht="13">
      <c r="A685" s="54"/>
      <c r="B685" s="54"/>
    </row>
    <row r="686" spans="1:2" ht="13">
      <c r="A686" s="54"/>
      <c r="B686" s="54"/>
    </row>
    <row r="687" spans="1:2" ht="13">
      <c r="A687" s="54"/>
      <c r="B687" s="54"/>
    </row>
    <row r="688" spans="1:2" ht="13">
      <c r="A688" s="54"/>
      <c r="B688" s="54"/>
    </row>
    <row r="689" spans="1:2" ht="13">
      <c r="A689" s="54"/>
      <c r="B689" s="54"/>
    </row>
    <row r="690" spans="1:2" ht="13">
      <c r="A690" s="54"/>
      <c r="B690" s="54"/>
    </row>
    <row r="691" spans="1:2" ht="13">
      <c r="A691" s="54"/>
      <c r="B691" s="54"/>
    </row>
    <row r="692" spans="1:2" ht="13">
      <c r="A692" s="54"/>
      <c r="B692" s="54"/>
    </row>
    <row r="693" spans="1:2" ht="13">
      <c r="A693" s="54"/>
      <c r="B693" s="54"/>
    </row>
    <row r="694" spans="1:2" ht="13">
      <c r="A694" s="54"/>
      <c r="B694" s="54"/>
    </row>
    <row r="695" spans="1:2" ht="13">
      <c r="A695" s="54"/>
      <c r="B695" s="54"/>
    </row>
    <row r="696" spans="1:2" ht="13">
      <c r="A696" s="54"/>
      <c r="B696" s="54"/>
    </row>
    <row r="697" spans="1:2" ht="13">
      <c r="A697" s="54"/>
      <c r="B697" s="54"/>
    </row>
    <row r="698" spans="1:2" ht="13">
      <c r="A698" s="54"/>
      <c r="B698" s="54"/>
    </row>
    <row r="699" spans="1:2" ht="13">
      <c r="A699" s="54"/>
      <c r="B699" s="54"/>
    </row>
    <row r="700" spans="1:2" ht="13">
      <c r="A700" s="54"/>
      <c r="B700" s="54"/>
    </row>
    <row r="701" spans="1:2" ht="13">
      <c r="A701" s="54"/>
      <c r="B701" s="54"/>
    </row>
    <row r="702" spans="1:2" ht="13">
      <c r="A702" s="54"/>
      <c r="B702" s="54"/>
    </row>
    <row r="703" spans="1:2" ht="13">
      <c r="A703" s="54"/>
      <c r="B703" s="54"/>
    </row>
    <row r="704" spans="1:2" ht="13">
      <c r="A704" s="54"/>
      <c r="B704" s="54"/>
    </row>
    <row r="705" spans="1:2" ht="13">
      <c r="A705" s="54"/>
      <c r="B705" s="54"/>
    </row>
    <row r="706" spans="1:2" ht="13">
      <c r="A706" s="54"/>
      <c r="B706" s="54"/>
    </row>
    <row r="707" spans="1:2" ht="13">
      <c r="A707" s="54"/>
      <c r="B707" s="54"/>
    </row>
    <row r="708" spans="1:2" ht="13">
      <c r="A708" s="54"/>
      <c r="B708" s="54"/>
    </row>
    <row r="709" spans="1:2" ht="13">
      <c r="A709" s="54"/>
      <c r="B709" s="54"/>
    </row>
    <row r="710" spans="1:2" ht="13">
      <c r="A710" s="54"/>
      <c r="B710" s="54"/>
    </row>
    <row r="711" spans="1:2" ht="13">
      <c r="A711" s="54"/>
      <c r="B711" s="54"/>
    </row>
    <row r="712" spans="1:2" ht="13">
      <c r="A712" s="54"/>
      <c r="B712" s="54"/>
    </row>
    <row r="713" spans="1:2" ht="13">
      <c r="A713" s="54"/>
      <c r="B713" s="54"/>
    </row>
    <row r="714" spans="1:2" ht="13">
      <c r="A714" s="54"/>
      <c r="B714" s="54"/>
    </row>
    <row r="715" spans="1:2" ht="13">
      <c r="A715" s="54"/>
      <c r="B715" s="54"/>
    </row>
    <row r="716" spans="1:2" ht="13">
      <c r="A716" s="54"/>
      <c r="B716" s="54"/>
    </row>
    <row r="717" spans="1:2" ht="13">
      <c r="A717" s="54"/>
      <c r="B717" s="54"/>
    </row>
    <row r="718" spans="1:2" ht="13">
      <c r="A718" s="54"/>
      <c r="B718" s="54"/>
    </row>
    <row r="719" spans="1:2" ht="13">
      <c r="A719" s="54"/>
      <c r="B719" s="54"/>
    </row>
    <row r="720" spans="1:2" ht="13">
      <c r="A720" s="54"/>
      <c r="B720" s="54"/>
    </row>
    <row r="721" spans="1:2" ht="13">
      <c r="A721" s="54"/>
      <c r="B721" s="54"/>
    </row>
    <row r="722" spans="1:2" ht="13">
      <c r="A722" s="54"/>
      <c r="B722" s="54"/>
    </row>
    <row r="723" spans="1:2" ht="13">
      <c r="A723" s="54"/>
      <c r="B723" s="54"/>
    </row>
    <row r="724" spans="1:2" ht="13">
      <c r="A724" s="54"/>
      <c r="B724" s="54"/>
    </row>
    <row r="725" spans="1:2" ht="13">
      <c r="A725" s="54"/>
      <c r="B725" s="54"/>
    </row>
    <row r="726" spans="1:2" ht="13">
      <c r="A726" s="54"/>
      <c r="B726" s="54"/>
    </row>
    <row r="727" spans="1:2" ht="13">
      <c r="A727" s="54"/>
      <c r="B727" s="54"/>
    </row>
    <row r="728" spans="1:2" ht="13">
      <c r="A728" s="54"/>
      <c r="B728" s="54"/>
    </row>
    <row r="729" spans="1:2" ht="13">
      <c r="A729" s="54"/>
      <c r="B729" s="54"/>
    </row>
    <row r="730" spans="1:2" ht="13">
      <c r="A730" s="54"/>
      <c r="B730" s="54"/>
    </row>
    <row r="731" spans="1:2" ht="13">
      <c r="A731" s="54"/>
      <c r="B731" s="54"/>
    </row>
    <row r="732" spans="1:2" ht="13">
      <c r="A732" s="54"/>
      <c r="B732" s="54"/>
    </row>
    <row r="733" spans="1:2" ht="13">
      <c r="A733" s="54"/>
      <c r="B733" s="54"/>
    </row>
    <row r="734" spans="1:2" ht="13">
      <c r="A734" s="54"/>
      <c r="B734" s="54"/>
    </row>
    <row r="735" spans="1:2" ht="13">
      <c r="A735" s="54"/>
      <c r="B735" s="54"/>
    </row>
    <row r="736" spans="1:2" ht="13">
      <c r="A736" s="54"/>
      <c r="B736" s="54"/>
    </row>
    <row r="737" spans="1:2" ht="13">
      <c r="A737" s="54"/>
      <c r="B737" s="54"/>
    </row>
    <row r="738" spans="1:2" ht="13">
      <c r="A738" s="54"/>
      <c r="B738" s="54"/>
    </row>
    <row r="739" spans="1:2" ht="13">
      <c r="A739" s="54"/>
      <c r="B739" s="54"/>
    </row>
    <row r="740" spans="1:2" ht="13">
      <c r="A740" s="54"/>
      <c r="B740" s="54"/>
    </row>
    <row r="741" spans="1:2" ht="13">
      <c r="A741" s="54"/>
      <c r="B741" s="54"/>
    </row>
    <row r="742" spans="1:2" ht="13">
      <c r="A742" s="54"/>
      <c r="B742" s="54"/>
    </row>
    <row r="743" spans="1:2" ht="13">
      <c r="A743" s="54"/>
      <c r="B743" s="54"/>
    </row>
    <row r="744" spans="1:2" ht="13">
      <c r="A744" s="54"/>
      <c r="B744" s="54"/>
    </row>
    <row r="745" spans="1:2" ht="13">
      <c r="A745" s="54"/>
      <c r="B745" s="54"/>
    </row>
    <row r="746" spans="1:2" ht="13">
      <c r="A746" s="54"/>
      <c r="B746" s="54"/>
    </row>
    <row r="747" spans="1:2" ht="13">
      <c r="A747" s="54"/>
      <c r="B747" s="54"/>
    </row>
    <row r="748" spans="1:2" ht="13">
      <c r="A748" s="54"/>
      <c r="B748" s="54"/>
    </row>
    <row r="749" spans="1:2" ht="13">
      <c r="A749" s="54"/>
      <c r="B749" s="54"/>
    </row>
    <row r="750" spans="1:2" ht="13">
      <c r="A750" s="54"/>
      <c r="B750" s="54"/>
    </row>
    <row r="751" spans="1:2" ht="13">
      <c r="A751" s="54"/>
      <c r="B751" s="54"/>
    </row>
    <row r="752" spans="1:2" ht="13">
      <c r="A752" s="54"/>
      <c r="B752" s="54"/>
    </row>
    <row r="753" spans="1:2" ht="13">
      <c r="A753" s="54"/>
      <c r="B753" s="54"/>
    </row>
    <row r="754" spans="1:2" ht="13">
      <c r="A754" s="54"/>
      <c r="B754" s="54"/>
    </row>
    <row r="755" spans="1:2" ht="13">
      <c r="A755" s="54"/>
      <c r="B755" s="54"/>
    </row>
    <row r="756" spans="1:2" ht="13">
      <c r="A756" s="54"/>
      <c r="B756" s="54"/>
    </row>
    <row r="757" spans="1:2" ht="13">
      <c r="A757" s="54"/>
      <c r="B757" s="54"/>
    </row>
    <row r="758" spans="1:2" ht="13">
      <c r="A758" s="54"/>
      <c r="B758" s="54"/>
    </row>
    <row r="759" spans="1:2" ht="13">
      <c r="A759" s="54"/>
      <c r="B759" s="54"/>
    </row>
    <row r="760" spans="1:2" ht="13">
      <c r="A760" s="54"/>
      <c r="B760" s="54"/>
    </row>
    <row r="761" spans="1:2" ht="13">
      <c r="A761" s="54"/>
      <c r="B761" s="54"/>
    </row>
    <row r="762" spans="1:2" ht="13">
      <c r="A762" s="54"/>
      <c r="B762" s="54"/>
    </row>
    <row r="763" spans="1:2" ht="13">
      <c r="A763" s="54"/>
      <c r="B763" s="54"/>
    </row>
    <row r="764" spans="1:2" ht="13">
      <c r="A764" s="54"/>
      <c r="B764" s="54"/>
    </row>
    <row r="765" spans="1:2" ht="13">
      <c r="A765" s="54"/>
      <c r="B765" s="54"/>
    </row>
    <row r="766" spans="1:2" ht="13">
      <c r="A766" s="54"/>
      <c r="B766" s="54"/>
    </row>
    <row r="767" spans="1:2" ht="13">
      <c r="A767" s="54"/>
      <c r="B767" s="54"/>
    </row>
    <row r="768" spans="1:2" ht="13">
      <c r="A768" s="54"/>
      <c r="B768" s="54"/>
    </row>
    <row r="769" spans="1:2" ht="13">
      <c r="A769" s="54"/>
      <c r="B769" s="54"/>
    </row>
    <row r="770" spans="1:2" ht="13">
      <c r="A770" s="54"/>
      <c r="B770" s="54"/>
    </row>
    <row r="771" spans="1:2" ht="13">
      <c r="A771" s="54"/>
      <c r="B771" s="54"/>
    </row>
    <row r="772" spans="1:2" ht="13">
      <c r="A772" s="54"/>
      <c r="B772" s="54"/>
    </row>
    <row r="773" spans="1:2" ht="13">
      <c r="A773" s="54"/>
      <c r="B773" s="54"/>
    </row>
    <row r="774" spans="1:2" ht="13">
      <c r="A774" s="54"/>
      <c r="B774" s="54"/>
    </row>
    <row r="775" spans="1:2" ht="13">
      <c r="A775" s="54"/>
      <c r="B775" s="54"/>
    </row>
    <row r="776" spans="1:2" ht="13">
      <c r="A776" s="54"/>
      <c r="B776" s="54"/>
    </row>
    <row r="777" spans="1:2" ht="13">
      <c r="A777" s="54"/>
      <c r="B777" s="54"/>
    </row>
    <row r="778" spans="1:2" ht="13">
      <c r="A778" s="54"/>
      <c r="B778" s="54"/>
    </row>
    <row r="779" spans="1:2" ht="13">
      <c r="A779" s="54"/>
      <c r="B779" s="54"/>
    </row>
    <row r="780" spans="1:2" ht="13">
      <c r="A780" s="54"/>
      <c r="B780" s="54"/>
    </row>
    <row r="781" spans="1:2" ht="13">
      <c r="A781" s="54"/>
      <c r="B781" s="54"/>
    </row>
    <row r="782" spans="1:2" ht="13">
      <c r="A782" s="54"/>
      <c r="B782" s="54"/>
    </row>
    <row r="783" spans="1:2" ht="13">
      <c r="A783" s="54"/>
      <c r="B783" s="54"/>
    </row>
    <row r="784" spans="1:2" ht="13">
      <c r="A784" s="54"/>
      <c r="B784" s="54"/>
    </row>
    <row r="785" spans="1:2" ht="13">
      <c r="A785" s="54"/>
      <c r="B785" s="54"/>
    </row>
    <row r="786" spans="1:2" ht="13">
      <c r="A786" s="54"/>
      <c r="B786" s="54"/>
    </row>
    <row r="787" spans="1:2" ht="13">
      <c r="A787" s="54"/>
      <c r="B787" s="54"/>
    </row>
    <row r="788" spans="1:2" ht="13">
      <c r="A788" s="54"/>
      <c r="B788" s="54"/>
    </row>
    <row r="789" spans="1:2" ht="13">
      <c r="A789" s="54"/>
      <c r="B789" s="54"/>
    </row>
    <row r="790" spans="1:2" ht="13">
      <c r="A790" s="54"/>
      <c r="B790" s="54"/>
    </row>
    <row r="791" spans="1:2" ht="13">
      <c r="A791" s="54"/>
      <c r="B791" s="54"/>
    </row>
    <row r="792" spans="1:2" ht="13">
      <c r="A792" s="54"/>
      <c r="B792" s="54"/>
    </row>
    <row r="793" spans="1:2" ht="13">
      <c r="A793" s="54"/>
      <c r="B793" s="54"/>
    </row>
    <row r="794" spans="1:2" ht="13">
      <c r="A794" s="54"/>
      <c r="B794" s="54"/>
    </row>
    <row r="795" spans="1:2" ht="13">
      <c r="A795" s="54"/>
      <c r="B795" s="54"/>
    </row>
    <row r="796" spans="1:2" ht="13">
      <c r="A796" s="54"/>
      <c r="B796" s="54"/>
    </row>
    <row r="797" spans="1:2" ht="13">
      <c r="A797" s="54"/>
      <c r="B797" s="54"/>
    </row>
    <row r="798" spans="1:2" ht="13">
      <c r="A798" s="54"/>
      <c r="B798" s="54"/>
    </row>
    <row r="799" spans="1:2" ht="13">
      <c r="A799" s="54"/>
      <c r="B799" s="54"/>
    </row>
    <row r="800" spans="1:2" ht="13">
      <c r="A800" s="54"/>
      <c r="B800" s="54"/>
    </row>
    <row r="801" spans="1:2" ht="13">
      <c r="A801" s="54"/>
      <c r="B801" s="54"/>
    </row>
    <row r="802" spans="1:2" ht="13">
      <c r="A802" s="54"/>
      <c r="B802" s="54"/>
    </row>
    <row r="803" spans="1:2" ht="13">
      <c r="A803" s="54"/>
      <c r="B803" s="54"/>
    </row>
    <row r="804" spans="1:2" ht="13">
      <c r="A804" s="54"/>
      <c r="B804" s="54"/>
    </row>
    <row r="805" spans="1:2" ht="13">
      <c r="A805" s="54"/>
      <c r="B805" s="54"/>
    </row>
    <row r="806" spans="1:2" ht="13">
      <c r="A806" s="54"/>
      <c r="B806" s="54"/>
    </row>
    <row r="807" spans="1:2" ht="13">
      <c r="A807" s="54"/>
      <c r="B807" s="54"/>
    </row>
    <row r="808" spans="1:2" ht="13">
      <c r="A808" s="54"/>
      <c r="B808" s="54"/>
    </row>
    <row r="809" spans="1:2" ht="13">
      <c r="A809" s="54"/>
      <c r="B809" s="54"/>
    </row>
    <row r="810" spans="1:2" ht="13">
      <c r="A810" s="54"/>
      <c r="B810" s="54"/>
    </row>
    <row r="811" spans="1:2" ht="13">
      <c r="A811" s="54"/>
      <c r="B811" s="54"/>
    </row>
    <row r="812" spans="1:2" ht="13">
      <c r="A812" s="54"/>
      <c r="B812" s="54"/>
    </row>
    <row r="813" spans="1:2" ht="13">
      <c r="A813" s="54"/>
      <c r="B813" s="54"/>
    </row>
    <row r="814" spans="1:2" ht="13">
      <c r="A814" s="54"/>
      <c r="B814" s="54"/>
    </row>
    <row r="815" spans="1:2" ht="13">
      <c r="A815" s="54"/>
      <c r="B815" s="54"/>
    </row>
    <row r="816" spans="1:2" ht="13">
      <c r="A816" s="54"/>
      <c r="B816" s="54"/>
    </row>
    <row r="817" spans="1:2" ht="13">
      <c r="A817" s="54"/>
      <c r="B817" s="54"/>
    </row>
    <row r="818" spans="1:2" ht="13">
      <c r="A818" s="54"/>
      <c r="B818" s="54"/>
    </row>
    <row r="819" spans="1:2" ht="13">
      <c r="A819" s="54"/>
      <c r="B819" s="54"/>
    </row>
    <row r="820" spans="1:2" ht="13">
      <c r="A820" s="54"/>
      <c r="B820" s="54"/>
    </row>
    <row r="821" spans="1:2" ht="13">
      <c r="A821" s="54"/>
      <c r="B821" s="54"/>
    </row>
    <row r="822" spans="1:2" ht="13">
      <c r="A822" s="54"/>
      <c r="B822" s="54"/>
    </row>
    <row r="823" spans="1:2" ht="13">
      <c r="A823" s="54"/>
      <c r="B823" s="54"/>
    </row>
    <row r="824" spans="1:2" ht="13">
      <c r="A824" s="54"/>
      <c r="B824" s="54"/>
    </row>
    <row r="825" spans="1:2" ht="13">
      <c r="A825" s="54"/>
      <c r="B825" s="54"/>
    </row>
    <row r="826" spans="1:2" ht="13">
      <c r="A826" s="54"/>
      <c r="B826" s="54"/>
    </row>
    <row r="827" spans="1:2" ht="13">
      <c r="A827" s="54"/>
      <c r="B827" s="54"/>
    </row>
    <row r="828" spans="1:2" ht="13">
      <c r="A828" s="54"/>
      <c r="B828" s="54"/>
    </row>
    <row r="829" spans="1:2" ht="13">
      <c r="A829" s="54"/>
      <c r="B829" s="54"/>
    </row>
    <row r="830" spans="1:2" ht="13">
      <c r="A830" s="54"/>
      <c r="B830" s="54"/>
    </row>
    <row r="831" spans="1:2" ht="13">
      <c r="A831" s="54"/>
      <c r="B831" s="54"/>
    </row>
    <row r="832" spans="1:2" ht="13">
      <c r="A832" s="54"/>
      <c r="B832" s="54"/>
    </row>
    <row r="833" spans="1:2" ht="13">
      <c r="A833" s="54"/>
      <c r="B833" s="54"/>
    </row>
    <row r="834" spans="1:2" ht="13">
      <c r="A834" s="54"/>
      <c r="B834" s="54"/>
    </row>
    <row r="835" spans="1:2" ht="13">
      <c r="A835" s="54"/>
      <c r="B835" s="54"/>
    </row>
    <row r="836" spans="1:2" ht="13">
      <c r="A836" s="54"/>
      <c r="B836" s="54"/>
    </row>
    <row r="837" spans="1:2" ht="13">
      <c r="A837" s="54"/>
      <c r="B837" s="54"/>
    </row>
    <row r="838" spans="1:2" ht="13">
      <c r="A838" s="54"/>
      <c r="B838" s="54"/>
    </row>
    <row r="839" spans="1:2" ht="13">
      <c r="A839" s="54"/>
      <c r="B839" s="54"/>
    </row>
    <row r="840" spans="1:2" ht="13">
      <c r="A840" s="54"/>
      <c r="B840" s="54"/>
    </row>
    <row r="841" spans="1:2" ht="13">
      <c r="A841" s="54"/>
      <c r="B841" s="54"/>
    </row>
    <row r="842" spans="1:2" ht="13">
      <c r="A842" s="54"/>
      <c r="B842" s="54"/>
    </row>
    <row r="843" spans="1:2" ht="13">
      <c r="A843" s="54"/>
      <c r="B843" s="54"/>
    </row>
    <row r="844" spans="1:2" ht="13">
      <c r="A844" s="54"/>
      <c r="B844" s="54"/>
    </row>
    <row r="845" spans="1:2" ht="13">
      <c r="A845" s="54"/>
      <c r="B845" s="54"/>
    </row>
    <row r="846" spans="1:2" ht="13">
      <c r="A846" s="54"/>
      <c r="B846" s="54"/>
    </row>
    <row r="847" spans="1:2" ht="13">
      <c r="A847" s="54"/>
      <c r="B847" s="54"/>
    </row>
    <row r="848" spans="1:2" ht="13">
      <c r="A848" s="54"/>
      <c r="B848" s="54"/>
    </row>
    <row r="849" spans="1:2" ht="13">
      <c r="A849" s="54"/>
      <c r="B849" s="54"/>
    </row>
    <row r="850" spans="1:2" ht="13">
      <c r="A850" s="54"/>
      <c r="B850" s="54"/>
    </row>
    <row r="851" spans="1:2" ht="13">
      <c r="A851" s="54"/>
      <c r="B851" s="54"/>
    </row>
    <row r="852" spans="1:2" ht="13">
      <c r="A852" s="54"/>
      <c r="B852" s="54"/>
    </row>
    <row r="853" spans="1:2" ht="13">
      <c r="A853" s="54"/>
      <c r="B853" s="54"/>
    </row>
    <row r="854" spans="1:2" ht="13">
      <c r="A854" s="54"/>
      <c r="B854" s="54"/>
    </row>
    <row r="855" spans="1:2" ht="13">
      <c r="A855" s="54"/>
      <c r="B855" s="54"/>
    </row>
    <row r="856" spans="1:2" ht="13">
      <c r="A856" s="54"/>
      <c r="B856" s="54"/>
    </row>
    <row r="857" spans="1:2" ht="13">
      <c r="A857" s="54"/>
      <c r="B857" s="54"/>
    </row>
    <row r="858" spans="1:2" ht="13">
      <c r="A858" s="54"/>
      <c r="B858" s="54"/>
    </row>
    <row r="859" spans="1:2" ht="13">
      <c r="A859" s="54"/>
      <c r="B859" s="54"/>
    </row>
    <row r="860" spans="1:2" ht="13">
      <c r="A860" s="54"/>
      <c r="B860" s="54"/>
    </row>
    <row r="861" spans="1:2" ht="13">
      <c r="A861" s="54"/>
      <c r="B861" s="54"/>
    </row>
    <row r="862" spans="1:2" ht="13">
      <c r="A862" s="54"/>
      <c r="B862" s="54"/>
    </row>
    <row r="863" spans="1:2" ht="13">
      <c r="A863" s="54"/>
      <c r="B863" s="54"/>
    </row>
    <row r="864" spans="1:2" ht="13">
      <c r="A864" s="54"/>
      <c r="B864" s="54"/>
    </row>
    <row r="865" spans="1:2" ht="13">
      <c r="A865" s="54"/>
      <c r="B865" s="54"/>
    </row>
    <row r="866" spans="1:2" ht="13">
      <c r="A866" s="54"/>
      <c r="B866" s="54"/>
    </row>
    <row r="867" spans="1:2" ht="13">
      <c r="A867" s="54"/>
      <c r="B867" s="54"/>
    </row>
    <row r="868" spans="1:2" ht="13">
      <c r="A868" s="54"/>
      <c r="B868" s="54"/>
    </row>
    <row r="869" spans="1:2" ht="13">
      <c r="A869" s="54"/>
      <c r="B869" s="54"/>
    </row>
    <row r="870" spans="1:2" ht="13">
      <c r="A870" s="54"/>
      <c r="B870" s="54"/>
    </row>
    <row r="871" spans="1:2" ht="13">
      <c r="A871" s="54"/>
      <c r="B871" s="54"/>
    </row>
    <row r="872" spans="1:2" ht="13">
      <c r="A872" s="54"/>
      <c r="B872" s="54"/>
    </row>
    <row r="873" spans="1:2" ht="13">
      <c r="A873" s="54"/>
      <c r="B873" s="54"/>
    </row>
    <row r="874" spans="1:2" ht="13">
      <c r="A874" s="54"/>
      <c r="B874" s="54"/>
    </row>
    <row r="875" spans="1:2" ht="13">
      <c r="A875" s="54"/>
      <c r="B875" s="54"/>
    </row>
    <row r="876" spans="1:2" ht="13">
      <c r="A876" s="54"/>
      <c r="B876" s="54"/>
    </row>
    <row r="877" spans="1:2" ht="13">
      <c r="A877" s="54"/>
      <c r="B877" s="54"/>
    </row>
    <row r="878" spans="1:2" ht="13">
      <c r="A878" s="54"/>
      <c r="B878" s="54"/>
    </row>
    <row r="879" spans="1:2" ht="13">
      <c r="A879" s="54"/>
      <c r="B879" s="54"/>
    </row>
    <row r="880" spans="1:2" ht="13">
      <c r="A880" s="54"/>
      <c r="B880" s="54"/>
    </row>
    <row r="881" spans="1:2" ht="13">
      <c r="A881" s="54"/>
      <c r="B881" s="54"/>
    </row>
    <row r="882" spans="1:2" ht="13">
      <c r="A882" s="54"/>
      <c r="B882" s="54"/>
    </row>
    <row r="883" spans="1:2" ht="13">
      <c r="A883" s="54"/>
      <c r="B883" s="54"/>
    </row>
    <row r="884" spans="1:2" ht="13">
      <c r="A884" s="54"/>
      <c r="B884" s="54"/>
    </row>
    <row r="885" spans="1:2" ht="13">
      <c r="A885" s="54"/>
      <c r="B885" s="54"/>
    </row>
    <row r="886" spans="1:2" ht="13">
      <c r="A886" s="54"/>
      <c r="B886" s="54"/>
    </row>
    <row r="887" spans="1:2" ht="13">
      <c r="A887" s="54"/>
      <c r="B887" s="54"/>
    </row>
    <row r="888" spans="1:2" ht="13">
      <c r="A888" s="54"/>
      <c r="B888" s="54"/>
    </row>
    <row r="889" spans="1:2" ht="13">
      <c r="A889" s="54"/>
      <c r="B889" s="54"/>
    </row>
    <row r="890" spans="1:2" ht="13">
      <c r="A890" s="54"/>
      <c r="B890" s="54"/>
    </row>
    <row r="891" spans="1:2" ht="13">
      <c r="A891" s="54"/>
      <c r="B891" s="54"/>
    </row>
    <row r="892" spans="1:2" ht="13">
      <c r="A892" s="54"/>
      <c r="B892" s="54"/>
    </row>
    <row r="893" spans="1:2" ht="13">
      <c r="A893" s="54"/>
      <c r="B893" s="54"/>
    </row>
    <row r="894" spans="1:2" ht="13">
      <c r="A894" s="54"/>
      <c r="B894" s="54"/>
    </row>
    <row r="895" spans="1:2" ht="13">
      <c r="A895" s="54"/>
      <c r="B895" s="54"/>
    </row>
    <row r="896" spans="1:2" ht="13">
      <c r="A896" s="54"/>
      <c r="B896" s="54"/>
    </row>
    <row r="897" spans="1:2" ht="13">
      <c r="A897" s="54"/>
      <c r="B897" s="54"/>
    </row>
    <row r="898" spans="1:2" ht="13">
      <c r="A898" s="54"/>
      <c r="B898" s="54"/>
    </row>
    <row r="899" spans="1:2" ht="13">
      <c r="A899" s="54"/>
      <c r="B899" s="54"/>
    </row>
    <row r="900" spans="1:2" ht="13">
      <c r="A900" s="54"/>
      <c r="B900" s="54"/>
    </row>
    <row r="901" spans="1:2" ht="13">
      <c r="A901" s="54"/>
      <c r="B901" s="54"/>
    </row>
    <row r="902" spans="1:2" ht="13">
      <c r="A902" s="54"/>
      <c r="B902" s="54"/>
    </row>
    <row r="903" spans="1:2" ht="13">
      <c r="A903" s="54"/>
      <c r="B903" s="54"/>
    </row>
    <row r="904" spans="1:2" ht="13">
      <c r="A904" s="54"/>
      <c r="B904" s="54"/>
    </row>
    <row r="905" spans="1:2" ht="13">
      <c r="A905" s="54"/>
      <c r="B905" s="54"/>
    </row>
    <row r="906" spans="1:2" ht="13">
      <c r="A906" s="54"/>
      <c r="B906" s="54"/>
    </row>
    <row r="907" spans="1:2" ht="13">
      <c r="A907" s="54"/>
      <c r="B907" s="54"/>
    </row>
    <row r="908" spans="1:2" ht="13">
      <c r="A908" s="54"/>
      <c r="B908" s="54"/>
    </row>
    <row r="909" spans="1:2" ht="13">
      <c r="A909" s="54"/>
      <c r="B909" s="54"/>
    </row>
    <row r="910" spans="1:2" ht="13">
      <c r="A910" s="54"/>
      <c r="B910" s="54"/>
    </row>
    <row r="911" spans="1:2" ht="13">
      <c r="A911" s="54"/>
      <c r="B911" s="54"/>
    </row>
    <row r="912" spans="1:2" ht="13">
      <c r="A912" s="54"/>
      <c r="B912" s="54"/>
    </row>
    <row r="913" spans="1:2" ht="13">
      <c r="A913" s="54"/>
      <c r="B913" s="54"/>
    </row>
    <row r="914" spans="1:2" ht="13">
      <c r="A914" s="54"/>
      <c r="B914" s="54"/>
    </row>
    <row r="915" spans="1:2" ht="13">
      <c r="A915" s="54"/>
      <c r="B915" s="54"/>
    </row>
    <row r="916" spans="1:2" ht="13">
      <c r="A916" s="54"/>
      <c r="B916" s="54"/>
    </row>
    <row r="917" spans="1:2" ht="13">
      <c r="A917" s="54"/>
      <c r="B917" s="54"/>
    </row>
    <row r="918" spans="1:2" ht="13">
      <c r="A918" s="54"/>
      <c r="B918" s="54"/>
    </row>
    <row r="919" spans="1:2" ht="13">
      <c r="A919" s="54"/>
      <c r="B919" s="54"/>
    </row>
    <row r="920" spans="1:2" ht="13">
      <c r="A920" s="54"/>
      <c r="B920" s="54"/>
    </row>
    <row r="921" spans="1:2" ht="13">
      <c r="A921" s="54"/>
      <c r="B921" s="54"/>
    </row>
    <row r="922" spans="1:2" ht="13">
      <c r="A922" s="54"/>
      <c r="B922" s="54"/>
    </row>
    <row r="923" spans="1:2" ht="13">
      <c r="A923" s="54"/>
      <c r="B923" s="54"/>
    </row>
    <row r="924" spans="1:2" ht="13">
      <c r="A924" s="54"/>
      <c r="B924" s="54"/>
    </row>
    <row r="925" spans="1:2" ht="13">
      <c r="A925" s="54"/>
      <c r="B925" s="54"/>
    </row>
    <row r="926" spans="1:2" ht="13">
      <c r="A926" s="54"/>
      <c r="B926" s="54"/>
    </row>
    <row r="927" spans="1:2" ht="13">
      <c r="A927" s="54"/>
      <c r="B927" s="54"/>
    </row>
    <row r="928" spans="1:2" ht="13">
      <c r="A928" s="54"/>
      <c r="B928" s="54"/>
    </row>
    <row r="929" spans="1:2" ht="13">
      <c r="A929" s="54"/>
      <c r="B929" s="54"/>
    </row>
    <row r="930" spans="1:2" ht="13">
      <c r="A930" s="54"/>
      <c r="B930" s="54"/>
    </row>
    <row r="931" spans="1:2" ht="13">
      <c r="A931" s="54"/>
      <c r="B931" s="54"/>
    </row>
    <row r="932" spans="1:2" ht="13">
      <c r="A932" s="54"/>
      <c r="B932" s="54"/>
    </row>
    <row r="933" spans="1:2" ht="13">
      <c r="A933" s="54"/>
      <c r="B933" s="54"/>
    </row>
    <row r="934" spans="1:2" ht="13">
      <c r="A934" s="54"/>
      <c r="B934" s="54"/>
    </row>
    <row r="935" spans="1:2" ht="13">
      <c r="A935" s="54"/>
      <c r="B935" s="54"/>
    </row>
    <row r="936" spans="1:2" ht="13">
      <c r="A936" s="54"/>
      <c r="B936" s="54"/>
    </row>
    <row r="937" spans="1:2" ht="13">
      <c r="A937" s="54"/>
      <c r="B937" s="54"/>
    </row>
    <row r="938" spans="1:2" ht="13">
      <c r="A938" s="54"/>
      <c r="B938" s="54"/>
    </row>
    <row r="939" spans="1:2" ht="13">
      <c r="A939" s="54"/>
      <c r="B939" s="54"/>
    </row>
    <row r="940" spans="1:2" ht="13">
      <c r="A940" s="54"/>
      <c r="B940" s="54"/>
    </row>
    <row r="941" spans="1:2" ht="13">
      <c r="A941" s="54"/>
      <c r="B941" s="54"/>
    </row>
    <row r="942" spans="1:2" ht="13">
      <c r="A942" s="54"/>
      <c r="B942" s="54"/>
    </row>
    <row r="943" spans="1:2" ht="13">
      <c r="A943" s="54"/>
      <c r="B943" s="54"/>
    </row>
    <row r="944" spans="1:2" ht="13">
      <c r="A944" s="54"/>
      <c r="B944" s="54"/>
    </row>
    <row r="945" spans="1:2" ht="13">
      <c r="A945" s="54"/>
      <c r="B945" s="54"/>
    </row>
    <row r="946" spans="1:2" ht="13">
      <c r="A946" s="54"/>
      <c r="B946" s="54"/>
    </row>
    <row r="947" spans="1:2" ht="13">
      <c r="A947" s="54"/>
      <c r="B947" s="54"/>
    </row>
    <row r="948" spans="1:2" ht="13">
      <c r="A948" s="54"/>
      <c r="B948" s="54"/>
    </row>
    <row r="949" spans="1:2" ht="13">
      <c r="A949" s="54"/>
      <c r="B949" s="54"/>
    </row>
    <row r="950" spans="1:2" ht="13">
      <c r="A950" s="54"/>
      <c r="B950" s="54"/>
    </row>
    <row r="951" spans="1:2" ht="13">
      <c r="A951" s="54"/>
      <c r="B951" s="54"/>
    </row>
    <row r="952" spans="1:2" ht="13">
      <c r="A952" s="54"/>
      <c r="B952" s="54"/>
    </row>
    <row r="953" spans="1:2" ht="13">
      <c r="A953" s="54"/>
      <c r="B953" s="54"/>
    </row>
    <row r="954" spans="1:2" ht="13">
      <c r="A954" s="54"/>
      <c r="B954" s="54"/>
    </row>
    <row r="955" spans="1:2" ht="13">
      <c r="A955" s="54"/>
      <c r="B955" s="54"/>
    </row>
    <row r="956" spans="1:2" ht="13">
      <c r="A956" s="54"/>
      <c r="B956" s="54"/>
    </row>
    <row r="957" spans="1:2" ht="13">
      <c r="A957" s="54"/>
      <c r="B957" s="54"/>
    </row>
    <row r="958" spans="1:2" ht="13">
      <c r="A958" s="54"/>
      <c r="B958" s="54"/>
    </row>
    <row r="959" spans="1:2" ht="13">
      <c r="A959" s="54"/>
      <c r="B959" s="54"/>
    </row>
    <row r="960" spans="1:2" ht="13">
      <c r="A960" s="54"/>
      <c r="B960" s="54"/>
    </row>
    <row r="961" spans="1:2" ht="13">
      <c r="A961" s="54"/>
      <c r="B961" s="54"/>
    </row>
    <row r="962" spans="1:2" ht="13">
      <c r="A962" s="54"/>
      <c r="B962" s="54"/>
    </row>
    <row r="963" spans="1:2" ht="13">
      <c r="A963" s="54"/>
      <c r="B963" s="54"/>
    </row>
    <row r="964" spans="1:2" ht="13">
      <c r="A964" s="54"/>
      <c r="B964" s="54"/>
    </row>
    <row r="965" spans="1:2" ht="13">
      <c r="A965" s="54"/>
      <c r="B965" s="54"/>
    </row>
    <row r="966" spans="1:2" ht="13">
      <c r="A966" s="54"/>
      <c r="B966" s="54"/>
    </row>
    <row r="967" spans="1:2" ht="13">
      <c r="A967" s="54"/>
      <c r="B967" s="54"/>
    </row>
    <row r="968" spans="1:2" ht="13">
      <c r="A968" s="54"/>
      <c r="B968" s="54"/>
    </row>
    <row r="969" spans="1:2" ht="13">
      <c r="A969" s="54"/>
      <c r="B969" s="54"/>
    </row>
    <row r="970" spans="1:2" ht="13">
      <c r="A970" s="54"/>
      <c r="B970" s="54"/>
    </row>
    <row r="971" spans="1:2" ht="13">
      <c r="A971" s="54"/>
      <c r="B971" s="54"/>
    </row>
    <row r="972" spans="1:2" ht="13">
      <c r="A972" s="54"/>
      <c r="B972" s="54"/>
    </row>
    <row r="973" spans="1:2" ht="13">
      <c r="A973" s="54"/>
      <c r="B973" s="54"/>
    </row>
    <row r="974" spans="1:2" ht="13">
      <c r="A974" s="54"/>
      <c r="B974" s="54"/>
    </row>
    <row r="975" spans="1:2" ht="13">
      <c r="A975" s="54"/>
      <c r="B975" s="54"/>
    </row>
    <row r="976" spans="1:2" ht="13">
      <c r="A976" s="54"/>
      <c r="B976" s="54"/>
    </row>
    <row r="977" spans="1:2" ht="13">
      <c r="A977" s="54"/>
      <c r="B977" s="54"/>
    </row>
    <row r="978" spans="1:2" ht="13">
      <c r="A978" s="54"/>
      <c r="B978" s="54"/>
    </row>
    <row r="979" spans="1:2" ht="13">
      <c r="A979" s="54"/>
      <c r="B979" s="54"/>
    </row>
    <row r="980" spans="1:2" ht="13">
      <c r="A980" s="54"/>
      <c r="B980" s="54"/>
    </row>
    <row r="981" spans="1:2" ht="13">
      <c r="A981" s="54"/>
      <c r="B981" s="54"/>
    </row>
    <row r="982" spans="1:2" ht="13">
      <c r="A982" s="54"/>
      <c r="B982" s="54"/>
    </row>
    <row r="983" spans="1:2" ht="13">
      <c r="A983" s="54"/>
      <c r="B983" s="54"/>
    </row>
    <row r="984" spans="1:2" ht="13">
      <c r="A984" s="54"/>
      <c r="B984" s="54"/>
    </row>
    <row r="985" spans="1:2" ht="13">
      <c r="A985" s="54"/>
      <c r="B985" s="54"/>
    </row>
    <row r="986" spans="1:2" ht="13">
      <c r="A986" s="54"/>
      <c r="B986" s="54"/>
    </row>
    <row r="987" spans="1:2" ht="13">
      <c r="A987" s="54"/>
      <c r="B987" s="54"/>
    </row>
    <row r="988" spans="1:2" ht="13">
      <c r="A988" s="54"/>
      <c r="B988" s="54"/>
    </row>
    <row r="989" spans="1:2" ht="13">
      <c r="A989" s="54"/>
      <c r="B989" s="54"/>
    </row>
    <row r="990" spans="1:2" ht="13">
      <c r="A990" s="54"/>
      <c r="B990" s="54"/>
    </row>
    <row r="991" spans="1:2" ht="13">
      <c r="A991" s="54"/>
      <c r="B991" s="54"/>
    </row>
    <row r="992" spans="1:2" ht="13">
      <c r="A992" s="54"/>
      <c r="B992" s="54"/>
    </row>
    <row r="993" spans="1:2" ht="13">
      <c r="A993" s="54"/>
      <c r="B993" s="54"/>
    </row>
    <row r="994" spans="1:2" ht="13">
      <c r="A994" s="54"/>
      <c r="B994" s="54"/>
    </row>
    <row r="995" spans="1:2" ht="13">
      <c r="A995" s="54"/>
      <c r="B995" s="54"/>
    </row>
    <row r="996" spans="1:2" ht="13">
      <c r="A996" s="54"/>
      <c r="B996" s="54"/>
    </row>
    <row r="997" spans="1:2" ht="13">
      <c r="A997" s="54"/>
      <c r="B997" s="54"/>
    </row>
    <row r="998" spans="1:2" ht="13">
      <c r="A998" s="54"/>
      <c r="B998" s="54"/>
    </row>
    <row r="999" spans="1:2" ht="13">
      <c r="A999" s="54"/>
      <c r="B999" s="54"/>
    </row>
    <row r="1000" spans="1:2" ht="13">
      <c r="A1000" s="54"/>
      <c r="B1000" s="54"/>
    </row>
    <row r="1001" spans="1:2" ht="13">
      <c r="A1001" s="54"/>
      <c r="B1001" s="54"/>
    </row>
    <row r="1002" spans="1:2" ht="13">
      <c r="A1002" s="54"/>
      <c r="B1002" s="54"/>
    </row>
    <row r="1003" spans="1:2" ht="13">
      <c r="A1003" s="54"/>
      <c r="B1003" s="54"/>
    </row>
    <row r="1004" spans="1:2" ht="13">
      <c r="A1004" s="54"/>
      <c r="B1004" s="54"/>
    </row>
    <row r="1005" spans="1:2" ht="13">
      <c r="A1005" s="54"/>
      <c r="B1005" s="54"/>
    </row>
    <row r="1006" spans="1:2" ht="13">
      <c r="A1006" s="54"/>
      <c r="B1006" s="54"/>
    </row>
    <row r="1007" spans="1:2" ht="13">
      <c r="A1007" s="54"/>
      <c r="B1007" s="54"/>
    </row>
    <row r="1008" spans="1:2" ht="13">
      <c r="A1008" s="54"/>
      <c r="B1008" s="54"/>
    </row>
    <row r="1009" spans="1:2" ht="13">
      <c r="A1009" s="54"/>
      <c r="B1009" s="54"/>
    </row>
    <row r="1010" spans="1:2" ht="13">
      <c r="A1010" s="54"/>
      <c r="B1010" s="54"/>
    </row>
    <row r="1011" spans="1:2" ht="13">
      <c r="A1011" s="54"/>
      <c r="B1011" s="54"/>
    </row>
    <row r="1012" spans="1:2" ht="13">
      <c r="A1012" s="54"/>
      <c r="B1012" s="54"/>
    </row>
    <row r="1013" spans="1:2" ht="13">
      <c r="A1013" s="54"/>
      <c r="B1013" s="54"/>
    </row>
    <row r="1014" spans="1:2" ht="13">
      <c r="A1014" s="54"/>
      <c r="B1014" s="54"/>
    </row>
    <row r="1015" spans="1:2" ht="13">
      <c r="A1015" s="54"/>
      <c r="B1015" s="54"/>
    </row>
    <row r="1016" spans="1:2" ht="13">
      <c r="A1016" s="54"/>
      <c r="B1016" s="54"/>
    </row>
    <row r="1017" spans="1:2" ht="13">
      <c r="A1017" s="54"/>
      <c r="B1017" s="54"/>
    </row>
    <row r="1018" spans="1:2" ht="13">
      <c r="A1018" s="54"/>
      <c r="B1018" s="54"/>
    </row>
    <row r="1019" spans="1:2" ht="13">
      <c r="A1019" s="54"/>
      <c r="B1019" s="54"/>
    </row>
    <row r="1020" spans="1:2" ht="13">
      <c r="A1020" s="54"/>
      <c r="B1020" s="54"/>
    </row>
    <row r="1021" spans="1:2" ht="13">
      <c r="A1021" s="54"/>
      <c r="B1021" s="54"/>
    </row>
    <row r="1022" spans="1:2" ht="13">
      <c r="A1022" s="54"/>
      <c r="B1022" s="54"/>
    </row>
    <row r="1023" spans="1:2" ht="13">
      <c r="A1023" s="54"/>
      <c r="B1023" s="54"/>
    </row>
    <row r="1024" spans="1:2" ht="13">
      <c r="A1024" s="54"/>
      <c r="B1024" s="54"/>
    </row>
    <row r="1025" spans="1:2" ht="13">
      <c r="A1025" s="54"/>
      <c r="B1025" s="54"/>
    </row>
    <row r="1026" spans="1:2" ht="13">
      <c r="A1026" s="54"/>
      <c r="B1026" s="54"/>
    </row>
    <row r="1027" spans="1:2" ht="13">
      <c r="A1027" s="54"/>
      <c r="B1027" s="54"/>
    </row>
    <row r="1028" spans="1:2" ht="13">
      <c r="A1028" s="54"/>
      <c r="B1028" s="54"/>
    </row>
    <row r="1029" spans="1:2" ht="13">
      <c r="A1029" s="54"/>
      <c r="B1029" s="54"/>
    </row>
    <row r="1030" spans="1:2" ht="13">
      <c r="A1030" s="54"/>
      <c r="B1030" s="54"/>
    </row>
    <row r="1031" spans="1:2" ht="13">
      <c r="A1031" s="54"/>
      <c r="B1031" s="54"/>
    </row>
    <row r="1032" spans="1:2" ht="13">
      <c r="A1032" s="54"/>
      <c r="B1032" s="54"/>
    </row>
    <row r="1033" spans="1:2" ht="13">
      <c r="A1033" s="54"/>
      <c r="B1033" s="54"/>
    </row>
    <row r="1034" spans="1:2" ht="13">
      <c r="A1034" s="54"/>
      <c r="B1034" s="54"/>
    </row>
    <row r="1035" spans="1:2" ht="13">
      <c r="A1035" s="54"/>
      <c r="B1035" s="54"/>
    </row>
    <row r="1036" spans="1:2" ht="13">
      <c r="A1036" s="54"/>
      <c r="B1036" s="54"/>
    </row>
    <row r="1037" spans="1:2" ht="13">
      <c r="A1037" s="54"/>
      <c r="B1037" s="54"/>
    </row>
    <row r="1038" spans="1:2" ht="13">
      <c r="A1038" s="54"/>
      <c r="B1038" s="54"/>
    </row>
    <row r="1039" spans="1:2" ht="13">
      <c r="A1039" s="54"/>
      <c r="B1039" s="54"/>
    </row>
    <row r="1040" spans="1:2" ht="13">
      <c r="A1040" s="54"/>
      <c r="B1040" s="54"/>
    </row>
    <row r="1041" spans="1:2" ht="13">
      <c r="A1041" s="54"/>
      <c r="B1041" s="54"/>
    </row>
    <row r="1042" spans="1:2" ht="13">
      <c r="A1042" s="54"/>
      <c r="B1042" s="54"/>
    </row>
    <row r="1043" spans="1:2" ht="13">
      <c r="A1043" s="54"/>
      <c r="B1043" s="54"/>
    </row>
    <row r="1044" spans="1:2" ht="13">
      <c r="A1044" s="54"/>
      <c r="B1044" s="54"/>
    </row>
    <row r="1045" spans="1:2" ht="13">
      <c r="A1045" s="54"/>
      <c r="B1045" s="54"/>
    </row>
    <row r="1046" spans="1:2" ht="13">
      <c r="A1046" s="54"/>
      <c r="B1046" s="54"/>
    </row>
    <row r="1047" spans="1:2" ht="13">
      <c r="A1047" s="54"/>
      <c r="B1047" s="54"/>
    </row>
    <row r="1048" spans="1:2" ht="13">
      <c r="A1048" s="54"/>
      <c r="B1048" s="54"/>
    </row>
    <row r="1049" spans="1:2" ht="13">
      <c r="A1049" s="54"/>
      <c r="B1049" s="54"/>
    </row>
    <row r="1050" spans="1:2" ht="13">
      <c r="A1050" s="54"/>
      <c r="B1050" s="54"/>
    </row>
    <row r="1051" spans="1:2" ht="13">
      <c r="A1051" s="54"/>
      <c r="B1051" s="54"/>
    </row>
    <row r="1052" spans="1:2" ht="13">
      <c r="A1052" s="54"/>
      <c r="B1052" s="54"/>
    </row>
  </sheetData>
  <autoFilter ref="A1:E297" xr:uid="{00000000-0009-0000-0000-000006000000}"/>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21"/>
  <sheetViews>
    <sheetView workbookViewId="0"/>
  </sheetViews>
  <sheetFormatPr baseColWidth="10" defaultColWidth="12.6640625" defaultRowHeight="15.75" customHeight="1"/>
  <sheetData>
    <row r="1" spans="1:3" ht="15.75" customHeight="1">
      <c r="A1" s="62" t="s">
        <v>595</v>
      </c>
      <c r="B1" s="62" t="s">
        <v>596</v>
      </c>
    </row>
    <row r="2" spans="1:3" ht="15.75" customHeight="1">
      <c r="A2" s="12" t="s">
        <v>58</v>
      </c>
      <c r="B2" s="12">
        <v>1</v>
      </c>
      <c r="C2" s="1" t="str">
        <f t="shared" ref="C2:C121" si="0">A2</f>
        <v>Europa</v>
      </c>
    </row>
    <row r="3" spans="1:3" ht="15.75" customHeight="1">
      <c r="A3" s="22" t="s">
        <v>85</v>
      </c>
      <c r="B3" s="22">
        <v>2</v>
      </c>
      <c r="C3" s="1" t="str">
        <f t="shared" si="0"/>
        <v>Global</v>
      </c>
    </row>
    <row r="4" spans="1:3" ht="15.75" customHeight="1">
      <c r="A4" s="12" t="s">
        <v>104</v>
      </c>
      <c r="B4" s="12">
        <v>3</v>
      </c>
      <c r="C4" s="1" t="str">
        <f t="shared" si="0"/>
        <v>Região do Ártico</v>
      </c>
    </row>
    <row r="5" spans="1:3" ht="15.75" customHeight="1">
      <c r="A5" s="22" t="s">
        <v>122</v>
      </c>
      <c r="B5" s="22">
        <v>4</v>
      </c>
      <c r="C5" s="1" t="str">
        <f t="shared" si="0"/>
        <v>Oriente Médio</v>
      </c>
    </row>
    <row r="6" spans="1:3" ht="15.75" customHeight="1">
      <c r="A6" s="12" t="s">
        <v>85</v>
      </c>
      <c r="B6" s="12">
        <v>5</v>
      </c>
      <c r="C6" s="1" t="str">
        <f t="shared" si="0"/>
        <v>Global</v>
      </c>
    </row>
    <row r="7" spans="1:3" ht="15.75" customHeight="1">
      <c r="A7" s="22" t="s">
        <v>122</v>
      </c>
      <c r="B7" s="22">
        <v>6</v>
      </c>
      <c r="C7" s="1" t="str">
        <f t="shared" si="0"/>
        <v>Oriente Médio</v>
      </c>
    </row>
    <row r="8" spans="1:3" ht="15.75" customHeight="1">
      <c r="A8" s="12" t="s">
        <v>180</v>
      </c>
      <c r="B8" s="12">
        <v>7</v>
      </c>
      <c r="C8" s="1" t="str">
        <f t="shared" si="0"/>
        <v>EUA - China</v>
      </c>
    </row>
    <row r="9" spans="1:3" ht="15.75" customHeight="1">
      <c r="A9" s="22" t="s">
        <v>199</v>
      </c>
      <c r="B9" s="22">
        <v>8</v>
      </c>
      <c r="C9" s="1" t="str">
        <f t="shared" si="0"/>
        <v>Ásia - Pacífico</v>
      </c>
    </row>
    <row r="10" spans="1:3" ht="15.75" customHeight="1">
      <c r="A10" s="12" t="s">
        <v>115</v>
      </c>
      <c r="B10" s="12">
        <v>9</v>
      </c>
      <c r="C10" s="1" t="str">
        <f t="shared" si="0"/>
        <v>Honduras</v>
      </c>
    </row>
    <row r="11" spans="1:3" ht="15.75" customHeight="1">
      <c r="A11" s="22" t="s">
        <v>226</v>
      </c>
      <c r="B11" s="22">
        <v>10</v>
      </c>
      <c r="C11" s="1" t="str">
        <f t="shared" si="0"/>
        <v>Não se aplica</v>
      </c>
    </row>
    <row r="12" spans="1:3" ht="15.75" customHeight="1">
      <c r="A12" s="12" t="s">
        <v>246</v>
      </c>
      <c r="B12" s="12">
        <v>11</v>
      </c>
      <c r="C12" s="1" t="str">
        <f t="shared" si="0"/>
        <v>China</v>
      </c>
    </row>
    <row r="13" spans="1:3" ht="15.75" customHeight="1">
      <c r="A13" s="22" t="s">
        <v>85</v>
      </c>
      <c r="B13" s="22">
        <v>12</v>
      </c>
      <c r="C13" s="1" t="str">
        <f t="shared" si="0"/>
        <v>Global</v>
      </c>
    </row>
    <row r="14" spans="1:3" ht="15.75" customHeight="1">
      <c r="A14" s="12" t="s">
        <v>599</v>
      </c>
      <c r="B14" s="12">
        <v>13</v>
      </c>
      <c r="C14" s="1" t="str">
        <f t="shared" si="0"/>
        <v>EUA/Outras regiões</v>
      </c>
    </row>
    <row r="15" spans="1:3" ht="15.75" customHeight="1">
      <c r="A15" s="22" t="s">
        <v>267</v>
      </c>
      <c r="B15" s="22">
        <v>14</v>
      </c>
      <c r="C15" s="1" t="str">
        <f t="shared" si="0"/>
        <v>México</v>
      </c>
    </row>
    <row r="16" spans="1:3" ht="15.75" customHeight="1">
      <c r="A16" s="12" t="s">
        <v>267</v>
      </c>
      <c r="B16" s="12">
        <v>15</v>
      </c>
      <c r="C16" s="1" t="str">
        <f t="shared" si="0"/>
        <v>México</v>
      </c>
    </row>
    <row r="17" spans="1:3" ht="15.75" customHeight="1">
      <c r="A17" s="48" t="s">
        <v>73</v>
      </c>
      <c r="B17" s="22">
        <v>16</v>
      </c>
      <c r="C17" s="1" t="str">
        <f t="shared" si="0"/>
        <v>EUA</v>
      </c>
    </row>
    <row r="18" spans="1:3" ht="15.75" customHeight="1">
      <c r="A18" s="16" t="s">
        <v>103</v>
      </c>
      <c r="B18" s="12">
        <v>17</v>
      </c>
      <c r="C18" s="1" t="str">
        <f t="shared" si="0"/>
        <v>Canadá</v>
      </c>
    </row>
    <row r="19" spans="1:3" ht="15.75" customHeight="1">
      <c r="A19" s="48" t="s">
        <v>103</v>
      </c>
      <c r="B19" s="22">
        <v>18</v>
      </c>
      <c r="C19" s="1" t="str">
        <f t="shared" si="0"/>
        <v>Canadá</v>
      </c>
    </row>
    <row r="20" spans="1:3" ht="15.75" customHeight="1">
      <c r="A20" s="16" t="s">
        <v>85</v>
      </c>
      <c r="B20" s="12">
        <v>19</v>
      </c>
      <c r="C20" s="1" t="str">
        <f t="shared" si="0"/>
        <v>Global</v>
      </c>
    </row>
    <row r="21" spans="1:3" ht="15.75" customHeight="1">
      <c r="A21" s="48" t="s">
        <v>85</v>
      </c>
      <c r="B21" s="22">
        <v>20</v>
      </c>
      <c r="C21" s="1" t="str">
        <f t="shared" si="0"/>
        <v>Global</v>
      </c>
    </row>
    <row r="22" spans="1:3" ht="15.75" customHeight="1">
      <c r="A22" s="16" t="s">
        <v>453</v>
      </c>
      <c r="B22" s="12">
        <v>21</v>
      </c>
      <c r="C22" s="1" t="str">
        <f t="shared" si="0"/>
        <v>América Latina/ Caribe</v>
      </c>
    </row>
    <row r="23" spans="1:3" ht="15.75" customHeight="1">
      <c r="A23" s="48" t="s">
        <v>85</v>
      </c>
      <c r="B23" s="22">
        <v>22</v>
      </c>
      <c r="C23" s="1" t="str">
        <f t="shared" si="0"/>
        <v>Global</v>
      </c>
    </row>
    <row r="24" spans="1:3" ht="15.75" customHeight="1">
      <c r="A24" s="16" t="s">
        <v>73</v>
      </c>
      <c r="B24" s="12">
        <v>23</v>
      </c>
      <c r="C24" s="1" t="str">
        <f t="shared" si="0"/>
        <v>EUA</v>
      </c>
    </row>
    <row r="25" spans="1:3" ht="15.75" customHeight="1">
      <c r="A25" s="48" t="s">
        <v>85</v>
      </c>
      <c r="B25" s="22">
        <v>24</v>
      </c>
      <c r="C25" s="1" t="str">
        <f t="shared" si="0"/>
        <v>Global</v>
      </c>
    </row>
    <row r="26" spans="1:3" ht="15.75" customHeight="1">
      <c r="A26" s="16" t="s">
        <v>85</v>
      </c>
      <c r="B26" s="12">
        <v>25</v>
      </c>
      <c r="C26" s="1" t="str">
        <f t="shared" si="0"/>
        <v>Global</v>
      </c>
    </row>
    <row r="27" spans="1:3" ht="15.75" customHeight="1">
      <c r="A27" s="48" t="s">
        <v>104</v>
      </c>
      <c r="B27" s="22">
        <v>26</v>
      </c>
      <c r="C27" s="1" t="str">
        <f t="shared" si="0"/>
        <v>Região do Ártico</v>
      </c>
    </row>
    <row r="28" spans="1:3" ht="15.75" customHeight="1">
      <c r="A28" s="16" t="s">
        <v>85</v>
      </c>
      <c r="B28" s="12">
        <v>27</v>
      </c>
      <c r="C28" s="1" t="str">
        <f t="shared" si="0"/>
        <v>Global</v>
      </c>
    </row>
    <row r="29" spans="1:3" ht="15.75" customHeight="1">
      <c r="A29" s="48" t="s">
        <v>85</v>
      </c>
      <c r="B29" s="22">
        <v>28</v>
      </c>
      <c r="C29" s="1" t="str">
        <f t="shared" si="0"/>
        <v>Global</v>
      </c>
    </row>
    <row r="30" spans="1:3" ht="15.75" customHeight="1">
      <c r="A30" s="16" t="s">
        <v>85</v>
      </c>
      <c r="B30" s="12">
        <v>29</v>
      </c>
      <c r="C30" s="1" t="str">
        <f t="shared" si="0"/>
        <v>Global</v>
      </c>
    </row>
    <row r="31" spans="1:3" ht="15.75" customHeight="1">
      <c r="A31" s="48" t="s">
        <v>85</v>
      </c>
      <c r="B31" s="22">
        <v>30</v>
      </c>
      <c r="C31" s="1" t="str">
        <f t="shared" si="0"/>
        <v>Global</v>
      </c>
    </row>
    <row r="32" spans="1:3" ht="15.75" customHeight="1">
      <c r="A32" s="16" t="s">
        <v>122</v>
      </c>
      <c r="B32" s="12">
        <v>31</v>
      </c>
      <c r="C32" s="1" t="str">
        <f t="shared" si="0"/>
        <v>Oriente Médio</v>
      </c>
    </row>
    <row r="33" spans="1:3" ht="15.75" customHeight="1">
      <c r="A33" s="22" t="s">
        <v>605</v>
      </c>
      <c r="B33" s="22">
        <v>32</v>
      </c>
      <c r="C33" s="1" t="str">
        <f t="shared" si="0"/>
        <v>NORUEGA</v>
      </c>
    </row>
    <row r="34" spans="1:3" ht="15.75" customHeight="1">
      <c r="A34" s="12" t="s">
        <v>606</v>
      </c>
      <c r="B34" s="12">
        <v>33</v>
      </c>
      <c r="C34" s="1" t="str">
        <f t="shared" si="0"/>
        <v>PORTUGAL</v>
      </c>
    </row>
    <row r="35" spans="1:3" ht="15.75" customHeight="1">
      <c r="A35" s="22" t="s">
        <v>607</v>
      </c>
      <c r="B35" s="22">
        <v>34</v>
      </c>
      <c r="C35" s="1" t="str">
        <f t="shared" si="0"/>
        <v>REINO UNIDO</v>
      </c>
    </row>
    <row r="36" spans="1:3" ht="15.75" customHeight="1">
      <c r="A36" s="12" t="s">
        <v>608</v>
      </c>
      <c r="B36" s="12">
        <v>35</v>
      </c>
      <c r="C36" s="1" t="str">
        <f t="shared" si="0"/>
        <v>REPÚBLICA TCHECA</v>
      </c>
    </row>
    <row r="37" spans="1:3" ht="15.75" customHeight="1">
      <c r="A37" s="22" t="s">
        <v>609</v>
      </c>
      <c r="B37" s="22">
        <v>36</v>
      </c>
      <c r="C37" s="1" t="str">
        <f t="shared" si="0"/>
        <v>ROMÊNIA</v>
      </c>
    </row>
    <row r="38" spans="1:3" ht="15.75" customHeight="1">
      <c r="A38" s="12" t="s">
        <v>611</v>
      </c>
      <c r="B38" s="12">
        <v>37</v>
      </c>
      <c r="C38" s="1" t="str">
        <f t="shared" si="0"/>
        <v>SUÉCIA</v>
      </c>
    </row>
    <row r="39" spans="1:3" ht="15.75" customHeight="1">
      <c r="A39" s="22" t="s">
        <v>612</v>
      </c>
      <c r="B39" s="22">
        <v>38</v>
      </c>
      <c r="C39" s="1" t="str">
        <f t="shared" si="0"/>
        <v>SUÍÇA</v>
      </c>
    </row>
    <row r="40" spans="1:3" ht="15.75" customHeight="1">
      <c r="A40" s="12" t="s">
        <v>614</v>
      </c>
      <c r="B40" s="12">
        <v>39</v>
      </c>
      <c r="C40" s="1" t="str">
        <f t="shared" si="0"/>
        <v xml:space="preserve">MONTENEGRO </v>
      </c>
    </row>
    <row r="41" spans="1:3" ht="15.75" customHeight="1">
      <c r="A41" s="22" t="s">
        <v>192</v>
      </c>
      <c r="B41" s="22">
        <v>40</v>
      </c>
      <c r="C41" s="1" t="str">
        <f t="shared" si="0"/>
        <v>Africa</v>
      </c>
    </row>
    <row r="42" spans="1:3" ht="15.75" customHeight="1">
      <c r="A42" s="12" t="s">
        <v>192</v>
      </c>
      <c r="B42" s="12">
        <v>41</v>
      </c>
      <c r="C42" s="1" t="str">
        <f t="shared" si="0"/>
        <v>Africa</v>
      </c>
    </row>
    <row r="43" spans="1:3" ht="15.75" customHeight="1">
      <c r="A43" s="22" t="s">
        <v>192</v>
      </c>
      <c r="B43" s="22">
        <v>42</v>
      </c>
      <c r="C43" s="1" t="str">
        <f t="shared" si="0"/>
        <v>Africa</v>
      </c>
    </row>
    <row r="44" spans="1:3" ht="15.75" customHeight="1">
      <c r="A44" s="12" t="s">
        <v>615</v>
      </c>
      <c r="B44" s="12">
        <v>43</v>
      </c>
      <c r="C44" s="1" t="str">
        <f t="shared" si="0"/>
        <v>Senegal, Mali, Mauritania, Algeria, Niger, Camarões, República Centro Africana, Sudão do Sul, Etiopia, Eritreia, Benin, Burkina Faso, Cape Verde, Ivory Coast, Gambia, Ghana, Guinea, Guinea-Bissau, Liberia, Nigeria, Saint Helena, Ascension and Tristan da Cunha, Sierra Leone, Togo, Burundi, Djibouti, Kenya, Rwanda, Somalia, Sudan, Tanzania, Uganda</v>
      </c>
    </row>
    <row r="45" spans="1:3" ht="15.75" customHeight="1">
      <c r="A45" s="22" t="s">
        <v>192</v>
      </c>
      <c r="B45" s="22">
        <v>44</v>
      </c>
      <c r="C45" s="1" t="str">
        <f t="shared" si="0"/>
        <v>Africa</v>
      </c>
    </row>
    <row r="46" spans="1:3" ht="15.75" customHeight="1">
      <c r="A46" s="12" t="s">
        <v>192</v>
      </c>
      <c r="B46" s="12">
        <v>45</v>
      </c>
      <c r="C46" s="1" t="str">
        <f t="shared" si="0"/>
        <v>Africa</v>
      </c>
    </row>
    <row r="47" spans="1:3" ht="15.75" customHeight="1">
      <c r="A47" s="22" t="s">
        <v>616</v>
      </c>
      <c r="B47" s="22">
        <v>46</v>
      </c>
      <c r="C47" s="1" t="str">
        <f t="shared" si="0"/>
        <v>Nigeria</v>
      </c>
    </row>
    <row r="48" spans="1:3" ht="15.75" customHeight="1">
      <c r="A48" s="16" t="s">
        <v>192</v>
      </c>
      <c r="B48" s="12">
        <v>47</v>
      </c>
      <c r="C48" s="1" t="str">
        <f t="shared" si="0"/>
        <v>Africa</v>
      </c>
    </row>
    <row r="49" spans="1:3" ht="15.75" customHeight="1">
      <c r="A49" s="48" t="s">
        <v>192</v>
      </c>
      <c r="B49" s="22">
        <v>48</v>
      </c>
      <c r="C49" s="1" t="str">
        <f t="shared" si="0"/>
        <v>Africa</v>
      </c>
    </row>
    <row r="50" spans="1:3" ht="15.75" customHeight="1">
      <c r="A50" s="16" t="s">
        <v>192</v>
      </c>
      <c r="B50" s="12">
        <v>49</v>
      </c>
      <c r="C50" s="1" t="str">
        <f t="shared" si="0"/>
        <v>Africa</v>
      </c>
    </row>
    <row r="51" spans="1:3" ht="15.75" customHeight="1">
      <c r="A51" s="48" t="s">
        <v>619</v>
      </c>
      <c r="B51" s="22">
        <v>50</v>
      </c>
      <c r="C51" s="1" t="str">
        <f t="shared" si="0"/>
        <v>Tunisia</v>
      </c>
    </row>
    <row r="52" spans="1:3" ht="15.75" customHeight="1">
      <c r="A52" s="16" t="s">
        <v>620</v>
      </c>
      <c r="B52" s="12">
        <v>51</v>
      </c>
      <c r="C52" s="1" t="str">
        <f t="shared" si="0"/>
        <v>South Africa</v>
      </c>
    </row>
    <row r="53" spans="1:3" ht="15.75" customHeight="1">
      <c r="A53" s="22" t="s">
        <v>192</v>
      </c>
      <c r="B53" s="22">
        <v>52</v>
      </c>
      <c r="C53" s="1" t="str">
        <f t="shared" si="0"/>
        <v>Africa</v>
      </c>
    </row>
    <row r="54" spans="1:3" ht="15.75" customHeight="1">
      <c r="A54" s="12" t="s">
        <v>192</v>
      </c>
      <c r="B54" s="12">
        <v>53</v>
      </c>
      <c r="C54" s="1" t="str">
        <f t="shared" si="0"/>
        <v>Africa</v>
      </c>
    </row>
    <row r="55" spans="1:3" ht="15.75" customHeight="1">
      <c r="A55" s="22" t="s">
        <v>85</v>
      </c>
      <c r="B55" s="22">
        <v>54</v>
      </c>
      <c r="C55" s="1" t="str">
        <f t="shared" si="0"/>
        <v>Global</v>
      </c>
    </row>
    <row r="56" spans="1:3" ht="15.75" customHeight="1">
      <c r="A56" s="12" t="s">
        <v>85</v>
      </c>
      <c r="B56" s="12">
        <v>55</v>
      </c>
      <c r="C56" s="1" t="str">
        <f t="shared" si="0"/>
        <v>Global</v>
      </c>
    </row>
    <row r="57" spans="1:3" ht="15.75" customHeight="1">
      <c r="A57" s="22" t="s">
        <v>85</v>
      </c>
      <c r="B57" s="22">
        <v>56</v>
      </c>
      <c r="C57" s="1" t="str">
        <f t="shared" si="0"/>
        <v>Global</v>
      </c>
    </row>
    <row r="58" spans="1:3" ht="15.75" customHeight="1">
      <c r="A58" s="12" t="s">
        <v>85</v>
      </c>
      <c r="B58" s="12">
        <v>57</v>
      </c>
      <c r="C58" s="1" t="str">
        <f t="shared" si="0"/>
        <v>Global</v>
      </c>
    </row>
    <row r="59" spans="1:3" ht="15.75" customHeight="1">
      <c r="A59" s="22" t="s">
        <v>85</v>
      </c>
      <c r="B59" s="22">
        <v>58</v>
      </c>
      <c r="C59" s="1" t="str">
        <f t="shared" si="0"/>
        <v>Global</v>
      </c>
    </row>
    <row r="60" spans="1:3" ht="15.75" customHeight="1">
      <c r="A60" s="12" t="s">
        <v>623</v>
      </c>
      <c r="B60" s="12">
        <v>59</v>
      </c>
      <c r="C60" s="1" t="str">
        <f t="shared" si="0"/>
        <v>Burundi, Djibouti, Eritrea, Ethiopia, Kenya, Rwanda, Somalia, South Sudan, Sudan, Tanzania and Uganda</v>
      </c>
    </row>
    <row r="61" spans="1:3" ht="15.75" customHeight="1">
      <c r="A61" s="22" t="s">
        <v>623</v>
      </c>
      <c r="B61" s="22">
        <v>60</v>
      </c>
      <c r="C61" s="1" t="str">
        <f t="shared" si="0"/>
        <v>Burundi, Djibouti, Eritrea, Ethiopia, Kenya, Rwanda, Somalia, South Sudan, Sudan, Tanzania and Uganda</v>
      </c>
    </row>
    <row r="62" spans="1:3" ht="15.75" customHeight="1">
      <c r="A62" s="12" t="s">
        <v>624</v>
      </c>
      <c r="B62" s="12">
        <v>61</v>
      </c>
      <c r="C62" s="1" t="str">
        <f t="shared" si="0"/>
        <v>Democratic Republic of Congo</v>
      </c>
    </row>
    <row r="63" spans="1:3" ht="15.75" customHeight="1">
      <c r="A63" s="22" t="s">
        <v>625</v>
      </c>
      <c r="B63" s="22">
        <v>62</v>
      </c>
      <c r="C63" s="1" t="str">
        <f t="shared" si="0"/>
        <v>Central African Republic</v>
      </c>
    </row>
    <row r="64" spans="1:3" ht="15.75" customHeight="1">
      <c r="A64" s="12" t="s">
        <v>627</v>
      </c>
      <c r="B64" s="12">
        <v>63</v>
      </c>
      <c r="C64" s="1" t="str">
        <f t="shared" si="0"/>
        <v>Central African Republic e Democratic Republic of Congo</v>
      </c>
    </row>
    <row r="65" spans="1:3" ht="15.75" customHeight="1">
      <c r="A65" s="22" t="s">
        <v>628</v>
      </c>
      <c r="B65" s="22">
        <v>64</v>
      </c>
      <c r="C65" s="1" t="str">
        <f t="shared" si="0"/>
        <v>Burundi, the Central African Republic, Darfur, the Comoros, Somalia, and the Lake Chad Basin</v>
      </c>
    </row>
    <row r="66" spans="1:3" ht="15.75" customHeight="1">
      <c r="A66" s="12" t="s">
        <v>630</v>
      </c>
      <c r="B66" s="12">
        <v>65</v>
      </c>
      <c r="C66" s="1" t="str">
        <f t="shared" si="0"/>
        <v>Burkina Faso, Chad, Mali, Mauritania and Niger</v>
      </c>
    </row>
    <row r="67" spans="1:3" ht="15.75" customHeight="1">
      <c r="A67" s="22" t="s">
        <v>192</v>
      </c>
      <c r="B67" s="22">
        <v>66</v>
      </c>
      <c r="C67" s="1" t="str">
        <f t="shared" si="0"/>
        <v>Africa</v>
      </c>
    </row>
    <row r="68" spans="1:3" ht="15.75" customHeight="1">
      <c r="A68" s="12" t="s">
        <v>192</v>
      </c>
      <c r="B68" s="12">
        <v>67</v>
      </c>
      <c r="C68" s="1" t="str">
        <f t="shared" si="0"/>
        <v>Africa</v>
      </c>
    </row>
    <row r="69" spans="1:3" ht="15.75" customHeight="1">
      <c r="A69" s="48" t="s">
        <v>631</v>
      </c>
      <c r="B69" s="22">
        <v>68</v>
      </c>
      <c r="C69" s="1" t="str">
        <f t="shared" si="0"/>
        <v>República democratica do Congo</v>
      </c>
    </row>
    <row r="70" spans="1:3" ht="15.75" customHeight="1">
      <c r="A70" s="12" t="s">
        <v>311</v>
      </c>
      <c r="B70" s="12">
        <v>69</v>
      </c>
      <c r="C70" s="1" t="str">
        <f t="shared" si="0"/>
        <v>Indonésia</v>
      </c>
    </row>
    <row r="71" spans="1:3" ht="15.75" customHeight="1">
      <c r="A71" s="22" t="s">
        <v>73</v>
      </c>
      <c r="B71" s="22">
        <v>70</v>
      </c>
      <c r="C71" s="1" t="str">
        <f t="shared" si="0"/>
        <v>EUA</v>
      </c>
    </row>
    <row r="72" spans="1:3" ht="15.75" customHeight="1">
      <c r="A72" s="12" t="s">
        <v>412</v>
      </c>
      <c r="B72" s="12">
        <v>71</v>
      </c>
      <c r="C72" s="1" t="str">
        <f t="shared" si="0"/>
        <v>Austrália</v>
      </c>
    </row>
    <row r="73" spans="1:3" ht="15.75" customHeight="1">
      <c r="A73" s="22" t="s">
        <v>412</v>
      </c>
      <c r="B73" s="22">
        <v>72</v>
      </c>
      <c r="C73" s="1" t="str">
        <f t="shared" si="0"/>
        <v>Austrália</v>
      </c>
    </row>
    <row r="74" spans="1:3" ht="15.75" customHeight="1">
      <c r="A74" s="12" t="s">
        <v>412</v>
      </c>
      <c r="B74" s="12">
        <v>73</v>
      </c>
      <c r="C74" s="1" t="str">
        <f t="shared" si="0"/>
        <v>Austrália</v>
      </c>
    </row>
    <row r="75" spans="1:3" ht="15.75" customHeight="1">
      <c r="A75" s="22" t="s">
        <v>412</v>
      </c>
      <c r="B75" s="22">
        <v>74</v>
      </c>
      <c r="C75" s="1" t="str">
        <f t="shared" si="0"/>
        <v>Austrália</v>
      </c>
    </row>
    <row r="76" spans="1:3" ht="15.75" customHeight="1">
      <c r="A76" s="12" t="s">
        <v>412</v>
      </c>
      <c r="B76" s="12">
        <v>75</v>
      </c>
      <c r="C76" s="1" t="str">
        <f t="shared" si="0"/>
        <v>Austrália</v>
      </c>
    </row>
    <row r="77" spans="1:3" ht="15.75" customHeight="1">
      <c r="A77" s="22" t="s">
        <v>307</v>
      </c>
      <c r="B77" s="22">
        <v>76</v>
      </c>
      <c r="C77" s="1" t="str">
        <f t="shared" si="0"/>
        <v>Singapura</v>
      </c>
    </row>
    <row r="78" spans="1:3" ht="15.75" customHeight="1">
      <c r="A78" s="12" t="s">
        <v>311</v>
      </c>
      <c r="B78" s="12">
        <v>77</v>
      </c>
      <c r="C78" s="1" t="str">
        <f t="shared" si="0"/>
        <v>Indonésia</v>
      </c>
    </row>
    <row r="79" spans="1:3" ht="15.75" customHeight="1">
      <c r="A79" s="22" t="s">
        <v>412</v>
      </c>
      <c r="B79" s="22">
        <v>78</v>
      </c>
      <c r="C79" s="1" t="str">
        <f t="shared" si="0"/>
        <v>Austrália</v>
      </c>
    </row>
    <row r="80" spans="1:3" ht="15.75" customHeight="1">
      <c r="A80" s="12" t="s">
        <v>412</v>
      </c>
      <c r="B80" s="12">
        <v>79</v>
      </c>
      <c r="C80" s="1" t="str">
        <f t="shared" si="0"/>
        <v>Austrália</v>
      </c>
    </row>
    <row r="81" spans="1:3" ht="15.75" customHeight="1">
      <c r="A81" s="48" t="s">
        <v>412</v>
      </c>
      <c r="B81" s="22">
        <v>80</v>
      </c>
      <c r="C81" s="1" t="str">
        <f t="shared" si="0"/>
        <v>Austrália</v>
      </c>
    </row>
    <row r="82" spans="1:3" ht="13">
      <c r="A82" s="12" t="s">
        <v>412</v>
      </c>
      <c r="B82" s="12">
        <v>81</v>
      </c>
      <c r="C82" s="1" t="str">
        <f t="shared" si="0"/>
        <v>Austrália</v>
      </c>
    </row>
    <row r="83" spans="1:3" ht="13">
      <c r="A83" s="48" t="s">
        <v>412</v>
      </c>
      <c r="B83" s="22">
        <v>82</v>
      </c>
      <c r="C83" s="1" t="str">
        <f t="shared" si="0"/>
        <v>Austrália</v>
      </c>
    </row>
    <row r="84" spans="1:3" ht="13">
      <c r="A84" s="12" t="s">
        <v>412</v>
      </c>
      <c r="B84" s="12">
        <v>83</v>
      </c>
      <c r="C84" s="1" t="str">
        <f t="shared" si="0"/>
        <v>Austrália</v>
      </c>
    </row>
    <row r="85" spans="1:3" ht="13">
      <c r="A85" s="48" t="s">
        <v>412</v>
      </c>
      <c r="B85" s="22">
        <v>84</v>
      </c>
      <c r="C85" s="1" t="str">
        <f t="shared" si="0"/>
        <v>Austrália</v>
      </c>
    </row>
    <row r="86" spans="1:3" ht="13">
      <c r="A86" s="12" t="s">
        <v>412</v>
      </c>
      <c r="B86" s="12">
        <v>85</v>
      </c>
      <c r="C86" s="1" t="str">
        <f t="shared" si="0"/>
        <v>Austrália</v>
      </c>
    </row>
    <row r="87" spans="1:3" ht="13">
      <c r="A87" s="48" t="s">
        <v>412</v>
      </c>
      <c r="B87" s="22">
        <v>86</v>
      </c>
      <c r="C87" s="1" t="str">
        <f t="shared" si="0"/>
        <v>Austrália</v>
      </c>
    </row>
    <row r="88" spans="1:3" ht="13">
      <c r="A88" s="12" t="s">
        <v>412</v>
      </c>
      <c r="B88" s="12">
        <v>87</v>
      </c>
      <c r="C88" s="1" t="str">
        <f t="shared" si="0"/>
        <v>Austrália</v>
      </c>
    </row>
    <row r="89" spans="1:3" ht="13">
      <c r="A89" s="48" t="s">
        <v>412</v>
      </c>
      <c r="B89" s="22">
        <v>88</v>
      </c>
      <c r="C89" s="1" t="str">
        <f t="shared" si="0"/>
        <v>Austrália</v>
      </c>
    </row>
    <row r="90" spans="1:3" ht="13">
      <c r="A90" s="12" t="s">
        <v>311</v>
      </c>
      <c r="B90" s="12">
        <v>89</v>
      </c>
      <c r="C90" s="1" t="str">
        <f t="shared" si="0"/>
        <v>Indonésia</v>
      </c>
    </row>
    <row r="91" spans="1:3" ht="13">
      <c r="A91" s="48" t="s">
        <v>412</v>
      </c>
      <c r="B91" s="22">
        <v>90</v>
      </c>
      <c r="C91" s="1" t="str">
        <f t="shared" si="0"/>
        <v>Austrália</v>
      </c>
    </row>
    <row r="92" spans="1:3" ht="13">
      <c r="A92" s="12" t="s">
        <v>412</v>
      </c>
      <c r="B92" s="12">
        <v>91</v>
      </c>
      <c r="C92" s="1" t="str">
        <f t="shared" si="0"/>
        <v>Austrália</v>
      </c>
    </row>
    <row r="93" spans="1:3" ht="13">
      <c r="A93" s="48" t="s">
        <v>412</v>
      </c>
      <c r="B93" s="22">
        <v>92</v>
      </c>
      <c r="C93" s="1" t="str">
        <f t="shared" si="0"/>
        <v>Austrália</v>
      </c>
    </row>
    <row r="94" spans="1:3" ht="13">
      <c r="A94" s="12" t="s">
        <v>412</v>
      </c>
      <c r="B94" s="12">
        <v>93</v>
      </c>
      <c r="C94" s="1" t="str">
        <f t="shared" si="0"/>
        <v>Austrália</v>
      </c>
    </row>
    <row r="95" spans="1:3" ht="13">
      <c r="A95" s="48" t="s">
        <v>438</v>
      </c>
      <c r="B95" s="22">
        <v>94</v>
      </c>
      <c r="C95" s="1" t="str">
        <f t="shared" si="0"/>
        <v>Nova Zelândia</v>
      </c>
    </row>
    <row r="96" spans="1:3" ht="13">
      <c r="A96" s="12" t="s">
        <v>438</v>
      </c>
      <c r="B96" s="12">
        <v>95</v>
      </c>
      <c r="C96" s="1" t="str">
        <f t="shared" si="0"/>
        <v>Nova Zelândia</v>
      </c>
    </row>
    <row r="97" spans="1:3" ht="13">
      <c r="A97" s="48" t="s">
        <v>438</v>
      </c>
      <c r="B97" s="22">
        <v>96</v>
      </c>
      <c r="C97" s="1" t="str">
        <f t="shared" si="0"/>
        <v>Nova Zelândia</v>
      </c>
    </row>
    <row r="98" spans="1:3" ht="13">
      <c r="A98" s="12" t="s">
        <v>440</v>
      </c>
      <c r="B98" s="12">
        <v>97</v>
      </c>
      <c r="C98" s="1" t="str">
        <f t="shared" si="0"/>
        <v>Papua Nova-Guiné</v>
      </c>
    </row>
    <row r="99" spans="1:3" ht="13">
      <c r="A99" s="48" t="s">
        <v>372</v>
      </c>
      <c r="B99" s="22">
        <v>98</v>
      </c>
      <c r="C99" s="1" t="str">
        <f t="shared" si="0"/>
        <v>Finlândia</v>
      </c>
    </row>
    <row r="100" spans="1:3" ht="13">
      <c r="A100" s="16" t="s">
        <v>246</v>
      </c>
      <c r="B100" s="12">
        <v>99</v>
      </c>
      <c r="C100" s="1" t="str">
        <f t="shared" si="0"/>
        <v>China</v>
      </c>
    </row>
    <row r="101" spans="1:3" ht="13">
      <c r="A101" s="48" t="s">
        <v>639</v>
      </c>
      <c r="B101" s="22">
        <v>100</v>
      </c>
      <c r="C101" s="1" t="str">
        <f t="shared" si="0"/>
        <v>China; Rússia</v>
      </c>
    </row>
    <row r="102" spans="1:3" ht="13">
      <c r="A102" s="16" t="s">
        <v>640</v>
      </c>
      <c r="B102" s="12">
        <v>101</v>
      </c>
      <c r="C102" s="1" t="str">
        <f t="shared" si="0"/>
        <v>Ártico</v>
      </c>
    </row>
    <row r="103" spans="1:3" ht="13">
      <c r="A103" s="48" t="s">
        <v>85</v>
      </c>
      <c r="B103" s="22">
        <v>102</v>
      </c>
      <c r="C103" s="1" t="str">
        <f t="shared" si="0"/>
        <v>Global</v>
      </c>
    </row>
    <row r="104" spans="1:3" ht="13">
      <c r="A104" s="16" t="s">
        <v>73</v>
      </c>
      <c r="B104" s="12">
        <v>103</v>
      </c>
      <c r="C104" s="1" t="str">
        <f t="shared" si="0"/>
        <v>EUA</v>
      </c>
    </row>
    <row r="105" spans="1:3" ht="13">
      <c r="A105" s="48"/>
      <c r="B105" s="22">
        <v>104</v>
      </c>
      <c r="C105" s="1">
        <f t="shared" si="0"/>
        <v>0</v>
      </c>
    </row>
    <row r="106" spans="1:3" ht="13">
      <c r="A106" s="16"/>
      <c r="B106" s="12">
        <v>105</v>
      </c>
      <c r="C106" s="1">
        <f t="shared" si="0"/>
        <v>0</v>
      </c>
    </row>
    <row r="107" spans="1:3" ht="13">
      <c r="A107" s="48"/>
      <c r="B107" s="22">
        <v>106</v>
      </c>
      <c r="C107" s="1">
        <f t="shared" si="0"/>
        <v>0</v>
      </c>
    </row>
    <row r="108" spans="1:3" ht="13">
      <c r="A108" s="16"/>
      <c r="B108" s="12">
        <v>107</v>
      </c>
      <c r="C108" s="1">
        <f t="shared" si="0"/>
        <v>0</v>
      </c>
    </row>
    <row r="109" spans="1:3" ht="13">
      <c r="A109" s="48"/>
      <c r="B109" s="22">
        <v>108</v>
      </c>
      <c r="C109" s="1">
        <f t="shared" si="0"/>
        <v>0</v>
      </c>
    </row>
    <row r="110" spans="1:3" ht="13">
      <c r="A110" s="16" t="s">
        <v>73</v>
      </c>
      <c r="B110" s="12">
        <v>109</v>
      </c>
      <c r="C110" s="1" t="str">
        <f t="shared" si="0"/>
        <v>EUA</v>
      </c>
    </row>
    <row r="111" spans="1:3" ht="13">
      <c r="A111" s="48" t="s">
        <v>73</v>
      </c>
      <c r="B111" s="22">
        <v>110</v>
      </c>
      <c r="C111" s="1" t="str">
        <f t="shared" si="0"/>
        <v>EUA</v>
      </c>
    </row>
    <row r="112" spans="1:3" ht="13">
      <c r="A112" s="16" t="s">
        <v>85</v>
      </c>
      <c r="B112" s="12">
        <v>111</v>
      </c>
      <c r="C112" s="1" t="str">
        <f t="shared" si="0"/>
        <v>Global</v>
      </c>
    </row>
    <row r="113" spans="1:3" ht="13">
      <c r="A113" s="48" t="s">
        <v>73</v>
      </c>
      <c r="B113" s="22">
        <v>112</v>
      </c>
      <c r="C113" s="1" t="str">
        <f t="shared" si="0"/>
        <v>EUA</v>
      </c>
    </row>
    <row r="114" spans="1:3" ht="13">
      <c r="A114" s="16" t="s">
        <v>73</v>
      </c>
      <c r="B114" s="12">
        <v>113</v>
      </c>
      <c r="C114" s="1" t="str">
        <f t="shared" si="0"/>
        <v>EUA</v>
      </c>
    </row>
    <row r="115" spans="1:3" ht="13">
      <c r="A115" s="48" t="s">
        <v>103</v>
      </c>
      <c r="B115" s="22">
        <v>114</v>
      </c>
      <c r="C115" s="1" t="str">
        <f t="shared" si="0"/>
        <v>Canadá</v>
      </c>
    </row>
    <row r="116" spans="1:3" ht="13">
      <c r="A116" s="16" t="s">
        <v>73</v>
      </c>
      <c r="B116" s="12">
        <v>115</v>
      </c>
      <c r="C116" s="1" t="str">
        <f t="shared" si="0"/>
        <v>EUA</v>
      </c>
    </row>
    <row r="117" spans="1:3" ht="13">
      <c r="A117" s="48"/>
      <c r="B117" s="22">
        <v>116</v>
      </c>
      <c r="C117" s="1">
        <f t="shared" si="0"/>
        <v>0</v>
      </c>
    </row>
    <row r="118" spans="1:3" ht="13">
      <c r="A118" s="16"/>
      <c r="B118" s="12">
        <v>117</v>
      </c>
      <c r="C118" s="1">
        <f t="shared" si="0"/>
        <v>0</v>
      </c>
    </row>
    <row r="119" spans="1:3" ht="13">
      <c r="A119" s="48" t="s">
        <v>644</v>
      </c>
      <c r="B119" s="22">
        <v>118</v>
      </c>
      <c r="C119" s="1" t="str">
        <f t="shared" si="0"/>
        <v>Mundo</v>
      </c>
    </row>
    <row r="120" spans="1:3" ht="13">
      <c r="A120" s="16" t="s">
        <v>644</v>
      </c>
      <c r="B120" s="12">
        <v>119</v>
      </c>
      <c r="C120" s="1" t="str">
        <f t="shared" si="0"/>
        <v>Mundo</v>
      </c>
    </row>
    <row r="121" spans="1:3" ht="13">
      <c r="A121" s="48" t="s">
        <v>226</v>
      </c>
      <c r="B121" s="22">
        <v>120</v>
      </c>
      <c r="C121" s="1" t="str">
        <f t="shared" si="0"/>
        <v>Não se aplica</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6"/>
  <sheetViews>
    <sheetView workbookViewId="0"/>
  </sheetViews>
  <sheetFormatPr baseColWidth="10" defaultColWidth="12.6640625" defaultRowHeight="15.75" customHeight="1"/>
  <sheetData>
    <row r="1" spans="1:1" ht="15.75" customHeight="1">
      <c r="A1" s="1" t="s">
        <v>0</v>
      </c>
    </row>
    <row r="2" spans="1:1" ht="15.75" customHeight="1">
      <c r="A2" s="1" t="s">
        <v>669</v>
      </c>
    </row>
    <row r="3" spans="1:1" ht="15.75" customHeight="1">
      <c r="A3" s="1" t="s">
        <v>671</v>
      </c>
    </row>
    <row r="4" spans="1:1" ht="15.75" customHeight="1">
      <c r="A4" s="1" t="s">
        <v>672</v>
      </c>
    </row>
    <row r="5" spans="1:1" ht="15.75" customHeight="1">
      <c r="A5" s="1" t="s">
        <v>673</v>
      </c>
    </row>
    <row r="6" spans="1:1" ht="15.75" customHeight="1">
      <c r="A6" s="1" t="s">
        <v>674</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210"/>
  <sheetViews>
    <sheetView workbookViewId="0"/>
  </sheetViews>
  <sheetFormatPr baseColWidth="10" defaultColWidth="12.6640625" defaultRowHeight="15.75" customHeight="1"/>
  <sheetData>
    <row r="1" spans="1:3" ht="15.75" customHeight="1">
      <c r="A1" s="68" t="s">
        <v>684</v>
      </c>
      <c r="B1" s="69" t="s">
        <v>44</v>
      </c>
      <c r="C1" s="70" t="s">
        <v>686</v>
      </c>
    </row>
    <row r="2" spans="1:3" ht="15.75" customHeight="1">
      <c r="A2" s="71">
        <v>15</v>
      </c>
      <c r="B2" s="72">
        <v>15</v>
      </c>
      <c r="C2" s="72" t="s">
        <v>687</v>
      </c>
    </row>
    <row r="3" spans="1:3" ht="15.75" customHeight="1">
      <c r="A3" s="71">
        <v>37</v>
      </c>
      <c r="B3" s="72">
        <v>37</v>
      </c>
      <c r="C3" s="72" t="s">
        <v>687</v>
      </c>
    </row>
    <row r="4" spans="1:3" ht="15.75" customHeight="1">
      <c r="A4" s="71">
        <v>68</v>
      </c>
      <c r="B4" s="73">
        <v>68</v>
      </c>
      <c r="C4" s="72" t="s">
        <v>687</v>
      </c>
    </row>
    <row r="5" spans="1:3" ht="15.75" customHeight="1">
      <c r="A5" s="71">
        <v>107</v>
      </c>
      <c r="B5" s="74">
        <v>107</v>
      </c>
      <c r="C5" s="72" t="s">
        <v>687</v>
      </c>
    </row>
    <row r="6" spans="1:3" ht="15.75" customHeight="1">
      <c r="A6" s="71">
        <v>114</v>
      </c>
      <c r="B6" s="73">
        <v>114</v>
      </c>
      <c r="C6" s="72" t="s">
        <v>687</v>
      </c>
    </row>
    <row r="7" spans="1:3" ht="15.75" customHeight="1">
      <c r="A7" s="71">
        <v>161</v>
      </c>
      <c r="B7" s="75">
        <v>161</v>
      </c>
      <c r="C7" s="72" t="s">
        <v>687</v>
      </c>
    </row>
    <row r="8" spans="1:3" ht="15.75" customHeight="1">
      <c r="A8" s="71">
        <v>210</v>
      </c>
      <c r="B8" s="73" t="s">
        <v>691</v>
      </c>
      <c r="C8" s="72" t="s">
        <v>687</v>
      </c>
    </row>
    <row r="9" spans="1:3" ht="15.75" customHeight="1">
      <c r="A9" s="71">
        <v>212</v>
      </c>
      <c r="B9" s="73" t="s">
        <v>694</v>
      </c>
      <c r="C9" s="72" t="s">
        <v>687</v>
      </c>
    </row>
    <row r="10" spans="1:3" ht="15.75" customHeight="1">
      <c r="A10" s="71">
        <v>215</v>
      </c>
      <c r="B10" s="72" t="s">
        <v>695</v>
      </c>
      <c r="C10" s="72" t="s">
        <v>687</v>
      </c>
    </row>
    <row r="11" spans="1:3" ht="15.75" customHeight="1">
      <c r="A11" s="71">
        <v>216</v>
      </c>
      <c r="B11" s="73" t="s">
        <v>696</v>
      </c>
      <c r="C11" s="72" t="s">
        <v>687</v>
      </c>
    </row>
    <row r="12" spans="1:3" ht="15.75" customHeight="1">
      <c r="A12" s="71">
        <v>241</v>
      </c>
      <c r="B12" s="72" t="s">
        <v>697</v>
      </c>
      <c r="C12" s="72" t="s">
        <v>687</v>
      </c>
    </row>
    <row r="13" spans="1:3" ht="15.75" customHeight="1">
      <c r="A13" s="71">
        <v>311</v>
      </c>
      <c r="B13" s="72" t="s">
        <v>701</v>
      </c>
      <c r="C13" s="72" t="s">
        <v>687</v>
      </c>
    </row>
    <row r="14" spans="1:3" ht="15.75" customHeight="1">
      <c r="A14" s="71">
        <v>520</v>
      </c>
      <c r="B14" s="73" t="s">
        <v>702</v>
      </c>
      <c r="C14" s="72" t="s">
        <v>687</v>
      </c>
    </row>
    <row r="15" spans="1:3" ht="15.75" customHeight="1">
      <c r="A15" s="71">
        <v>565</v>
      </c>
      <c r="B15" s="72" t="s">
        <v>703</v>
      </c>
      <c r="C15" s="72" t="s">
        <v>687</v>
      </c>
    </row>
    <row r="16" spans="1:3" ht="15.75" customHeight="1">
      <c r="A16" s="71">
        <v>566</v>
      </c>
      <c r="B16" s="73" t="s">
        <v>704</v>
      </c>
      <c r="C16" s="72" t="s">
        <v>687</v>
      </c>
    </row>
    <row r="17" spans="1:3" ht="15.75" customHeight="1">
      <c r="A17" s="71">
        <v>735</v>
      </c>
      <c r="B17" s="75">
        <v>314</v>
      </c>
      <c r="C17" s="72" t="s">
        <v>687</v>
      </c>
    </row>
    <row r="18" spans="1:3" ht="15.75" customHeight="1">
      <c r="A18" s="71">
        <v>847</v>
      </c>
      <c r="B18" s="72">
        <v>5</v>
      </c>
      <c r="C18" s="72" t="s">
        <v>705</v>
      </c>
    </row>
    <row r="19" spans="1:3" ht="15.75" customHeight="1">
      <c r="A19" s="71">
        <v>848</v>
      </c>
      <c r="B19" s="73">
        <v>6</v>
      </c>
      <c r="C19" s="72" t="s">
        <v>705</v>
      </c>
    </row>
    <row r="20" spans="1:3" ht="15.75" customHeight="1">
      <c r="A20" s="71">
        <v>850</v>
      </c>
      <c r="B20" s="73">
        <v>8</v>
      </c>
      <c r="C20" s="72" t="s">
        <v>705</v>
      </c>
    </row>
    <row r="21" spans="1:3" ht="15.75" customHeight="1">
      <c r="A21" s="71">
        <v>852</v>
      </c>
      <c r="B21" s="73">
        <v>10</v>
      </c>
      <c r="C21" s="72" t="s">
        <v>705</v>
      </c>
    </row>
    <row r="22" spans="1:3" ht="15.75" customHeight="1">
      <c r="A22" s="71">
        <v>854</v>
      </c>
      <c r="B22" s="73">
        <v>12</v>
      </c>
      <c r="C22" s="72" t="s">
        <v>705</v>
      </c>
    </row>
    <row r="23" spans="1:3" ht="15.75" customHeight="1">
      <c r="A23" s="71">
        <v>859</v>
      </c>
      <c r="B23" s="72">
        <v>17</v>
      </c>
      <c r="C23" s="72" t="s">
        <v>705</v>
      </c>
    </row>
    <row r="24" spans="1:3" ht="15.75" customHeight="1">
      <c r="A24" s="71">
        <v>860</v>
      </c>
      <c r="B24" s="73">
        <v>18</v>
      </c>
      <c r="C24" s="72" t="s">
        <v>705</v>
      </c>
    </row>
    <row r="25" spans="1:3" ht="15.75" customHeight="1">
      <c r="A25" s="71">
        <v>861</v>
      </c>
      <c r="B25" s="72">
        <v>19</v>
      </c>
      <c r="C25" s="72" t="s">
        <v>705</v>
      </c>
    </row>
    <row r="26" spans="1:3" ht="15.75" customHeight="1">
      <c r="A26" s="71">
        <v>863</v>
      </c>
      <c r="B26" s="72">
        <v>21</v>
      </c>
      <c r="C26" s="72" t="s">
        <v>705</v>
      </c>
    </row>
    <row r="27" spans="1:3" ht="15.75" customHeight="1">
      <c r="A27" s="71">
        <v>865</v>
      </c>
      <c r="B27" s="72">
        <v>23</v>
      </c>
      <c r="C27" s="72" t="s">
        <v>705</v>
      </c>
    </row>
    <row r="28" spans="1:3" ht="15.75" customHeight="1">
      <c r="A28" s="71">
        <v>866</v>
      </c>
      <c r="B28" s="73">
        <v>24</v>
      </c>
      <c r="C28" s="72" t="s">
        <v>705</v>
      </c>
    </row>
    <row r="29" spans="1:3" ht="15.75" customHeight="1">
      <c r="A29" s="71">
        <v>869</v>
      </c>
      <c r="B29" s="72">
        <v>27</v>
      </c>
      <c r="C29" s="72" t="s">
        <v>705</v>
      </c>
    </row>
    <row r="30" spans="1:3" ht="15.75" customHeight="1">
      <c r="A30" s="71">
        <v>871</v>
      </c>
      <c r="B30" s="72">
        <v>29</v>
      </c>
      <c r="C30" s="72" t="s">
        <v>705</v>
      </c>
    </row>
    <row r="31" spans="1:3" ht="15.75" customHeight="1">
      <c r="A31" s="71">
        <v>872</v>
      </c>
      <c r="B31" s="73">
        <v>30</v>
      </c>
      <c r="C31" s="72" t="s">
        <v>705</v>
      </c>
    </row>
    <row r="32" spans="1:3" ht="15.75" customHeight="1">
      <c r="A32" s="71">
        <v>966</v>
      </c>
      <c r="B32" s="73">
        <v>124</v>
      </c>
      <c r="C32" s="72" t="s">
        <v>705</v>
      </c>
    </row>
    <row r="33" spans="1:3" ht="15.75" customHeight="1">
      <c r="A33" s="71">
        <v>983</v>
      </c>
      <c r="B33" s="75">
        <v>141</v>
      </c>
      <c r="C33" s="72" t="s">
        <v>705</v>
      </c>
    </row>
    <row r="34" spans="1:3" ht="15.75" customHeight="1">
      <c r="A34" s="71">
        <v>984</v>
      </c>
      <c r="B34" s="77">
        <v>142</v>
      </c>
      <c r="C34" s="72" t="s">
        <v>705</v>
      </c>
    </row>
    <row r="35" spans="1:3" ht="15.75" customHeight="1">
      <c r="A35" s="71">
        <v>997</v>
      </c>
      <c r="B35" s="75">
        <v>155</v>
      </c>
      <c r="C35" s="72" t="s">
        <v>705</v>
      </c>
    </row>
    <row r="36" spans="1:3" ht="15.75" customHeight="1">
      <c r="A36" s="71">
        <v>998</v>
      </c>
      <c r="B36" s="77">
        <v>156</v>
      </c>
      <c r="C36" s="72" t="s">
        <v>705</v>
      </c>
    </row>
    <row r="37" spans="1:3" ht="15.75" customHeight="1">
      <c r="A37" s="71">
        <v>1004</v>
      </c>
      <c r="B37" s="77">
        <v>162</v>
      </c>
      <c r="C37" s="72" t="s">
        <v>705</v>
      </c>
    </row>
    <row r="38" spans="1:3" ht="15.75" customHeight="1">
      <c r="A38" s="71">
        <v>1177</v>
      </c>
      <c r="B38" s="72" t="s">
        <v>710</v>
      </c>
      <c r="C38" s="72" t="s">
        <v>705</v>
      </c>
    </row>
    <row r="39" spans="1:3" ht="15.75" customHeight="1">
      <c r="A39" s="71">
        <v>1445</v>
      </c>
      <c r="B39" s="75">
        <v>182</v>
      </c>
      <c r="C39" s="72" t="s">
        <v>705</v>
      </c>
    </row>
    <row r="40" spans="1:3" ht="15.75" customHeight="1">
      <c r="A40" s="71">
        <v>1450</v>
      </c>
      <c r="B40" s="77">
        <v>187</v>
      </c>
      <c r="C40" s="72" t="s">
        <v>705</v>
      </c>
    </row>
    <row r="41" spans="1:3" ht="15.75" customHeight="1">
      <c r="A41" s="71">
        <v>1452</v>
      </c>
      <c r="B41" s="77">
        <v>189</v>
      </c>
      <c r="C41" s="72" t="s">
        <v>705</v>
      </c>
    </row>
    <row r="42" spans="1:3" ht="15.75" customHeight="1">
      <c r="A42" s="71">
        <v>1453</v>
      </c>
      <c r="B42" s="75">
        <v>190</v>
      </c>
      <c r="C42" s="72" t="s">
        <v>705</v>
      </c>
    </row>
    <row r="43" spans="1:3" ht="15.75" customHeight="1">
      <c r="A43" s="71">
        <v>1681</v>
      </c>
      <c r="B43" s="75">
        <v>418</v>
      </c>
      <c r="C43" s="72" t="s">
        <v>705</v>
      </c>
    </row>
    <row r="44" spans="1:3" ht="15.75" customHeight="1">
      <c r="A44" s="71">
        <v>1682</v>
      </c>
      <c r="B44" s="77">
        <v>419</v>
      </c>
      <c r="C44" s="72" t="s">
        <v>705</v>
      </c>
    </row>
    <row r="45" spans="1:3" ht="15.75" customHeight="1">
      <c r="A45" s="71">
        <v>1683</v>
      </c>
      <c r="B45" s="75">
        <v>420</v>
      </c>
      <c r="C45" s="72" t="s">
        <v>705</v>
      </c>
    </row>
    <row r="46" spans="1:3" ht="15.75" customHeight="1">
      <c r="A46" s="71">
        <v>1687</v>
      </c>
      <c r="B46" s="72">
        <v>3</v>
      </c>
      <c r="C46" s="72" t="s">
        <v>714</v>
      </c>
    </row>
    <row r="47" spans="1:3" ht="15.75" customHeight="1">
      <c r="A47" s="71">
        <v>1689</v>
      </c>
      <c r="B47" s="72">
        <v>5</v>
      </c>
      <c r="C47" s="72" t="s">
        <v>714</v>
      </c>
    </row>
    <row r="48" spans="1:3" ht="15.75" customHeight="1">
      <c r="A48" s="71">
        <v>1690</v>
      </c>
      <c r="B48" s="73">
        <v>6</v>
      </c>
      <c r="C48" s="72" t="s">
        <v>714</v>
      </c>
    </row>
    <row r="49" spans="1:3" ht="15.75" customHeight="1">
      <c r="A49" s="71">
        <v>1692</v>
      </c>
      <c r="B49" s="73">
        <v>8</v>
      </c>
      <c r="C49" s="72" t="s">
        <v>714</v>
      </c>
    </row>
    <row r="50" spans="1:3" ht="15.75" customHeight="1">
      <c r="A50" s="71">
        <v>1698</v>
      </c>
      <c r="B50" s="73">
        <v>14</v>
      </c>
      <c r="C50" s="72" t="s">
        <v>714</v>
      </c>
    </row>
    <row r="51" spans="1:3" ht="15.75" customHeight="1">
      <c r="A51" s="71">
        <v>1711</v>
      </c>
      <c r="B51" s="72">
        <v>27</v>
      </c>
      <c r="C51" s="72" t="s">
        <v>714</v>
      </c>
    </row>
    <row r="52" spans="1:3" ht="15.75" customHeight="1">
      <c r="A52" s="71">
        <v>1728</v>
      </c>
      <c r="B52" s="73">
        <v>44</v>
      </c>
      <c r="C52" s="72" t="s">
        <v>714</v>
      </c>
    </row>
    <row r="53" spans="1:3" ht="15.75" customHeight="1">
      <c r="A53" s="71">
        <v>1730</v>
      </c>
      <c r="B53" s="73">
        <v>46</v>
      </c>
      <c r="C53" s="72" t="s">
        <v>714</v>
      </c>
    </row>
    <row r="54" spans="1:3" ht="15.75" customHeight="1">
      <c r="A54" s="71">
        <v>1777</v>
      </c>
      <c r="B54" s="72">
        <v>93</v>
      </c>
      <c r="C54" s="72" t="s">
        <v>714</v>
      </c>
    </row>
    <row r="55" spans="1:3" ht="15.75" customHeight="1">
      <c r="A55" s="71">
        <v>1799</v>
      </c>
      <c r="B55" s="72">
        <v>115</v>
      </c>
      <c r="C55" s="72" t="s">
        <v>714</v>
      </c>
    </row>
    <row r="56" spans="1:3" ht="15.75" customHeight="1">
      <c r="A56" s="71">
        <v>1803</v>
      </c>
      <c r="B56" s="72">
        <v>119</v>
      </c>
      <c r="C56" s="72" t="s">
        <v>714</v>
      </c>
    </row>
    <row r="57" spans="1:3" ht="15.75" customHeight="1">
      <c r="A57" s="71">
        <v>1805</v>
      </c>
      <c r="B57" s="72">
        <v>121</v>
      </c>
      <c r="C57" s="72" t="s">
        <v>714</v>
      </c>
    </row>
    <row r="58" spans="1:3" ht="15.75" customHeight="1">
      <c r="A58" s="71">
        <v>1822</v>
      </c>
      <c r="B58" s="77">
        <v>138</v>
      </c>
      <c r="C58" s="72" t="s">
        <v>714</v>
      </c>
    </row>
    <row r="59" spans="1:3" ht="15.75" customHeight="1">
      <c r="A59" s="71">
        <v>1829</v>
      </c>
      <c r="B59" s="75">
        <v>145</v>
      </c>
      <c r="C59" s="72" t="s">
        <v>714</v>
      </c>
    </row>
    <row r="60" spans="1:3" ht="15.75" customHeight="1">
      <c r="A60" s="71">
        <v>1834</v>
      </c>
      <c r="B60" s="77">
        <v>150</v>
      </c>
      <c r="C60" s="72" t="s">
        <v>714</v>
      </c>
    </row>
    <row r="61" spans="1:3" ht="15.75" customHeight="1">
      <c r="A61" s="71">
        <v>1839</v>
      </c>
      <c r="B61" s="75">
        <v>155</v>
      </c>
      <c r="C61" s="72" t="s">
        <v>714</v>
      </c>
    </row>
    <row r="62" spans="1:3" ht="15.75" customHeight="1">
      <c r="A62" s="71">
        <v>1865</v>
      </c>
      <c r="B62" s="72" t="s">
        <v>721</v>
      </c>
      <c r="C62" s="72" t="s">
        <v>714</v>
      </c>
    </row>
    <row r="63" spans="1:3" ht="15.75" customHeight="1">
      <c r="A63" s="71">
        <v>1867</v>
      </c>
      <c r="B63" s="72" t="s">
        <v>722</v>
      </c>
      <c r="C63" s="72" t="s">
        <v>714</v>
      </c>
    </row>
    <row r="64" spans="1:3" ht="15.75" customHeight="1">
      <c r="A64" s="71">
        <v>1868</v>
      </c>
      <c r="B64" s="73" t="s">
        <v>723</v>
      </c>
      <c r="C64" s="72" t="s">
        <v>714</v>
      </c>
    </row>
    <row r="65" spans="1:3" ht="15.75" customHeight="1">
      <c r="A65" s="71">
        <v>1875</v>
      </c>
      <c r="B65" s="72" t="s">
        <v>724</v>
      </c>
      <c r="C65" s="72" t="s">
        <v>714</v>
      </c>
    </row>
    <row r="66" spans="1:3" ht="15.75" customHeight="1">
      <c r="A66" s="71">
        <v>1979</v>
      </c>
      <c r="B66" s="72" t="s">
        <v>725</v>
      </c>
      <c r="C66" s="72" t="s">
        <v>714</v>
      </c>
    </row>
    <row r="67" spans="1:3" ht="15.75" customHeight="1">
      <c r="A67" s="71">
        <v>1980</v>
      </c>
      <c r="B67" s="73" t="s">
        <v>726</v>
      </c>
      <c r="C67" s="72" t="s">
        <v>714</v>
      </c>
    </row>
    <row r="68" spans="1:3" ht="15.75" customHeight="1">
      <c r="A68" s="71">
        <v>1990</v>
      </c>
      <c r="B68" s="73" t="s">
        <v>727</v>
      </c>
      <c r="C68" s="72" t="s">
        <v>714</v>
      </c>
    </row>
    <row r="69" spans="1:3" ht="15.75" customHeight="1">
      <c r="A69" s="71">
        <v>1994</v>
      </c>
      <c r="B69" s="73" t="s">
        <v>728</v>
      </c>
      <c r="C69" s="72" t="s">
        <v>714</v>
      </c>
    </row>
    <row r="70" spans="1:3" ht="15.75" customHeight="1">
      <c r="A70" s="71">
        <v>2079</v>
      </c>
      <c r="B70" s="72" t="s">
        <v>729</v>
      </c>
      <c r="C70" s="72" t="s">
        <v>714</v>
      </c>
    </row>
    <row r="71" spans="1:3" ht="15.75" customHeight="1">
      <c r="A71" s="71">
        <v>2529</v>
      </c>
      <c r="B71" s="72">
        <v>3</v>
      </c>
      <c r="C71" s="72" t="s">
        <v>730</v>
      </c>
    </row>
    <row r="72" spans="1:3" ht="15.75" customHeight="1">
      <c r="A72" s="71">
        <v>2534</v>
      </c>
      <c r="B72" s="73">
        <v>8</v>
      </c>
      <c r="C72" s="72" t="s">
        <v>730</v>
      </c>
    </row>
    <row r="73" spans="1:3" ht="15.75" customHeight="1">
      <c r="A73" s="71">
        <v>2537</v>
      </c>
      <c r="B73" s="72">
        <v>11</v>
      </c>
      <c r="C73" s="72" t="s">
        <v>730</v>
      </c>
    </row>
    <row r="74" spans="1:3" ht="15.75" customHeight="1">
      <c r="A74" s="71">
        <v>2549</v>
      </c>
      <c r="B74" s="72">
        <v>23</v>
      </c>
      <c r="C74" s="72" t="s">
        <v>730</v>
      </c>
    </row>
    <row r="75" spans="1:3" ht="15.75" customHeight="1">
      <c r="A75" s="71">
        <v>2551</v>
      </c>
      <c r="B75" s="72">
        <v>25</v>
      </c>
      <c r="C75" s="72" t="s">
        <v>730</v>
      </c>
    </row>
    <row r="76" spans="1:3" ht="15.75" customHeight="1">
      <c r="A76" s="71">
        <v>2553</v>
      </c>
      <c r="B76" s="72">
        <v>27</v>
      </c>
      <c r="C76" s="72" t="s">
        <v>730</v>
      </c>
    </row>
    <row r="77" spans="1:3" ht="15.75" customHeight="1">
      <c r="A77" s="71">
        <v>2581</v>
      </c>
      <c r="B77" s="72">
        <v>55</v>
      </c>
      <c r="C77" s="72" t="s">
        <v>730</v>
      </c>
    </row>
    <row r="78" spans="1:3" ht="15.75" customHeight="1">
      <c r="A78" s="71">
        <v>2582</v>
      </c>
      <c r="B78" s="73">
        <v>56</v>
      </c>
      <c r="C78" s="72" t="s">
        <v>730</v>
      </c>
    </row>
    <row r="79" spans="1:3" ht="15.75" customHeight="1">
      <c r="A79" s="71">
        <v>2584</v>
      </c>
      <c r="B79" s="73">
        <v>58</v>
      </c>
      <c r="C79" s="72" t="s">
        <v>730</v>
      </c>
    </row>
    <row r="80" spans="1:3" ht="15.75" customHeight="1">
      <c r="A80" s="71">
        <v>2585</v>
      </c>
      <c r="B80" s="72">
        <v>59</v>
      </c>
      <c r="C80" s="72" t="s">
        <v>730</v>
      </c>
    </row>
    <row r="81" spans="1:3" ht="15.75" customHeight="1">
      <c r="A81" s="71">
        <v>2603</v>
      </c>
      <c r="B81" s="72">
        <v>77</v>
      </c>
      <c r="C81" s="72" t="s">
        <v>730</v>
      </c>
    </row>
    <row r="82" spans="1:3" ht="13">
      <c r="A82" s="71">
        <v>2625</v>
      </c>
      <c r="B82" s="72">
        <v>99</v>
      </c>
      <c r="C82" s="72" t="s">
        <v>730</v>
      </c>
    </row>
    <row r="83" spans="1:3" ht="13">
      <c r="A83" s="71">
        <v>2638</v>
      </c>
      <c r="B83" s="73">
        <v>112</v>
      </c>
      <c r="C83" s="72" t="s">
        <v>730</v>
      </c>
    </row>
    <row r="84" spans="1:3" ht="13">
      <c r="A84" s="71">
        <v>2640</v>
      </c>
      <c r="B84" s="73">
        <v>114</v>
      </c>
      <c r="C84" s="72" t="s">
        <v>730</v>
      </c>
    </row>
    <row r="85" spans="1:3" ht="13">
      <c r="A85" s="71">
        <v>2648</v>
      </c>
      <c r="B85" s="73">
        <v>122</v>
      </c>
      <c r="C85" s="72" t="s">
        <v>730</v>
      </c>
    </row>
    <row r="86" spans="1:3" ht="13">
      <c r="A86" s="71">
        <v>2650</v>
      </c>
      <c r="B86" s="73">
        <v>124</v>
      </c>
      <c r="C86" s="72" t="s">
        <v>730</v>
      </c>
    </row>
    <row r="87" spans="1:3" ht="13">
      <c r="A87" s="71">
        <v>2652</v>
      </c>
      <c r="B87" s="73">
        <v>126</v>
      </c>
      <c r="C87" s="72" t="s">
        <v>730</v>
      </c>
    </row>
    <row r="88" spans="1:3" ht="13">
      <c r="A88" s="71">
        <v>2656</v>
      </c>
      <c r="B88" s="77">
        <v>130</v>
      </c>
      <c r="C88" s="72" t="s">
        <v>730</v>
      </c>
    </row>
    <row r="89" spans="1:3" ht="13">
      <c r="A89" s="71">
        <v>2659</v>
      </c>
      <c r="B89" s="75">
        <v>133</v>
      </c>
      <c r="C89" s="72" t="s">
        <v>730</v>
      </c>
    </row>
    <row r="90" spans="1:3" ht="13">
      <c r="A90" s="71">
        <v>2669</v>
      </c>
      <c r="B90" s="75">
        <v>143</v>
      </c>
      <c r="C90" s="72" t="s">
        <v>730</v>
      </c>
    </row>
    <row r="91" spans="1:3" ht="13">
      <c r="A91" s="71">
        <v>2681</v>
      </c>
      <c r="B91" s="75">
        <v>155</v>
      </c>
      <c r="C91" s="72" t="s">
        <v>730</v>
      </c>
    </row>
    <row r="92" spans="1:3" ht="13">
      <c r="A92" s="71">
        <v>2695</v>
      </c>
      <c r="B92" s="75">
        <v>169</v>
      </c>
      <c r="C92" s="72" t="s">
        <v>730</v>
      </c>
    </row>
    <row r="93" spans="1:3" ht="13">
      <c r="A93" s="71">
        <v>2702</v>
      </c>
      <c r="B93" s="77">
        <v>176</v>
      </c>
      <c r="C93" s="72" t="s">
        <v>730</v>
      </c>
    </row>
    <row r="94" spans="1:3" ht="13">
      <c r="A94" s="71">
        <v>2708</v>
      </c>
      <c r="B94" s="73" t="s">
        <v>734</v>
      </c>
      <c r="C94" s="72" t="s">
        <v>730</v>
      </c>
    </row>
    <row r="95" spans="1:3" ht="13">
      <c r="A95" s="71">
        <v>2710</v>
      </c>
      <c r="B95" s="73" t="s">
        <v>723</v>
      </c>
      <c r="C95" s="72" t="s">
        <v>730</v>
      </c>
    </row>
    <row r="96" spans="1:3" ht="13">
      <c r="A96" s="71">
        <v>2716</v>
      </c>
      <c r="B96" s="73" t="s">
        <v>736</v>
      </c>
      <c r="C96" s="72" t="s">
        <v>730</v>
      </c>
    </row>
    <row r="97" spans="1:3" ht="13">
      <c r="A97" s="71">
        <v>2718</v>
      </c>
      <c r="B97" s="73" t="s">
        <v>737</v>
      </c>
      <c r="C97" s="72" t="s">
        <v>730</v>
      </c>
    </row>
    <row r="98" spans="1:3" ht="13">
      <c r="A98" s="71">
        <v>2726</v>
      </c>
      <c r="B98" s="73" t="s">
        <v>738</v>
      </c>
      <c r="C98" s="72" t="s">
        <v>730</v>
      </c>
    </row>
    <row r="99" spans="1:3" ht="13">
      <c r="A99" s="71">
        <v>2732</v>
      </c>
      <c r="B99" s="73" t="s">
        <v>739</v>
      </c>
      <c r="C99" s="72" t="s">
        <v>730</v>
      </c>
    </row>
    <row r="100" spans="1:3" ht="13">
      <c r="A100" s="71">
        <v>2735</v>
      </c>
      <c r="B100" s="72" t="s">
        <v>742</v>
      </c>
      <c r="C100" s="72" t="s">
        <v>730</v>
      </c>
    </row>
    <row r="101" spans="1:3" ht="13">
      <c r="A101" s="71">
        <v>2782</v>
      </c>
      <c r="B101" s="73" t="s">
        <v>743</v>
      </c>
      <c r="C101" s="72" t="s">
        <v>730</v>
      </c>
    </row>
    <row r="102" spans="1:3" ht="13">
      <c r="A102" s="71">
        <v>2795</v>
      </c>
      <c r="B102" s="72" t="s">
        <v>744</v>
      </c>
      <c r="C102" s="72" t="s">
        <v>730</v>
      </c>
    </row>
    <row r="103" spans="1:3" ht="13">
      <c r="A103" s="71">
        <v>2822</v>
      </c>
      <c r="B103" s="73" t="s">
        <v>726</v>
      </c>
      <c r="C103" s="72" t="s">
        <v>730</v>
      </c>
    </row>
    <row r="104" spans="1:3" ht="13">
      <c r="A104" s="71">
        <v>2824</v>
      </c>
      <c r="B104" s="73" t="s">
        <v>745</v>
      </c>
      <c r="C104" s="72" t="s">
        <v>730</v>
      </c>
    </row>
    <row r="105" spans="1:3" ht="13">
      <c r="A105" s="71">
        <v>2840</v>
      </c>
      <c r="B105" s="73" t="s">
        <v>746</v>
      </c>
      <c r="C105" s="72" t="s">
        <v>730</v>
      </c>
    </row>
    <row r="106" spans="1:3" ht="13">
      <c r="A106" s="71">
        <v>2845</v>
      </c>
      <c r="B106" s="72" t="s">
        <v>747</v>
      </c>
      <c r="C106" s="72" t="s">
        <v>730</v>
      </c>
    </row>
    <row r="107" spans="1:3" ht="13">
      <c r="A107" s="71">
        <v>2850</v>
      </c>
      <c r="B107" s="73" t="s">
        <v>748</v>
      </c>
      <c r="C107" s="72" t="s">
        <v>730</v>
      </c>
    </row>
    <row r="108" spans="1:3" ht="13">
      <c r="A108" s="71">
        <v>2858</v>
      </c>
      <c r="B108" s="73" t="s">
        <v>749</v>
      </c>
      <c r="C108" s="72" t="s">
        <v>730</v>
      </c>
    </row>
    <row r="109" spans="1:3" ht="13">
      <c r="A109" s="71">
        <v>2897</v>
      </c>
      <c r="B109" s="72" t="s">
        <v>750</v>
      </c>
      <c r="C109" s="72" t="s">
        <v>730</v>
      </c>
    </row>
    <row r="110" spans="1:3" ht="13">
      <c r="A110" s="71">
        <v>2905</v>
      </c>
      <c r="B110" s="72" t="s">
        <v>752</v>
      </c>
      <c r="C110" s="72" t="s">
        <v>730</v>
      </c>
    </row>
    <row r="111" spans="1:3" ht="13">
      <c r="A111" s="71">
        <v>2906</v>
      </c>
      <c r="B111" s="73" t="s">
        <v>753</v>
      </c>
      <c r="C111" s="72" t="s">
        <v>730</v>
      </c>
    </row>
    <row r="112" spans="1:3" ht="13">
      <c r="A112" s="71">
        <v>2907</v>
      </c>
      <c r="B112" s="72" t="s">
        <v>754</v>
      </c>
      <c r="C112" s="72" t="s">
        <v>730</v>
      </c>
    </row>
    <row r="113" spans="1:3" ht="13">
      <c r="A113" s="71">
        <v>2915</v>
      </c>
      <c r="B113" s="72" t="s">
        <v>755</v>
      </c>
      <c r="C113" s="72" t="s">
        <v>730</v>
      </c>
    </row>
    <row r="114" spans="1:3" ht="13">
      <c r="A114" s="71">
        <v>2916</v>
      </c>
      <c r="B114" s="73" t="s">
        <v>756</v>
      </c>
      <c r="C114" s="72" t="s">
        <v>730</v>
      </c>
    </row>
    <row r="115" spans="1:3" ht="13">
      <c r="A115" s="71">
        <v>2918</v>
      </c>
      <c r="B115" s="73" t="s">
        <v>757</v>
      </c>
      <c r="C115" s="72" t="s">
        <v>730</v>
      </c>
    </row>
    <row r="116" spans="1:3" ht="13">
      <c r="A116" s="71">
        <v>2924</v>
      </c>
      <c r="B116" s="73" t="s">
        <v>758</v>
      </c>
      <c r="C116" s="72" t="s">
        <v>730</v>
      </c>
    </row>
    <row r="117" spans="1:3" ht="13">
      <c r="A117" s="71">
        <v>2928</v>
      </c>
      <c r="B117" s="73" t="s">
        <v>759</v>
      </c>
      <c r="C117" s="72" t="s">
        <v>730</v>
      </c>
    </row>
    <row r="118" spans="1:3" ht="13">
      <c r="A118" s="71">
        <v>2938</v>
      </c>
      <c r="B118" s="73" t="s">
        <v>760</v>
      </c>
      <c r="C118" s="72" t="s">
        <v>730</v>
      </c>
    </row>
    <row r="119" spans="1:3" ht="13">
      <c r="A119" s="71">
        <v>2940</v>
      </c>
      <c r="B119" s="73" t="s">
        <v>761</v>
      </c>
      <c r="C119" s="72" t="s">
        <v>730</v>
      </c>
    </row>
    <row r="120" spans="1:3" ht="13">
      <c r="A120" s="71">
        <v>2957</v>
      </c>
      <c r="B120" s="72" t="s">
        <v>762</v>
      </c>
      <c r="C120" s="72" t="s">
        <v>730</v>
      </c>
    </row>
    <row r="121" spans="1:3" ht="13">
      <c r="A121" s="71">
        <v>2959</v>
      </c>
      <c r="B121" s="72" t="s">
        <v>763</v>
      </c>
      <c r="C121" s="72" t="s">
        <v>730</v>
      </c>
    </row>
    <row r="122" spans="1:3" ht="13">
      <c r="A122" s="71">
        <v>2963</v>
      </c>
      <c r="B122" s="72" t="s">
        <v>764</v>
      </c>
      <c r="C122" s="72" t="s">
        <v>730</v>
      </c>
    </row>
    <row r="123" spans="1:3" ht="13">
      <c r="A123" s="71">
        <v>2966</v>
      </c>
      <c r="B123" s="73" t="s">
        <v>765</v>
      </c>
      <c r="C123" s="72" t="s">
        <v>730</v>
      </c>
    </row>
    <row r="124" spans="1:3" ht="13">
      <c r="A124" s="71">
        <v>2968</v>
      </c>
      <c r="B124" s="73" t="s">
        <v>766</v>
      </c>
      <c r="C124" s="72" t="s">
        <v>730</v>
      </c>
    </row>
    <row r="125" spans="1:3" ht="13">
      <c r="A125" s="71">
        <v>2971</v>
      </c>
      <c r="B125" s="72" t="s">
        <v>767</v>
      </c>
      <c r="C125" s="72" t="s">
        <v>730</v>
      </c>
    </row>
    <row r="126" spans="1:3" ht="13">
      <c r="A126" s="71">
        <v>2975</v>
      </c>
      <c r="B126" s="72" t="s">
        <v>768</v>
      </c>
      <c r="C126" s="72" t="s">
        <v>730</v>
      </c>
    </row>
    <row r="127" spans="1:3" ht="13">
      <c r="A127" s="71">
        <v>2983</v>
      </c>
      <c r="B127" s="72" t="s">
        <v>772</v>
      </c>
      <c r="C127" s="72" t="s">
        <v>730</v>
      </c>
    </row>
    <row r="128" spans="1:3" ht="13">
      <c r="A128" s="71">
        <v>2984</v>
      </c>
      <c r="B128" s="73" t="s">
        <v>773</v>
      </c>
      <c r="C128" s="72" t="s">
        <v>730</v>
      </c>
    </row>
    <row r="129" spans="1:3" ht="13">
      <c r="A129" s="71">
        <v>2990</v>
      </c>
      <c r="B129" s="73" t="s">
        <v>774</v>
      </c>
      <c r="C129" s="72" t="s">
        <v>730</v>
      </c>
    </row>
    <row r="130" spans="1:3" ht="13">
      <c r="A130" s="71">
        <v>2992</v>
      </c>
      <c r="B130" s="73" t="s">
        <v>776</v>
      </c>
      <c r="C130" s="72" t="s">
        <v>730</v>
      </c>
    </row>
    <row r="131" spans="1:3" ht="13">
      <c r="A131" s="71">
        <v>2993</v>
      </c>
      <c r="B131" s="72" t="s">
        <v>777</v>
      </c>
      <c r="C131" s="72" t="s">
        <v>730</v>
      </c>
    </row>
    <row r="132" spans="1:3" ht="13">
      <c r="A132" s="71">
        <v>2994</v>
      </c>
      <c r="B132" s="73" t="s">
        <v>778</v>
      </c>
      <c r="C132" s="72" t="s">
        <v>730</v>
      </c>
    </row>
    <row r="133" spans="1:3" ht="13">
      <c r="A133" s="71">
        <v>3003</v>
      </c>
      <c r="B133" s="72" t="s">
        <v>779</v>
      </c>
      <c r="C133" s="72" t="s">
        <v>730</v>
      </c>
    </row>
    <row r="134" spans="1:3" ht="13">
      <c r="A134" s="71">
        <v>3036</v>
      </c>
      <c r="B134" s="73" t="s">
        <v>780</v>
      </c>
      <c r="C134" s="72" t="s">
        <v>730</v>
      </c>
    </row>
    <row r="135" spans="1:3" ht="13">
      <c r="A135" s="71">
        <v>3038</v>
      </c>
      <c r="B135" s="73" t="s">
        <v>781</v>
      </c>
      <c r="C135" s="72" t="s">
        <v>730</v>
      </c>
    </row>
    <row r="136" spans="1:3" ht="13">
      <c r="A136" s="71">
        <v>3039</v>
      </c>
      <c r="B136" s="72" t="s">
        <v>782</v>
      </c>
      <c r="C136" s="72" t="s">
        <v>730</v>
      </c>
    </row>
    <row r="137" spans="1:3" ht="13">
      <c r="A137" s="71">
        <v>3040</v>
      </c>
      <c r="B137" s="73" t="s">
        <v>784</v>
      </c>
      <c r="C137" s="72" t="s">
        <v>730</v>
      </c>
    </row>
    <row r="138" spans="1:3" ht="13">
      <c r="A138" s="71">
        <v>3041</v>
      </c>
      <c r="B138" s="72" t="s">
        <v>785</v>
      </c>
      <c r="C138" s="72" t="s">
        <v>730</v>
      </c>
    </row>
    <row r="139" spans="1:3" ht="13">
      <c r="A139" s="71">
        <v>3046</v>
      </c>
      <c r="B139" s="73" t="s">
        <v>702</v>
      </c>
      <c r="C139" s="72" t="s">
        <v>730</v>
      </c>
    </row>
    <row r="140" spans="1:3" ht="13">
      <c r="A140" s="71">
        <v>3047</v>
      </c>
      <c r="B140" s="72" t="s">
        <v>786</v>
      </c>
      <c r="C140" s="72" t="s">
        <v>730</v>
      </c>
    </row>
    <row r="141" spans="1:3" ht="13">
      <c r="A141" s="71">
        <v>3048</v>
      </c>
      <c r="B141" s="73" t="s">
        <v>787</v>
      </c>
      <c r="C141" s="72" t="s">
        <v>730</v>
      </c>
    </row>
    <row r="142" spans="1:3" ht="13">
      <c r="A142" s="71">
        <v>3049</v>
      </c>
      <c r="B142" s="72" t="s">
        <v>788</v>
      </c>
      <c r="C142" s="72" t="s">
        <v>730</v>
      </c>
    </row>
    <row r="143" spans="1:3" ht="13">
      <c r="A143" s="71">
        <v>3053</v>
      </c>
      <c r="B143" s="72" t="s">
        <v>789</v>
      </c>
      <c r="C143" s="72" t="s">
        <v>730</v>
      </c>
    </row>
    <row r="144" spans="1:3" ht="13">
      <c r="A144" s="71">
        <v>3058</v>
      </c>
      <c r="B144" s="73" t="s">
        <v>790</v>
      </c>
      <c r="C144" s="72" t="s">
        <v>730</v>
      </c>
    </row>
    <row r="145" spans="1:3" ht="13">
      <c r="A145" s="71">
        <v>3071</v>
      </c>
      <c r="B145" s="72" t="s">
        <v>791</v>
      </c>
      <c r="C145" s="72" t="s">
        <v>730</v>
      </c>
    </row>
    <row r="146" spans="1:3" ht="13">
      <c r="A146" s="71">
        <v>3123</v>
      </c>
      <c r="B146" s="72" t="s">
        <v>792</v>
      </c>
      <c r="C146" s="72" t="s">
        <v>730</v>
      </c>
    </row>
    <row r="147" spans="1:3" ht="13">
      <c r="A147" s="71">
        <v>3127</v>
      </c>
      <c r="B147" s="75">
        <v>180</v>
      </c>
      <c r="C147" s="72" t="s">
        <v>730</v>
      </c>
    </row>
    <row r="148" spans="1:3" ht="13">
      <c r="A148" s="71">
        <v>3128</v>
      </c>
      <c r="B148" s="77">
        <v>181</v>
      </c>
      <c r="C148" s="72" t="s">
        <v>730</v>
      </c>
    </row>
    <row r="149" spans="1:3" ht="13">
      <c r="A149" s="71">
        <v>3134</v>
      </c>
      <c r="B149" s="77">
        <v>187</v>
      </c>
      <c r="C149" s="72" t="s">
        <v>730</v>
      </c>
    </row>
    <row r="150" spans="1:3" ht="13">
      <c r="A150" s="71">
        <v>3135</v>
      </c>
      <c r="B150" s="75">
        <v>188</v>
      </c>
      <c r="C150" s="72" t="s">
        <v>730</v>
      </c>
    </row>
    <row r="151" spans="1:3" ht="13">
      <c r="A151" s="71">
        <v>3136</v>
      </c>
      <c r="B151" s="77">
        <v>189</v>
      </c>
      <c r="C151" s="72" t="s">
        <v>730</v>
      </c>
    </row>
    <row r="152" spans="1:3" ht="13">
      <c r="A152" s="71">
        <v>3151</v>
      </c>
      <c r="B152" s="75">
        <v>204</v>
      </c>
      <c r="C152" s="72" t="s">
        <v>730</v>
      </c>
    </row>
    <row r="153" spans="1:3" ht="13">
      <c r="A153" s="71">
        <v>3159</v>
      </c>
      <c r="B153" s="75">
        <v>212</v>
      </c>
      <c r="C153" s="72" t="s">
        <v>730</v>
      </c>
    </row>
    <row r="154" spans="1:3" ht="13">
      <c r="A154" s="71">
        <v>3196</v>
      </c>
      <c r="B154" s="77">
        <v>249</v>
      </c>
      <c r="C154" s="72" t="s">
        <v>730</v>
      </c>
    </row>
    <row r="155" spans="1:3" ht="13">
      <c r="A155" s="71">
        <v>3199</v>
      </c>
      <c r="B155" s="75">
        <v>252</v>
      </c>
      <c r="C155" s="72" t="s">
        <v>730</v>
      </c>
    </row>
    <row r="156" spans="1:3" ht="13">
      <c r="A156" s="71">
        <v>3207</v>
      </c>
      <c r="B156" s="75">
        <v>260</v>
      </c>
      <c r="C156" s="72" t="s">
        <v>730</v>
      </c>
    </row>
    <row r="157" spans="1:3" ht="13">
      <c r="A157" s="71">
        <v>3211</v>
      </c>
      <c r="B157" s="75">
        <v>264</v>
      </c>
      <c r="C157" s="72" t="s">
        <v>730</v>
      </c>
    </row>
    <row r="158" spans="1:3" ht="13">
      <c r="A158" s="71">
        <v>3217</v>
      </c>
      <c r="B158" s="75">
        <v>270</v>
      </c>
      <c r="C158" s="72" t="s">
        <v>730</v>
      </c>
    </row>
    <row r="159" spans="1:3" ht="13">
      <c r="A159" s="71">
        <v>3218</v>
      </c>
      <c r="B159" s="77">
        <v>271</v>
      </c>
      <c r="C159" s="72" t="s">
        <v>730</v>
      </c>
    </row>
    <row r="160" spans="1:3" ht="13">
      <c r="A160" s="71">
        <v>3221</v>
      </c>
      <c r="B160" s="75">
        <v>274</v>
      </c>
      <c r="C160" s="72" t="s">
        <v>730</v>
      </c>
    </row>
    <row r="161" spans="1:3" ht="13">
      <c r="A161" s="71">
        <v>3225</v>
      </c>
      <c r="B161" s="75">
        <v>278</v>
      </c>
      <c r="C161" s="72" t="s">
        <v>730</v>
      </c>
    </row>
    <row r="162" spans="1:3" ht="13">
      <c r="A162" s="71">
        <v>3226</v>
      </c>
      <c r="B162" s="77">
        <v>279</v>
      </c>
      <c r="C162" s="72" t="s">
        <v>730</v>
      </c>
    </row>
    <row r="163" spans="1:3" ht="13">
      <c r="A163" s="71">
        <v>3243</v>
      </c>
      <c r="B163" s="75">
        <v>296</v>
      </c>
      <c r="C163" s="72" t="s">
        <v>730</v>
      </c>
    </row>
    <row r="164" spans="1:3" ht="13">
      <c r="A164" s="71">
        <v>3264</v>
      </c>
      <c r="B164" s="77">
        <v>317</v>
      </c>
      <c r="C164" s="72" t="s">
        <v>730</v>
      </c>
    </row>
    <row r="165" spans="1:3" ht="13">
      <c r="A165" s="71">
        <v>3265</v>
      </c>
      <c r="B165" s="75">
        <v>318</v>
      </c>
      <c r="C165" s="72" t="s">
        <v>730</v>
      </c>
    </row>
    <row r="166" spans="1:3" ht="13">
      <c r="A166" s="71">
        <v>3277</v>
      </c>
      <c r="B166" s="75">
        <v>330</v>
      </c>
      <c r="C166" s="72" t="s">
        <v>730</v>
      </c>
    </row>
    <row r="167" spans="1:3" ht="13">
      <c r="A167" s="71">
        <v>3312</v>
      </c>
      <c r="B167" s="77">
        <v>365</v>
      </c>
      <c r="C167" s="72" t="s">
        <v>730</v>
      </c>
    </row>
    <row r="168" spans="1:3" ht="13">
      <c r="A168" s="71">
        <v>3367</v>
      </c>
      <c r="B168" s="75">
        <v>420</v>
      </c>
      <c r="C168" s="72" t="s">
        <v>730</v>
      </c>
    </row>
    <row r="169" spans="1:3" ht="13">
      <c r="A169" s="71">
        <v>4143</v>
      </c>
      <c r="B169" s="75">
        <v>354</v>
      </c>
      <c r="C169" s="72" t="s">
        <v>798</v>
      </c>
    </row>
    <row r="170" spans="1:3" ht="13">
      <c r="A170" s="71">
        <v>4152</v>
      </c>
      <c r="B170" s="77">
        <v>363</v>
      </c>
      <c r="C170" s="72" t="s">
        <v>798</v>
      </c>
    </row>
    <row r="171" spans="1:3" ht="13">
      <c r="A171" s="71">
        <v>4154</v>
      </c>
      <c r="B171" s="77">
        <v>365</v>
      </c>
      <c r="C171" s="72" t="s">
        <v>798</v>
      </c>
    </row>
    <row r="172" spans="1:3" ht="13">
      <c r="A172" s="71">
        <v>4155</v>
      </c>
      <c r="B172" s="75">
        <v>366</v>
      </c>
      <c r="C172" s="72" t="s">
        <v>798</v>
      </c>
    </row>
    <row r="173" spans="1:3" ht="13">
      <c r="A173" s="71">
        <v>4159</v>
      </c>
      <c r="B173" s="75">
        <v>370</v>
      </c>
      <c r="C173" s="72" t="s">
        <v>798</v>
      </c>
    </row>
    <row r="174" spans="1:3" ht="13">
      <c r="A174" s="71">
        <v>4163</v>
      </c>
      <c r="B174" s="75">
        <v>374</v>
      </c>
      <c r="C174" s="72" t="s">
        <v>798</v>
      </c>
    </row>
    <row r="175" spans="1:3" ht="13">
      <c r="A175" s="71">
        <v>4170</v>
      </c>
      <c r="B175" s="77">
        <v>381</v>
      </c>
      <c r="C175" s="72" t="s">
        <v>798</v>
      </c>
    </row>
    <row r="176" spans="1:3" ht="13">
      <c r="A176" s="71">
        <v>4171</v>
      </c>
      <c r="B176" s="75">
        <v>382</v>
      </c>
      <c r="C176" s="72" t="s">
        <v>798</v>
      </c>
    </row>
    <row r="177" spans="1:3" ht="13">
      <c r="A177" s="71">
        <v>4173</v>
      </c>
      <c r="B177" s="75">
        <v>384</v>
      </c>
      <c r="C177" s="72" t="s">
        <v>798</v>
      </c>
    </row>
    <row r="178" spans="1:3" ht="13">
      <c r="A178" s="71">
        <v>4178</v>
      </c>
      <c r="B178" s="77">
        <v>389</v>
      </c>
      <c r="C178" s="72" t="s">
        <v>798</v>
      </c>
    </row>
    <row r="179" spans="1:3" ht="13">
      <c r="A179" s="71">
        <v>4188</v>
      </c>
      <c r="B179" s="77">
        <v>399</v>
      </c>
      <c r="C179" s="72" t="s">
        <v>798</v>
      </c>
    </row>
    <row r="180" spans="1:3" ht="13">
      <c r="A180" s="71">
        <v>4190</v>
      </c>
      <c r="B180" s="77">
        <v>401</v>
      </c>
      <c r="C180" s="72" t="s">
        <v>798</v>
      </c>
    </row>
    <row r="181" spans="1:3" ht="13">
      <c r="A181" s="71">
        <v>4192</v>
      </c>
      <c r="B181" s="77">
        <v>403</v>
      </c>
      <c r="C181" s="72" t="s">
        <v>798</v>
      </c>
    </row>
    <row r="182" spans="1:3" ht="13">
      <c r="A182" s="71">
        <v>4194</v>
      </c>
      <c r="B182" s="77">
        <v>405</v>
      </c>
      <c r="C182" s="72" t="s">
        <v>798</v>
      </c>
    </row>
    <row r="183" spans="1:3" ht="13">
      <c r="A183" s="71">
        <v>4196</v>
      </c>
      <c r="B183" s="77">
        <v>407</v>
      </c>
      <c r="C183" s="72" t="s">
        <v>798</v>
      </c>
    </row>
    <row r="184" spans="1:3" ht="13">
      <c r="A184" s="71">
        <v>4198</v>
      </c>
      <c r="B184" s="77">
        <v>409</v>
      </c>
      <c r="C184" s="72" t="s">
        <v>798</v>
      </c>
    </row>
    <row r="185" spans="1:3" ht="13">
      <c r="A185" s="71">
        <v>4200</v>
      </c>
      <c r="B185" s="77">
        <v>411</v>
      </c>
      <c r="C185" s="72" t="s">
        <v>798</v>
      </c>
    </row>
    <row r="186" spans="1:3" ht="13">
      <c r="A186" s="71">
        <v>4203</v>
      </c>
      <c r="B186" s="75">
        <v>414</v>
      </c>
      <c r="C186" s="72" t="s">
        <v>798</v>
      </c>
    </row>
    <row r="187" spans="1:3" ht="13">
      <c r="A187" s="71">
        <v>4205</v>
      </c>
      <c r="B187" s="75">
        <v>416</v>
      </c>
      <c r="C187" s="72" t="s">
        <v>798</v>
      </c>
    </row>
    <row r="188" spans="1:3" ht="13">
      <c r="A188" s="71">
        <v>4207</v>
      </c>
      <c r="B188" s="75">
        <v>418</v>
      </c>
      <c r="C188" s="72" t="s">
        <v>798</v>
      </c>
    </row>
    <row r="189" spans="1:3" ht="13">
      <c r="A189" s="71">
        <v>4213</v>
      </c>
      <c r="B189" s="72">
        <v>3</v>
      </c>
      <c r="C189" s="72" t="s">
        <v>803</v>
      </c>
    </row>
    <row r="190" spans="1:3" ht="13">
      <c r="A190" s="71">
        <v>4214</v>
      </c>
      <c r="B190" s="73">
        <v>4</v>
      </c>
      <c r="C190" s="72" t="s">
        <v>803</v>
      </c>
    </row>
    <row r="191" spans="1:3" ht="13">
      <c r="A191" s="71">
        <v>4224</v>
      </c>
      <c r="B191" s="73">
        <v>14</v>
      </c>
      <c r="C191" s="72" t="s">
        <v>803</v>
      </c>
    </row>
    <row r="192" spans="1:3" ht="13">
      <c r="A192" s="71">
        <v>4225</v>
      </c>
      <c r="B192" s="72">
        <v>15</v>
      </c>
      <c r="C192" s="72" t="s">
        <v>803</v>
      </c>
    </row>
    <row r="193" spans="1:3" ht="13">
      <c r="A193" s="71">
        <v>4233</v>
      </c>
      <c r="B193" s="72">
        <v>23</v>
      </c>
      <c r="C193" s="72" t="s">
        <v>803</v>
      </c>
    </row>
    <row r="194" spans="1:3" ht="13">
      <c r="A194" s="71">
        <v>4236</v>
      </c>
      <c r="B194" s="73">
        <v>26</v>
      </c>
      <c r="C194" s="72" t="s">
        <v>803</v>
      </c>
    </row>
    <row r="195" spans="1:3" ht="13">
      <c r="A195" s="71">
        <v>4240</v>
      </c>
      <c r="B195" s="73">
        <v>30</v>
      </c>
      <c r="C195" s="72" t="s">
        <v>803</v>
      </c>
    </row>
    <row r="196" spans="1:3" ht="13">
      <c r="A196" s="71">
        <v>4251</v>
      </c>
      <c r="B196" s="72">
        <v>41</v>
      </c>
      <c r="C196" s="72" t="s">
        <v>803</v>
      </c>
    </row>
    <row r="197" spans="1:3" ht="13">
      <c r="A197" s="71">
        <v>4278</v>
      </c>
      <c r="B197" s="73">
        <v>68</v>
      </c>
      <c r="C197" s="72" t="s">
        <v>803</v>
      </c>
    </row>
    <row r="198" spans="1:3" ht="13">
      <c r="A198" s="71">
        <v>4280</v>
      </c>
      <c r="B198" s="73">
        <v>70</v>
      </c>
      <c r="C198" s="72" t="s">
        <v>803</v>
      </c>
    </row>
    <row r="199" spans="1:3" ht="13">
      <c r="A199" s="71">
        <v>4281</v>
      </c>
      <c r="B199" s="72">
        <v>71</v>
      </c>
      <c r="C199" s="72" t="s">
        <v>803</v>
      </c>
    </row>
    <row r="200" spans="1:3" ht="13">
      <c r="A200" s="71">
        <v>4283</v>
      </c>
      <c r="B200" s="72">
        <v>73</v>
      </c>
      <c r="C200" s="72" t="s">
        <v>803</v>
      </c>
    </row>
    <row r="201" spans="1:3" ht="13">
      <c r="A201" s="71">
        <v>4300</v>
      </c>
      <c r="B201" s="73">
        <v>90</v>
      </c>
      <c r="C201" s="72" t="s">
        <v>803</v>
      </c>
    </row>
    <row r="202" spans="1:3" ht="13">
      <c r="A202" s="71">
        <v>4334</v>
      </c>
      <c r="B202" s="73">
        <v>124</v>
      </c>
      <c r="C202" s="72" t="s">
        <v>803</v>
      </c>
    </row>
    <row r="203" spans="1:3" ht="13">
      <c r="A203" s="71">
        <v>4356</v>
      </c>
      <c r="B203" s="77">
        <v>146</v>
      </c>
      <c r="C203" s="72" t="s">
        <v>803</v>
      </c>
    </row>
    <row r="204" spans="1:3" ht="13">
      <c r="A204" s="71">
        <v>4358</v>
      </c>
      <c r="B204" s="77">
        <v>148</v>
      </c>
      <c r="C204" s="72" t="s">
        <v>803</v>
      </c>
    </row>
    <row r="205" spans="1:3" ht="13">
      <c r="A205" s="71">
        <v>4371</v>
      </c>
      <c r="B205" s="75">
        <v>161</v>
      </c>
      <c r="C205" s="72" t="s">
        <v>803</v>
      </c>
    </row>
    <row r="206" spans="1:3" ht="13">
      <c r="A206" s="71">
        <v>4385</v>
      </c>
      <c r="B206" s="75">
        <v>175</v>
      </c>
      <c r="C206" s="72" t="s">
        <v>803</v>
      </c>
    </row>
    <row r="207" spans="1:3" ht="13">
      <c r="A207" s="71">
        <v>4386</v>
      </c>
      <c r="B207" s="77">
        <v>176</v>
      </c>
      <c r="C207" s="72" t="s">
        <v>803</v>
      </c>
    </row>
    <row r="208" spans="1:3" ht="13">
      <c r="A208" s="71">
        <v>4391</v>
      </c>
      <c r="B208" s="72" t="s">
        <v>721</v>
      </c>
      <c r="C208" s="72" t="s">
        <v>803</v>
      </c>
    </row>
    <row r="209" spans="1:3" ht="13">
      <c r="A209" s="71">
        <v>4628</v>
      </c>
      <c r="B209" s="73" t="s">
        <v>807</v>
      </c>
      <c r="C209" s="72" t="s">
        <v>803</v>
      </c>
    </row>
    <row r="210" spans="1:3" ht="13">
      <c r="A210" s="71">
        <v>4629</v>
      </c>
      <c r="B210" s="72" t="s">
        <v>808</v>
      </c>
      <c r="C210" s="72" t="s">
        <v>803</v>
      </c>
    </row>
    <row r="211" spans="1:3" ht="13">
      <c r="A211" s="71">
        <v>4630</v>
      </c>
      <c r="B211" s="73" t="s">
        <v>809</v>
      </c>
      <c r="C211" s="72" t="s">
        <v>803</v>
      </c>
    </row>
    <row r="212" spans="1:3" ht="13">
      <c r="A212" s="71">
        <v>4631</v>
      </c>
      <c r="B212" s="72" t="s">
        <v>811</v>
      </c>
      <c r="C212" s="72" t="s">
        <v>803</v>
      </c>
    </row>
    <row r="213" spans="1:3" ht="13">
      <c r="A213" s="71">
        <v>4632</v>
      </c>
      <c r="B213" s="73" t="s">
        <v>812</v>
      </c>
      <c r="C213" s="72" t="s">
        <v>803</v>
      </c>
    </row>
    <row r="214" spans="1:3" ht="13">
      <c r="A214" s="71">
        <v>4661</v>
      </c>
      <c r="B214" s="72" t="s">
        <v>813</v>
      </c>
      <c r="C214" s="72" t="s">
        <v>803</v>
      </c>
    </row>
    <row r="215" spans="1:3" ht="13">
      <c r="A215" s="71">
        <v>4678</v>
      </c>
      <c r="B215" s="73" t="s">
        <v>778</v>
      </c>
      <c r="C215" s="72" t="s">
        <v>803</v>
      </c>
    </row>
    <row r="216" spans="1:3" ht="13">
      <c r="A216" s="71">
        <v>4680</v>
      </c>
      <c r="B216" s="73" t="s">
        <v>814</v>
      </c>
      <c r="C216" s="72" t="s">
        <v>803</v>
      </c>
    </row>
    <row r="217" spans="1:3" ht="13">
      <c r="A217" s="71">
        <v>4728</v>
      </c>
      <c r="B217" s="73" t="s">
        <v>815</v>
      </c>
      <c r="C217" s="72" t="s">
        <v>803</v>
      </c>
    </row>
    <row r="218" spans="1:3" ht="13">
      <c r="A218" s="71">
        <v>4729</v>
      </c>
      <c r="B218" s="72" t="s">
        <v>816</v>
      </c>
      <c r="C218" s="72" t="s">
        <v>803</v>
      </c>
    </row>
    <row r="219" spans="1:3" ht="13">
      <c r="A219" s="71">
        <v>4730</v>
      </c>
      <c r="B219" s="73" t="s">
        <v>702</v>
      </c>
      <c r="C219" s="72" t="s">
        <v>803</v>
      </c>
    </row>
    <row r="220" spans="1:3" ht="13">
      <c r="A220" s="71">
        <v>4732</v>
      </c>
      <c r="B220" s="73" t="s">
        <v>787</v>
      </c>
      <c r="C220" s="72" t="s">
        <v>803</v>
      </c>
    </row>
    <row r="221" spans="1:3" ht="13">
      <c r="A221" s="71">
        <v>4741</v>
      </c>
      <c r="B221" s="72" t="s">
        <v>819</v>
      </c>
      <c r="C221" s="72" t="s">
        <v>803</v>
      </c>
    </row>
    <row r="222" spans="1:3" ht="13">
      <c r="A222" s="71">
        <v>4818</v>
      </c>
      <c r="B222" s="77">
        <v>187</v>
      </c>
      <c r="C222" s="72" t="s">
        <v>803</v>
      </c>
    </row>
    <row r="223" spans="1:3" ht="13">
      <c r="A223" s="71">
        <v>4819</v>
      </c>
      <c r="B223" s="75">
        <v>188</v>
      </c>
      <c r="C223" s="72" t="s">
        <v>803</v>
      </c>
    </row>
    <row r="224" spans="1:3" ht="13">
      <c r="A224" s="71">
        <v>4820</v>
      </c>
      <c r="B224" s="77">
        <v>189</v>
      </c>
      <c r="C224" s="72" t="s">
        <v>803</v>
      </c>
    </row>
    <row r="225" spans="1:3" ht="13">
      <c r="A225" s="71">
        <v>4821</v>
      </c>
      <c r="B225" s="75">
        <v>190</v>
      </c>
      <c r="C225" s="72" t="s">
        <v>803</v>
      </c>
    </row>
    <row r="226" spans="1:3" ht="13">
      <c r="A226" s="71">
        <v>4828</v>
      </c>
      <c r="B226" s="77">
        <v>197</v>
      </c>
      <c r="C226" s="72" t="s">
        <v>803</v>
      </c>
    </row>
    <row r="227" spans="1:3" ht="13">
      <c r="A227" s="71">
        <v>4829</v>
      </c>
      <c r="B227" s="75">
        <v>198</v>
      </c>
      <c r="C227" s="72" t="s">
        <v>803</v>
      </c>
    </row>
    <row r="228" spans="1:3" ht="13">
      <c r="A228" s="71">
        <v>4830</v>
      </c>
      <c r="B228" s="77">
        <v>199</v>
      </c>
      <c r="C228" s="72" t="s">
        <v>803</v>
      </c>
    </row>
    <row r="229" spans="1:3" ht="13">
      <c r="A229" s="71">
        <v>4831</v>
      </c>
      <c r="B229" s="75">
        <v>200</v>
      </c>
      <c r="C229" s="72" t="s">
        <v>803</v>
      </c>
    </row>
    <row r="230" spans="1:3" ht="13">
      <c r="A230" s="71">
        <v>4832</v>
      </c>
      <c r="B230" s="77">
        <v>201</v>
      </c>
      <c r="C230" s="72" t="s">
        <v>803</v>
      </c>
    </row>
    <row r="231" spans="1:3" ht="13">
      <c r="A231" s="71">
        <v>4833</v>
      </c>
      <c r="B231" s="75">
        <v>202</v>
      </c>
      <c r="C231" s="72" t="s">
        <v>803</v>
      </c>
    </row>
    <row r="232" spans="1:3" ht="13">
      <c r="A232" s="71">
        <v>4834</v>
      </c>
      <c r="B232" s="77">
        <v>203</v>
      </c>
      <c r="C232" s="72" t="s">
        <v>803</v>
      </c>
    </row>
    <row r="233" spans="1:3" ht="13">
      <c r="A233" s="71">
        <v>4835</v>
      </c>
      <c r="B233" s="75">
        <v>204</v>
      </c>
      <c r="C233" s="72" t="s">
        <v>803</v>
      </c>
    </row>
    <row r="234" spans="1:3" ht="13">
      <c r="A234" s="71">
        <v>4836</v>
      </c>
      <c r="B234" s="77">
        <v>205</v>
      </c>
      <c r="C234" s="72" t="s">
        <v>803</v>
      </c>
    </row>
    <row r="235" spans="1:3" ht="13">
      <c r="A235" s="71">
        <v>4839</v>
      </c>
      <c r="B235" s="75">
        <v>208</v>
      </c>
      <c r="C235" s="72" t="s">
        <v>803</v>
      </c>
    </row>
    <row r="236" spans="1:3" ht="13">
      <c r="A236" s="71">
        <v>4842</v>
      </c>
      <c r="B236" s="77">
        <v>211</v>
      </c>
      <c r="C236" s="72" t="s">
        <v>803</v>
      </c>
    </row>
    <row r="237" spans="1:3" ht="13">
      <c r="A237" s="71">
        <v>4843</v>
      </c>
      <c r="B237" s="75">
        <v>212</v>
      </c>
      <c r="C237" s="72" t="s">
        <v>803</v>
      </c>
    </row>
    <row r="238" spans="1:3" ht="13">
      <c r="A238" s="71">
        <v>4845</v>
      </c>
      <c r="B238" s="75">
        <v>214</v>
      </c>
      <c r="C238" s="72" t="s">
        <v>803</v>
      </c>
    </row>
    <row r="239" spans="1:3" ht="13">
      <c r="A239" s="71">
        <v>4880</v>
      </c>
      <c r="B239" s="77">
        <v>249</v>
      </c>
      <c r="C239" s="72" t="s">
        <v>803</v>
      </c>
    </row>
    <row r="240" spans="1:3" ht="13">
      <c r="A240" s="71">
        <v>4883</v>
      </c>
      <c r="B240" s="75">
        <v>252</v>
      </c>
      <c r="C240" s="72" t="s">
        <v>803</v>
      </c>
    </row>
    <row r="241" spans="1:3" ht="13">
      <c r="A241" s="71">
        <v>4884</v>
      </c>
      <c r="B241" s="77">
        <v>253</v>
      </c>
      <c r="C241" s="72" t="s">
        <v>803</v>
      </c>
    </row>
    <row r="242" spans="1:3" ht="13">
      <c r="A242" s="71">
        <v>4885</v>
      </c>
      <c r="B242" s="75">
        <v>254</v>
      </c>
      <c r="C242" s="72" t="s">
        <v>803</v>
      </c>
    </row>
    <row r="243" spans="1:3" ht="13">
      <c r="A243" s="71">
        <v>4891</v>
      </c>
      <c r="B243" s="75">
        <v>260</v>
      </c>
      <c r="C243" s="72" t="s">
        <v>803</v>
      </c>
    </row>
    <row r="244" spans="1:3" ht="13">
      <c r="A244" s="71">
        <v>4893</v>
      </c>
      <c r="B244" s="75">
        <v>262</v>
      </c>
      <c r="C244" s="72" t="s">
        <v>803</v>
      </c>
    </row>
    <row r="245" spans="1:3" ht="13">
      <c r="A245" s="71">
        <v>4894</v>
      </c>
      <c r="B245" s="77">
        <v>263</v>
      </c>
      <c r="C245" s="72" t="s">
        <v>803</v>
      </c>
    </row>
    <row r="246" spans="1:3" ht="13">
      <c r="A246" s="71">
        <v>4896</v>
      </c>
      <c r="B246" s="77">
        <v>265</v>
      </c>
      <c r="C246" s="72" t="s">
        <v>803</v>
      </c>
    </row>
    <row r="247" spans="1:3" ht="13">
      <c r="A247" s="71">
        <v>4901</v>
      </c>
      <c r="B247" s="75">
        <v>270</v>
      </c>
      <c r="C247" s="72" t="s">
        <v>803</v>
      </c>
    </row>
    <row r="248" spans="1:3" ht="13">
      <c r="A248" s="71">
        <v>4903</v>
      </c>
      <c r="B248" s="75">
        <v>272</v>
      </c>
      <c r="C248" s="72" t="s">
        <v>803</v>
      </c>
    </row>
    <row r="249" spans="1:3" ht="13">
      <c r="A249" s="71">
        <v>4910</v>
      </c>
      <c r="B249" s="77">
        <v>279</v>
      </c>
      <c r="C249" s="72" t="s">
        <v>803</v>
      </c>
    </row>
    <row r="250" spans="1:3" ht="13">
      <c r="A250" s="71">
        <v>4911</v>
      </c>
      <c r="B250" s="75">
        <v>280</v>
      </c>
      <c r="C250" s="72" t="s">
        <v>803</v>
      </c>
    </row>
    <row r="251" spans="1:3" ht="13">
      <c r="A251" s="71">
        <v>4912</v>
      </c>
      <c r="B251" s="77">
        <v>281</v>
      </c>
      <c r="C251" s="72" t="s">
        <v>803</v>
      </c>
    </row>
    <row r="252" spans="1:3" ht="13">
      <c r="A252" s="71">
        <v>4926</v>
      </c>
      <c r="B252" s="77">
        <v>295</v>
      </c>
      <c r="C252" s="72" t="s">
        <v>803</v>
      </c>
    </row>
    <row r="253" spans="1:3" ht="13">
      <c r="A253" s="71">
        <v>4928</v>
      </c>
      <c r="B253" s="77">
        <v>297</v>
      </c>
      <c r="C253" s="72" t="s">
        <v>803</v>
      </c>
    </row>
    <row r="254" spans="1:3" ht="13">
      <c r="A254" s="71">
        <v>4929</v>
      </c>
      <c r="B254" s="75">
        <v>298</v>
      </c>
      <c r="C254" s="72" t="s">
        <v>803</v>
      </c>
    </row>
    <row r="255" spans="1:3" ht="13">
      <c r="A255" s="71">
        <v>4931</v>
      </c>
      <c r="B255" s="75">
        <v>300</v>
      </c>
      <c r="C255" s="72" t="s">
        <v>803</v>
      </c>
    </row>
    <row r="256" spans="1:3" ht="13">
      <c r="A256" s="71">
        <v>4942</v>
      </c>
      <c r="B256" s="77">
        <v>311</v>
      </c>
      <c r="C256" s="72" t="s">
        <v>803</v>
      </c>
    </row>
    <row r="257" spans="1:3" ht="13">
      <c r="A257" s="71">
        <v>4943</v>
      </c>
      <c r="B257" s="75">
        <v>312</v>
      </c>
      <c r="C257" s="72" t="s">
        <v>803</v>
      </c>
    </row>
    <row r="258" spans="1:3" ht="13">
      <c r="A258" s="71">
        <v>4944</v>
      </c>
      <c r="B258" s="77">
        <v>313</v>
      </c>
      <c r="C258" s="72" t="s">
        <v>803</v>
      </c>
    </row>
    <row r="259" spans="1:3" ht="13">
      <c r="A259" s="71">
        <v>4945</v>
      </c>
      <c r="B259" s="75">
        <v>314</v>
      </c>
      <c r="C259" s="72" t="s">
        <v>803</v>
      </c>
    </row>
    <row r="260" spans="1:3" ht="13">
      <c r="A260" s="71">
        <v>4948</v>
      </c>
      <c r="B260" s="77">
        <v>317</v>
      </c>
      <c r="C260" s="72" t="s">
        <v>803</v>
      </c>
    </row>
    <row r="261" spans="1:3" ht="13">
      <c r="A261" s="71">
        <v>4949</v>
      </c>
      <c r="B261" s="75">
        <v>318</v>
      </c>
      <c r="C261" s="72" t="s">
        <v>803</v>
      </c>
    </row>
    <row r="262" spans="1:3" ht="13">
      <c r="A262" s="71">
        <v>4950</v>
      </c>
      <c r="B262" s="77">
        <v>319</v>
      </c>
      <c r="C262" s="72" t="s">
        <v>803</v>
      </c>
    </row>
    <row r="263" spans="1:3" ht="13">
      <c r="A263" s="71">
        <v>4951</v>
      </c>
      <c r="B263" s="75">
        <v>320</v>
      </c>
      <c r="C263" s="72" t="s">
        <v>803</v>
      </c>
    </row>
    <row r="264" spans="1:3" ht="13">
      <c r="A264" s="71">
        <v>4952</v>
      </c>
      <c r="B264" s="77">
        <v>321</v>
      </c>
      <c r="C264" s="72" t="s">
        <v>803</v>
      </c>
    </row>
    <row r="265" spans="1:3" ht="13">
      <c r="A265" s="71">
        <v>4953</v>
      </c>
      <c r="B265" s="75">
        <v>322</v>
      </c>
      <c r="C265" s="72" t="s">
        <v>803</v>
      </c>
    </row>
    <row r="266" spans="1:3" ht="13">
      <c r="A266" s="71">
        <v>4954</v>
      </c>
      <c r="B266" s="77">
        <v>323</v>
      </c>
      <c r="C266" s="72" t="s">
        <v>803</v>
      </c>
    </row>
    <row r="267" spans="1:3" ht="13">
      <c r="A267" s="71">
        <v>4958</v>
      </c>
      <c r="B267" s="77">
        <v>327</v>
      </c>
      <c r="C267" s="72" t="s">
        <v>803</v>
      </c>
    </row>
    <row r="268" spans="1:3" ht="13">
      <c r="A268" s="71">
        <v>4960</v>
      </c>
      <c r="B268" s="77">
        <v>329</v>
      </c>
      <c r="C268" s="72" t="s">
        <v>803</v>
      </c>
    </row>
    <row r="269" spans="1:3" ht="13">
      <c r="A269" s="71">
        <v>4961</v>
      </c>
      <c r="B269" s="75">
        <v>330</v>
      </c>
      <c r="C269" s="72" t="s">
        <v>803</v>
      </c>
    </row>
    <row r="270" spans="1:3" ht="13">
      <c r="A270" s="71">
        <v>4962</v>
      </c>
      <c r="B270" s="77">
        <v>331</v>
      </c>
      <c r="C270" s="72" t="s">
        <v>803</v>
      </c>
    </row>
    <row r="271" spans="1:3" ht="13">
      <c r="A271" s="71">
        <v>4963</v>
      </c>
      <c r="B271" s="75">
        <v>332</v>
      </c>
      <c r="C271" s="72" t="s">
        <v>803</v>
      </c>
    </row>
    <row r="272" spans="1:3" ht="13">
      <c r="A272" s="71">
        <v>4964</v>
      </c>
      <c r="B272" s="77">
        <v>333</v>
      </c>
      <c r="C272" s="72" t="s">
        <v>803</v>
      </c>
    </row>
    <row r="273" spans="1:3" ht="13">
      <c r="A273" s="71">
        <v>4972</v>
      </c>
      <c r="B273" s="77">
        <v>341</v>
      </c>
      <c r="C273" s="72" t="s">
        <v>803</v>
      </c>
    </row>
    <row r="274" spans="1:3" ht="13">
      <c r="A274" s="71">
        <v>4973</v>
      </c>
      <c r="B274" s="75">
        <v>342</v>
      </c>
      <c r="C274" s="72" t="s">
        <v>803</v>
      </c>
    </row>
    <row r="275" spans="1:3" ht="13">
      <c r="A275" s="71">
        <v>4974</v>
      </c>
      <c r="B275" s="77">
        <v>343</v>
      </c>
      <c r="C275" s="72" t="s">
        <v>803</v>
      </c>
    </row>
    <row r="276" spans="1:3" ht="13">
      <c r="A276" s="71">
        <v>4978</v>
      </c>
      <c r="B276" s="77">
        <v>347</v>
      </c>
      <c r="C276" s="72" t="s">
        <v>803</v>
      </c>
    </row>
    <row r="277" spans="1:3" ht="13">
      <c r="A277" s="71">
        <v>4980</v>
      </c>
      <c r="B277" s="77">
        <v>349</v>
      </c>
      <c r="C277" s="72" t="s">
        <v>803</v>
      </c>
    </row>
    <row r="278" spans="1:3" ht="13">
      <c r="A278" s="71">
        <v>4982</v>
      </c>
      <c r="B278" s="77">
        <v>351</v>
      </c>
      <c r="C278" s="72" t="s">
        <v>803</v>
      </c>
    </row>
    <row r="279" spans="1:3" ht="13">
      <c r="A279" s="71">
        <v>4983</v>
      </c>
      <c r="B279" s="75">
        <v>352</v>
      </c>
      <c r="C279" s="72" t="s">
        <v>803</v>
      </c>
    </row>
    <row r="280" spans="1:3" ht="13">
      <c r="A280" s="71">
        <v>4985</v>
      </c>
      <c r="B280" s="75">
        <v>354</v>
      </c>
      <c r="C280" s="72" t="s">
        <v>803</v>
      </c>
    </row>
    <row r="281" spans="1:3" ht="13">
      <c r="A281" s="71">
        <v>4988</v>
      </c>
      <c r="B281" s="77">
        <v>357</v>
      </c>
      <c r="C281" s="72" t="s">
        <v>803</v>
      </c>
    </row>
    <row r="282" spans="1:3" ht="13">
      <c r="A282" s="71">
        <v>4990</v>
      </c>
      <c r="B282" s="77">
        <v>359</v>
      </c>
      <c r="C282" s="72" t="s">
        <v>803</v>
      </c>
    </row>
    <row r="283" spans="1:3" ht="13">
      <c r="A283" s="71">
        <v>4991</v>
      </c>
      <c r="B283" s="75">
        <v>360</v>
      </c>
      <c r="C283" s="72" t="s">
        <v>803</v>
      </c>
    </row>
    <row r="284" spans="1:3" ht="13">
      <c r="A284" s="71">
        <v>4992</v>
      </c>
      <c r="B284" s="77">
        <v>361</v>
      </c>
      <c r="C284" s="72" t="s">
        <v>803</v>
      </c>
    </row>
    <row r="285" spans="1:3" ht="13">
      <c r="A285" s="71">
        <v>4993</v>
      </c>
      <c r="B285" s="75">
        <v>362</v>
      </c>
      <c r="C285" s="72" t="s">
        <v>803</v>
      </c>
    </row>
    <row r="286" spans="1:3" ht="13">
      <c r="A286" s="71">
        <v>4994</v>
      </c>
      <c r="B286" s="77">
        <v>363</v>
      </c>
      <c r="C286" s="72" t="s">
        <v>803</v>
      </c>
    </row>
    <row r="287" spans="1:3" ht="13">
      <c r="A287" s="71">
        <v>4997</v>
      </c>
      <c r="B287" s="75">
        <v>366</v>
      </c>
      <c r="C287" s="72" t="s">
        <v>803</v>
      </c>
    </row>
    <row r="288" spans="1:3" ht="13">
      <c r="A288" s="71">
        <v>4998</v>
      </c>
      <c r="B288" s="77">
        <v>367</v>
      </c>
      <c r="C288" s="72" t="s">
        <v>803</v>
      </c>
    </row>
    <row r="289" spans="1:3" ht="13">
      <c r="A289" s="71">
        <v>4999</v>
      </c>
      <c r="B289" s="75">
        <v>368</v>
      </c>
      <c r="C289" s="72" t="s">
        <v>803</v>
      </c>
    </row>
    <row r="290" spans="1:3" ht="13">
      <c r="A290" s="71">
        <v>5000</v>
      </c>
      <c r="B290" s="77">
        <v>369</v>
      </c>
      <c r="C290" s="72" t="s">
        <v>803</v>
      </c>
    </row>
    <row r="291" spans="1:3" ht="13">
      <c r="A291" s="71">
        <v>5005</v>
      </c>
      <c r="B291" s="75">
        <v>374</v>
      </c>
      <c r="C291" s="72" t="s">
        <v>803</v>
      </c>
    </row>
    <row r="292" spans="1:3" ht="13">
      <c r="A292" s="71">
        <v>5006</v>
      </c>
      <c r="B292" s="77">
        <v>375</v>
      </c>
      <c r="C292" s="72" t="s">
        <v>803</v>
      </c>
    </row>
    <row r="293" spans="1:3" ht="13">
      <c r="A293" s="71">
        <v>5007</v>
      </c>
      <c r="B293" s="75">
        <v>376</v>
      </c>
      <c r="C293" s="72" t="s">
        <v>803</v>
      </c>
    </row>
    <row r="294" spans="1:3" ht="13">
      <c r="A294" s="71">
        <v>5008</v>
      </c>
      <c r="B294" s="77">
        <v>377</v>
      </c>
      <c r="C294" s="72" t="s">
        <v>803</v>
      </c>
    </row>
    <row r="295" spans="1:3" ht="13">
      <c r="A295" s="71">
        <v>5012</v>
      </c>
      <c r="B295" s="77">
        <v>381</v>
      </c>
      <c r="C295" s="72" t="s">
        <v>803</v>
      </c>
    </row>
    <row r="296" spans="1:3" ht="13">
      <c r="A296" s="71">
        <v>5016</v>
      </c>
      <c r="B296" s="77">
        <v>385</v>
      </c>
      <c r="C296" s="72" t="s">
        <v>803</v>
      </c>
    </row>
    <row r="297" spans="1:3" ht="13">
      <c r="A297" s="71">
        <v>5022</v>
      </c>
      <c r="B297" s="77">
        <v>391</v>
      </c>
      <c r="C297" s="72" t="s">
        <v>803</v>
      </c>
    </row>
    <row r="298" spans="1:3" ht="13">
      <c r="A298" s="71">
        <v>5025</v>
      </c>
      <c r="B298" s="75">
        <v>394</v>
      </c>
      <c r="C298" s="72" t="s">
        <v>803</v>
      </c>
    </row>
    <row r="299" spans="1:3" ht="13">
      <c r="A299" s="71">
        <v>5026</v>
      </c>
      <c r="B299" s="77">
        <v>395</v>
      </c>
      <c r="C299" s="72" t="s">
        <v>803</v>
      </c>
    </row>
    <row r="300" spans="1:3" ht="13">
      <c r="A300" s="71">
        <v>5027</v>
      </c>
      <c r="B300" s="75">
        <v>396</v>
      </c>
      <c r="C300" s="72" t="s">
        <v>803</v>
      </c>
    </row>
    <row r="301" spans="1:3" ht="13">
      <c r="A301" s="71">
        <v>5028</v>
      </c>
      <c r="B301" s="77">
        <v>397</v>
      </c>
      <c r="C301" s="72" t="s">
        <v>803</v>
      </c>
    </row>
    <row r="302" spans="1:3" ht="13">
      <c r="A302" s="71">
        <v>5029</v>
      </c>
      <c r="B302" s="75">
        <v>398</v>
      </c>
      <c r="C302" s="72" t="s">
        <v>803</v>
      </c>
    </row>
    <row r="303" spans="1:3" ht="13">
      <c r="A303" s="71">
        <v>5030</v>
      </c>
      <c r="B303" s="77">
        <v>399</v>
      </c>
      <c r="C303" s="72" t="s">
        <v>803</v>
      </c>
    </row>
    <row r="304" spans="1:3" ht="13">
      <c r="A304" s="71">
        <v>5031</v>
      </c>
      <c r="B304" s="75">
        <v>400</v>
      </c>
      <c r="C304" s="72" t="s">
        <v>803</v>
      </c>
    </row>
    <row r="305" spans="1:3" ht="13">
      <c r="A305" s="71">
        <v>5032</v>
      </c>
      <c r="B305" s="77">
        <v>401</v>
      </c>
      <c r="C305" s="72" t="s">
        <v>803</v>
      </c>
    </row>
    <row r="306" spans="1:3" ht="13">
      <c r="A306" s="71">
        <v>5035</v>
      </c>
      <c r="B306" s="75">
        <v>404</v>
      </c>
      <c r="C306" s="72" t="s">
        <v>803</v>
      </c>
    </row>
    <row r="307" spans="1:3" ht="13">
      <c r="A307" s="71">
        <v>5037</v>
      </c>
      <c r="B307" s="75">
        <v>406</v>
      </c>
      <c r="C307" s="72" t="s">
        <v>803</v>
      </c>
    </row>
    <row r="308" spans="1:3" ht="13">
      <c r="A308" s="71">
        <v>5038</v>
      </c>
      <c r="B308" s="77">
        <v>407</v>
      </c>
      <c r="C308" s="72" t="s">
        <v>803</v>
      </c>
    </row>
    <row r="309" spans="1:3" ht="13">
      <c r="A309" s="71">
        <v>5039</v>
      </c>
      <c r="B309" s="75">
        <v>408</v>
      </c>
      <c r="C309" s="72" t="s">
        <v>803</v>
      </c>
    </row>
    <row r="310" spans="1:3" ht="13">
      <c r="A310" s="71">
        <v>5040</v>
      </c>
      <c r="B310" s="77">
        <v>409</v>
      </c>
      <c r="C310" s="72" t="s">
        <v>803</v>
      </c>
    </row>
    <row r="311" spans="1:3" ht="13">
      <c r="A311" s="71">
        <v>5042</v>
      </c>
      <c r="B311" s="77">
        <v>411</v>
      </c>
      <c r="C311" s="72" t="s">
        <v>803</v>
      </c>
    </row>
    <row r="312" spans="1:3" ht="13">
      <c r="A312" s="71">
        <v>5043</v>
      </c>
      <c r="B312" s="75">
        <v>412</v>
      </c>
      <c r="C312" s="72" t="s">
        <v>803</v>
      </c>
    </row>
    <row r="313" spans="1:3" ht="13">
      <c r="A313" s="71">
        <v>5044</v>
      </c>
      <c r="B313" s="77">
        <v>413</v>
      </c>
      <c r="C313" s="72" t="s">
        <v>803</v>
      </c>
    </row>
    <row r="314" spans="1:3" ht="13">
      <c r="A314" s="71">
        <v>5045</v>
      </c>
      <c r="B314" s="75">
        <v>414</v>
      </c>
      <c r="C314" s="72" t="s">
        <v>803</v>
      </c>
    </row>
    <row r="315" spans="1:3" ht="13">
      <c r="A315" s="71">
        <v>5046</v>
      </c>
      <c r="B315" s="77">
        <v>415</v>
      </c>
      <c r="C315" s="72" t="s">
        <v>803</v>
      </c>
    </row>
    <row r="316" spans="1:3" ht="13">
      <c r="A316" s="71">
        <v>5047</v>
      </c>
      <c r="B316" s="75">
        <v>416</v>
      </c>
      <c r="C316" s="72" t="s">
        <v>803</v>
      </c>
    </row>
    <row r="317" spans="1:3" ht="13">
      <c r="A317" s="71">
        <v>5049</v>
      </c>
      <c r="B317" s="75">
        <v>418</v>
      </c>
      <c r="C317" s="72" t="s">
        <v>803</v>
      </c>
    </row>
    <row r="318" spans="1:3" ht="13">
      <c r="A318" s="71">
        <v>5050</v>
      </c>
      <c r="B318" s="77">
        <v>419</v>
      </c>
      <c r="C318" s="72" t="s">
        <v>803</v>
      </c>
    </row>
    <row r="319" spans="1:3" ht="13">
      <c r="A319" s="71">
        <v>5051</v>
      </c>
      <c r="B319" s="75">
        <v>420</v>
      </c>
      <c r="C319" s="72" t="s">
        <v>803</v>
      </c>
    </row>
    <row r="320" spans="1:3" ht="13">
      <c r="A320" s="71">
        <v>5895</v>
      </c>
      <c r="B320" s="72">
        <v>1</v>
      </c>
      <c r="C320" s="72" t="s">
        <v>861</v>
      </c>
    </row>
    <row r="321" spans="1:3" ht="13">
      <c r="A321" s="71">
        <v>5896</v>
      </c>
      <c r="B321" s="73">
        <v>2</v>
      </c>
      <c r="C321" s="72" t="s">
        <v>861</v>
      </c>
    </row>
    <row r="322" spans="1:3" ht="13">
      <c r="A322" s="71">
        <v>5898</v>
      </c>
      <c r="B322" s="73">
        <v>4</v>
      </c>
      <c r="C322" s="72" t="s">
        <v>861</v>
      </c>
    </row>
    <row r="323" spans="1:3" ht="13">
      <c r="A323" s="71">
        <v>5899</v>
      </c>
      <c r="B323" s="72">
        <v>5</v>
      </c>
      <c r="C323" s="72" t="s">
        <v>861</v>
      </c>
    </row>
    <row r="324" spans="1:3" ht="13">
      <c r="A324" s="71">
        <v>5900</v>
      </c>
      <c r="B324" s="73">
        <v>6</v>
      </c>
      <c r="C324" s="72" t="s">
        <v>861</v>
      </c>
    </row>
    <row r="325" spans="1:3" ht="13">
      <c r="A325" s="71">
        <v>5901</v>
      </c>
      <c r="B325" s="72">
        <v>7</v>
      </c>
      <c r="C325" s="72" t="s">
        <v>861</v>
      </c>
    </row>
    <row r="326" spans="1:3" ht="13">
      <c r="A326" s="71">
        <v>5904</v>
      </c>
      <c r="B326" s="73">
        <v>10</v>
      </c>
      <c r="C326" s="72" t="s">
        <v>861</v>
      </c>
    </row>
    <row r="327" spans="1:3" ht="13">
      <c r="A327" s="71">
        <v>5905</v>
      </c>
      <c r="B327" s="72">
        <v>11</v>
      </c>
      <c r="C327" s="72" t="s">
        <v>861</v>
      </c>
    </row>
    <row r="328" spans="1:3" ht="13">
      <c r="A328" s="71">
        <v>5906</v>
      </c>
      <c r="B328" s="73">
        <v>12</v>
      </c>
      <c r="C328" s="72" t="s">
        <v>861</v>
      </c>
    </row>
    <row r="329" spans="1:3" ht="13">
      <c r="A329" s="71">
        <v>5907</v>
      </c>
      <c r="B329" s="72">
        <v>13</v>
      </c>
      <c r="C329" s="72" t="s">
        <v>861</v>
      </c>
    </row>
    <row r="330" spans="1:3" ht="13">
      <c r="A330" s="71">
        <v>5909</v>
      </c>
      <c r="B330" s="72">
        <v>15</v>
      </c>
      <c r="C330" s="72" t="s">
        <v>861</v>
      </c>
    </row>
    <row r="331" spans="1:3" ht="13">
      <c r="A331" s="71">
        <v>5910</v>
      </c>
      <c r="B331" s="73">
        <v>16</v>
      </c>
      <c r="C331" s="72" t="s">
        <v>861</v>
      </c>
    </row>
    <row r="332" spans="1:3" ht="13">
      <c r="A332" s="71">
        <v>5914</v>
      </c>
      <c r="B332" s="73">
        <v>20</v>
      </c>
      <c r="C332" s="72" t="s">
        <v>861</v>
      </c>
    </row>
    <row r="333" spans="1:3" ht="13">
      <c r="A333" s="71">
        <v>5917</v>
      </c>
      <c r="B333" s="72">
        <v>23</v>
      </c>
      <c r="C333" s="72" t="s">
        <v>861</v>
      </c>
    </row>
    <row r="334" spans="1:3" ht="13">
      <c r="A334" s="71">
        <v>5921</v>
      </c>
      <c r="B334" s="72">
        <v>27</v>
      </c>
      <c r="C334" s="72" t="s">
        <v>861</v>
      </c>
    </row>
    <row r="335" spans="1:3" ht="13">
      <c r="A335" s="71">
        <v>5924</v>
      </c>
      <c r="B335" s="73">
        <v>30</v>
      </c>
      <c r="C335" s="72" t="s">
        <v>861</v>
      </c>
    </row>
    <row r="336" spans="1:3" ht="13">
      <c r="A336" s="71">
        <v>5926</v>
      </c>
      <c r="B336" s="73">
        <v>32</v>
      </c>
      <c r="C336" s="72" t="s">
        <v>861</v>
      </c>
    </row>
    <row r="337" spans="1:3" ht="13">
      <c r="A337" s="71">
        <v>5931</v>
      </c>
      <c r="B337" s="72">
        <v>37</v>
      </c>
      <c r="C337" s="72" t="s">
        <v>861</v>
      </c>
    </row>
    <row r="338" spans="1:3" ht="13">
      <c r="A338" s="71">
        <v>5940</v>
      </c>
      <c r="B338" s="73">
        <v>46</v>
      </c>
      <c r="C338" s="72" t="s">
        <v>861</v>
      </c>
    </row>
    <row r="339" spans="1:3" ht="13">
      <c r="A339" s="71">
        <v>5952</v>
      </c>
      <c r="B339" s="73">
        <v>58</v>
      </c>
      <c r="C339" s="72" t="s">
        <v>861</v>
      </c>
    </row>
    <row r="340" spans="1:3" ht="13">
      <c r="A340" s="71">
        <v>5953</v>
      </c>
      <c r="B340" s="72">
        <v>59</v>
      </c>
      <c r="C340" s="72" t="s">
        <v>861</v>
      </c>
    </row>
    <row r="341" spans="1:3" ht="13">
      <c r="A341" s="71">
        <v>5962</v>
      </c>
      <c r="B341" s="73">
        <v>68</v>
      </c>
      <c r="C341" s="72" t="s">
        <v>861</v>
      </c>
    </row>
    <row r="342" spans="1:3" ht="13">
      <c r="A342" s="71">
        <v>5964</v>
      </c>
      <c r="B342" s="73">
        <v>70</v>
      </c>
      <c r="C342" s="72" t="s">
        <v>861</v>
      </c>
    </row>
    <row r="343" spans="1:3" ht="13">
      <c r="A343" s="71">
        <v>5967</v>
      </c>
      <c r="B343" s="72">
        <v>73</v>
      </c>
      <c r="C343" s="72" t="s">
        <v>861</v>
      </c>
    </row>
    <row r="344" spans="1:3" ht="13">
      <c r="A344" s="71">
        <v>6042</v>
      </c>
      <c r="B344" s="77">
        <v>148</v>
      </c>
      <c r="C344" s="72" t="s">
        <v>861</v>
      </c>
    </row>
    <row r="345" spans="1:3" ht="13">
      <c r="A345" s="71">
        <v>6055</v>
      </c>
      <c r="B345" s="75">
        <v>161</v>
      </c>
      <c r="C345" s="72" t="s">
        <v>861</v>
      </c>
    </row>
    <row r="346" spans="1:3" ht="13">
      <c r="A346" s="71">
        <v>6075</v>
      </c>
      <c r="B346" s="72" t="s">
        <v>721</v>
      </c>
      <c r="C346" s="72" t="s">
        <v>861</v>
      </c>
    </row>
    <row r="347" spans="1:3" ht="13">
      <c r="A347" s="71">
        <v>6312</v>
      </c>
      <c r="B347" s="73" t="s">
        <v>807</v>
      </c>
      <c r="C347" s="72" t="s">
        <v>861</v>
      </c>
    </row>
    <row r="348" spans="1:3" ht="13">
      <c r="A348" s="71">
        <v>6313</v>
      </c>
      <c r="B348" s="72" t="s">
        <v>808</v>
      </c>
      <c r="C348" s="72" t="s">
        <v>861</v>
      </c>
    </row>
    <row r="349" spans="1:3" ht="13">
      <c r="A349" s="71">
        <v>6314</v>
      </c>
      <c r="B349" s="73" t="s">
        <v>809</v>
      </c>
      <c r="C349" s="72" t="s">
        <v>861</v>
      </c>
    </row>
    <row r="350" spans="1:3" ht="13">
      <c r="A350" s="71">
        <v>6315</v>
      </c>
      <c r="B350" s="72" t="s">
        <v>811</v>
      </c>
      <c r="C350" s="72" t="s">
        <v>861</v>
      </c>
    </row>
    <row r="351" spans="1:3" ht="13">
      <c r="A351" s="71">
        <v>6316</v>
      </c>
      <c r="B351" s="73" t="s">
        <v>812</v>
      </c>
      <c r="C351" s="72" t="s">
        <v>861</v>
      </c>
    </row>
    <row r="352" spans="1:3" ht="13">
      <c r="A352" s="71">
        <v>6345</v>
      </c>
      <c r="B352" s="72" t="s">
        <v>813</v>
      </c>
      <c r="C352" s="72" t="s">
        <v>861</v>
      </c>
    </row>
    <row r="353" spans="1:3" ht="13">
      <c r="A353" s="71">
        <v>6362</v>
      </c>
      <c r="B353" s="73" t="s">
        <v>778</v>
      </c>
      <c r="C353" s="72" t="s">
        <v>861</v>
      </c>
    </row>
    <row r="354" spans="1:3" ht="13">
      <c r="A354" s="71">
        <v>6364</v>
      </c>
      <c r="B354" s="73" t="s">
        <v>814</v>
      </c>
      <c r="C354" s="72" t="s">
        <v>861</v>
      </c>
    </row>
    <row r="355" spans="1:3" ht="13">
      <c r="A355" s="71">
        <v>6412</v>
      </c>
      <c r="B355" s="73" t="s">
        <v>815</v>
      </c>
      <c r="C355" s="72" t="s">
        <v>861</v>
      </c>
    </row>
    <row r="356" spans="1:3" ht="13">
      <c r="A356" s="71">
        <v>6413</v>
      </c>
      <c r="B356" s="72" t="s">
        <v>816</v>
      </c>
      <c r="C356" s="72" t="s">
        <v>861</v>
      </c>
    </row>
    <row r="357" spans="1:3" ht="13">
      <c r="A357" s="71">
        <v>6414</v>
      </c>
      <c r="B357" s="73" t="s">
        <v>702</v>
      </c>
      <c r="C357" s="72" t="s">
        <v>861</v>
      </c>
    </row>
    <row r="358" spans="1:3" ht="13">
      <c r="A358" s="71">
        <v>6416</v>
      </c>
      <c r="B358" s="73" t="s">
        <v>787</v>
      </c>
      <c r="C358" s="72" t="s">
        <v>861</v>
      </c>
    </row>
    <row r="359" spans="1:3" ht="13">
      <c r="A359" s="71">
        <v>6425</v>
      </c>
      <c r="B359" s="72" t="s">
        <v>819</v>
      </c>
      <c r="C359" s="72" t="s">
        <v>861</v>
      </c>
    </row>
    <row r="360" spans="1:3" ht="13">
      <c r="A360" s="71">
        <v>6502</v>
      </c>
      <c r="B360" s="77">
        <v>187</v>
      </c>
      <c r="C360" s="72" t="s">
        <v>861</v>
      </c>
    </row>
    <row r="361" spans="1:3" ht="13">
      <c r="A361" s="71">
        <v>6503</v>
      </c>
      <c r="B361" s="75">
        <v>188</v>
      </c>
      <c r="C361" s="72" t="s">
        <v>861</v>
      </c>
    </row>
    <row r="362" spans="1:3" ht="13">
      <c r="A362" s="71">
        <v>6504</v>
      </c>
      <c r="B362" s="77">
        <v>189</v>
      </c>
      <c r="C362" s="72" t="s">
        <v>861</v>
      </c>
    </row>
    <row r="363" spans="1:3" ht="13">
      <c r="A363" s="71">
        <v>6505</v>
      </c>
      <c r="B363" s="75">
        <v>190</v>
      </c>
      <c r="C363" s="72" t="s">
        <v>861</v>
      </c>
    </row>
    <row r="364" spans="1:3" ht="13">
      <c r="A364" s="71">
        <v>6512</v>
      </c>
      <c r="B364" s="77">
        <v>197</v>
      </c>
      <c r="C364" s="72" t="s">
        <v>861</v>
      </c>
    </row>
    <row r="365" spans="1:3" ht="13">
      <c r="A365" s="71">
        <v>6513</v>
      </c>
      <c r="B365" s="75">
        <v>198</v>
      </c>
      <c r="C365" s="72" t="s">
        <v>861</v>
      </c>
    </row>
    <row r="366" spans="1:3" ht="13">
      <c r="A366" s="71">
        <v>6514</v>
      </c>
      <c r="B366" s="77">
        <v>199</v>
      </c>
      <c r="C366" s="72" t="s">
        <v>861</v>
      </c>
    </row>
    <row r="367" spans="1:3" ht="13">
      <c r="A367" s="71">
        <v>6515</v>
      </c>
      <c r="B367" s="75">
        <v>200</v>
      </c>
      <c r="C367" s="72" t="s">
        <v>861</v>
      </c>
    </row>
    <row r="368" spans="1:3" ht="13">
      <c r="A368" s="71">
        <v>6516</v>
      </c>
      <c r="B368" s="77">
        <v>201</v>
      </c>
      <c r="C368" s="72" t="s">
        <v>861</v>
      </c>
    </row>
    <row r="369" spans="1:3" ht="13">
      <c r="A369" s="71">
        <v>6517</v>
      </c>
      <c r="B369" s="75">
        <v>202</v>
      </c>
      <c r="C369" s="72" t="s">
        <v>861</v>
      </c>
    </row>
    <row r="370" spans="1:3" ht="13">
      <c r="A370" s="71">
        <v>6518</v>
      </c>
      <c r="B370" s="77">
        <v>203</v>
      </c>
      <c r="C370" s="72" t="s">
        <v>861</v>
      </c>
    </row>
    <row r="371" spans="1:3" ht="13">
      <c r="A371" s="71">
        <v>6519</v>
      </c>
      <c r="B371" s="75">
        <v>204</v>
      </c>
      <c r="C371" s="72" t="s">
        <v>861</v>
      </c>
    </row>
    <row r="372" spans="1:3" ht="13">
      <c r="A372" s="71">
        <v>6520</v>
      </c>
      <c r="B372" s="77">
        <v>205</v>
      </c>
      <c r="C372" s="72" t="s">
        <v>861</v>
      </c>
    </row>
    <row r="373" spans="1:3" ht="13">
      <c r="A373" s="71">
        <v>6523</v>
      </c>
      <c r="B373" s="75">
        <v>208</v>
      </c>
      <c r="C373" s="72" t="s">
        <v>861</v>
      </c>
    </row>
    <row r="374" spans="1:3" ht="13">
      <c r="A374" s="71">
        <v>6526</v>
      </c>
      <c r="B374" s="77">
        <v>211</v>
      </c>
      <c r="C374" s="72" t="s">
        <v>861</v>
      </c>
    </row>
    <row r="375" spans="1:3" ht="13">
      <c r="A375" s="71">
        <v>6527</v>
      </c>
      <c r="B375" s="75">
        <v>212</v>
      </c>
      <c r="C375" s="72" t="s">
        <v>861</v>
      </c>
    </row>
    <row r="376" spans="1:3" ht="13">
      <c r="A376" s="71">
        <v>6529</v>
      </c>
      <c r="B376" s="75">
        <v>214</v>
      </c>
      <c r="C376" s="72" t="s">
        <v>861</v>
      </c>
    </row>
    <row r="377" spans="1:3" ht="13">
      <c r="A377" s="71">
        <v>6564</v>
      </c>
      <c r="B377" s="77">
        <v>249</v>
      </c>
      <c r="C377" s="72" t="s">
        <v>861</v>
      </c>
    </row>
    <row r="378" spans="1:3" ht="13">
      <c r="A378" s="71">
        <v>6567</v>
      </c>
      <c r="B378" s="75">
        <v>252</v>
      </c>
      <c r="C378" s="72" t="s">
        <v>861</v>
      </c>
    </row>
    <row r="379" spans="1:3" ht="13">
      <c r="A379" s="71">
        <v>6568</v>
      </c>
      <c r="B379" s="77">
        <v>253</v>
      </c>
      <c r="C379" s="72" t="s">
        <v>861</v>
      </c>
    </row>
    <row r="380" spans="1:3" ht="13">
      <c r="A380" s="71">
        <v>6569</v>
      </c>
      <c r="B380" s="75">
        <v>254</v>
      </c>
      <c r="C380" s="72" t="s">
        <v>861</v>
      </c>
    </row>
    <row r="381" spans="1:3" ht="13">
      <c r="A381" s="71">
        <v>6575</v>
      </c>
      <c r="B381" s="75">
        <v>260</v>
      </c>
      <c r="C381" s="72" t="s">
        <v>861</v>
      </c>
    </row>
    <row r="382" spans="1:3" ht="13">
      <c r="A382" s="71">
        <v>6577</v>
      </c>
      <c r="B382" s="75">
        <v>262</v>
      </c>
      <c r="C382" s="72" t="s">
        <v>861</v>
      </c>
    </row>
    <row r="383" spans="1:3" ht="13">
      <c r="A383" s="71">
        <v>6578</v>
      </c>
      <c r="B383" s="77">
        <v>263</v>
      </c>
      <c r="C383" s="72" t="s">
        <v>861</v>
      </c>
    </row>
    <row r="384" spans="1:3" ht="13">
      <c r="A384" s="71">
        <v>6580</v>
      </c>
      <c r="B384" s="77">
        <v>265</v>
      </c>
      <c r="C384" s="72" t="s">
        <v>861</v>
      </c>
    </row>
    <row r="385" spans="1:3" ht="13">
      <c r="A385" s="71">
        <v>6585</v>
      </c>
      <c r="B385" s="75">
        <v>270</v>
      </c>
      <c r="C385" s="72" t="s">
        <v>861</v>
      </c>
    </row>
    <row r="386" spans="1:3" ht="13">
      <c r="A386" s="71">
        <v>6587</v>
      </c>
      <c r="B386" s="75">
        <v>272</v>
      </c>
      <c r="C386" s="72" t="s">
        <v>861</v>
      </c>
    </row>
    <row r="387" spans="1:3" ht="13">
      <c r="A387" s="71">
        <v>6594</v>
      </c>
      <c r="B387" s="77">
        <v>279</v>
      </c>
      <c r="C387" s="72" t="s">
        <v>861</v>
      </c>
    </row>
    <row r="388" spans="1:3" ht="13">
      <c r="A388" s="71">
        <v>6595</v>
      </c>
      <c r="B388" s="75">
        <v>280</v>
      </c>
      <c r="C388" s="72" t="s">
        <v>861</v>
      </c>
    </row>
    <row r="389" spans="1:3" ht="13">
      <c r="A389" s="71">
        <v>6596</v>
      </c>
      <c r="B389" s="77">
        <v>281</v>
      </c>
      <c r="C389" s="72" t="s">
        <v>861</v>
      </c>
    </row>
    <row r="390" spans="1:3" ht="13">
      <c r="A390" s="71">
        <v>6610</v>
      </c>
      <c r="B390" s="77">
        <v>295</v>
      </c>
      <c r="C390" s="72" t="s">
        <v>861</v>
      </c>
    </row>
    <row r="391" spans="1:3" ht="13">
      <c r="A391" s="71">
        <v>6612</v>
      </c>
      <c r="B391" s="77">
        <v>297</v>
      </c>
      <c r="C391" s="72" t="s">
        <v>861</v>
      </c>
    </row>
    <row r="392" spans="1:3" ht="13">
      <c r="A392" s="71">
        <v>6613</v>
      </c>
      <c r="B392" s="75">
        <v>298</v>
      </c>
      <c r="C392" s="72" t="s">
        <v>861</v>
      </c>
    </row>
    <row r="393" spans="1:3" ht="13">
      <c r="A393" s="71">
        <v>6615</v>
      </c>
      <c r="B393" s="75">
        <v>300</v>
      </c>
      <c r="C393" s="72" t="s">
        <v>861</v>
      </c>
    </row>
    <row r="394" spans="1:3" ht="13">
      <c r="A394" s="71">
        <v>6626</v>
      </c>
      <c r="B394" s="77">
        <v>311</v>
      </c>
      <c r="C394" s="72" t="s">
        <v>861</v>
      </c>
    </row>
    <row r="395" spans="1:3" ht="13">
      <c r="A395" s="71">
        <v>6627</v>
      </c>
      <c r="B395" s="75">
        <v>312</v>
      </c>
      <c r="C395" s="72" t="s">
        <v>861</v>
      </c>
    </row>
    <row r="396" spans="1:3" ht="13">
      <c r="A396" s="71">
        <v>6628</v>
      </c>
      <c r="B396" s="77">
        <v>313</v>
      </c>
      <c r="C396" s="72" t="s">
        <v>861</v>
      </c>
    </row>
    <row r="397" spans="1:3" ht="13">
      <c r="A397" s="71">
        <v>6629</v>
      </c>
      <c r="B397" s="75">
        <v>314</v>
      </c>
      <c r="C397" s="72" t="s">
        <v>861</v>
      </c>
    </row>
    <row r="398" spans="1:3" ht="13">
      <c r="A398" s="71">
        <v>6632</v>
      </c>
      <c r="B398" s="77">
        <v>317</v>
      </c>
      <c r="C398" s="72" t="s">
        <v>861</v>
      </c>
    </row>
    <row r="399" spans="1:3" ht="13">
      <c r="A399" s="71">
        <v>6633</v>
      </c>
      <c r="B399" s="75">
        <v>318</v>
      </c>
      <c r="C399" s="72" t="s">
        <v>861</v>
      </c>
    </row>
    <row r="400" spans="1:3" ht="13">
      <c r="A400" s="71">
        <v>6634</v>
      </c>
      <c r="B400" s="77">
        <v>319</v>
      </c>
      <c r="C400" s="72" t="s">
        <v>861</v>
      </c>
    </row>
    <row r="401" spans="1:3" ht="13">
      <c r="A401" s="71">
        <v>6635</v>
      </c>
      <c r="B401" s="75">
        <v>320</v>
      </c>
      <c r="C401" s="72" t="s">
        <v>861</v>
      </c>
    </row>
    <row r="402" spans="1:3" ht="13">
      <c r="A402" s="71">
        <v>6636</v>
      </c>
      <c r="B402" s="77">
        <v>321</v>
      </c>
      <c r="C402" s="72" t="s">
        <v>861</v>
      </c>
    </row>
    <row r="403" spans="1:3" ht="13">
      <c r="A403" s="71">
        <v>6637</v>
      </c>
      <c r="B403" s="75">
        <v>322</v>
      </c>
      <c r="C403" s="72" t="s">
        <v>861</v>
      </c>
    </row>
    <row r="404" spans="1:3" ht="13">
      <c r="A404" s="71">
        <v>6638</v>
      </c>
      <c r="B404" s="77">
        <v>323</v>
      </c>
      <c r="C404" s="72" t="s">
        <v>861</v>
      </c>
    </row>
    <row r="405" spans="1:3" ht="13">
      <c r="A405" s="71">
        <v>6642</v>
      </c>
      <c r="B405" s="77">
        <v>327</v>
      </c>
      <c r="C405" s="72" t="s">
        <v>861</v>
      </c>
    </row>
    <row r="406" spans="1:3" ht="13">
      <c r="A406" s="71">
        <v>6644</v>
      </c>
      <c r="B406" s="77">
        <v>329</v>
      </c>
      <c r="C406" s="72" t="s">
        <v>861</v>
      </c>
    </row>
    <row r="407" spans="1:3" ht="13">
      <c r="A407" s="71">
        <v>6645</v>
      </c>
      <c r="B407" s="75">
        <v>330</v>
      </c>
      <c r="C407" s="72" t="s">
        <v>861</v>
      </c>
    </row>
    <row r="408" spans="1:3" ht="13">
      <c r="A408" s="71">
        <v>6646</v>
      </c>
      <c r="B408" s="77">
        <v>331</v>
      </c>
      <c r="C408" s="72" t="s">
        <v>861</v>
      </c>
    </row>
    <row r="409" spans="1:3" ht="13">
      <c r="A409" s="71">
        <v>6647</v>
      </c>
      <c r="B409" s="75">
        <v>332</v>
      </c>
      <c r="C409" s="72" t="s">
        <v>861</v>
      </c>
    </row>
    <row r="410" spans="1:3" ht="13">
      <c r="A410" s="71">
        <v>6648</v>
      </c>
      <c r="B410" s="77">
        <v>333</v>
      </c>
      <c r="C410" s="72" t="s">
        <v>861</v>
      </c>
    </row>
    <row r="411" spans="1:3" ht="13">
      <c r="A411" s="71">
        <v>6656</v>
      </c>
      <c r="B411" s="77">
        <v>341</v>
      </c>
      <c r="C411" s="72" t="s">
        <v>861</v>
      </c>
    </row>
    <row r="412" spans="1:3" ht="13">
      <c r="A412" s="71">
        <v>6657</v>
      </c>
      <c r="B412" s="75">
        <v>342</v>
      </c>
      <c r="C412" s="72" t="s">
        <v>861</v>
      </c>
    </row>
    <row r="413" spans="1:3" ht="13">
      <c r="A413" s="71">
        <v>6658</v>
      </c>
      <c r="B413" s="77">
        <v>343</v>
      </c>
      <c r="C413" s="72" t="s">
        <v>861</v>
      </c>
    </row>
    <row r="414" spans="1:3" ht="13">
      <c r="A414" s="71">
        <v>6662</v>
      </c>
      <c r="B414" s="77">
        <v>347</v>
      </c>
      <c r="C414" s="72" t="s">
        <v>861</v>
      </c>
    </row>
    <row r="415" spans="1:3" ht="13">
      <c r="A415" s="71">
        <v>6664</v>
      </c>
      <c r="B415" s="77">
        <v>349</v>
      </c>
      <c r="C415" s="72" t="s">
        <v>861</v>
      </c>
    </row>
    <row r="416" spans="1:3" ht="13">
      <c r="A416" s="71">
        <v>6666</v>
      </c>
      <c r="B416" s="77">
        <v>351</v>
      </c>
      <c r="C416" s="72" t="s">
        <v>861</v>
      </c>
    </row>
    <row r="417" spans="1:3" ht="13">
      <c r="A417" s="71">
        <v>6667</v>
      </c>
      <c r="B417" s="75">
        <v>352</v>
      </c>
      <c r="C417" s="72" t="s">
        <v>861</v>
      </c>
    </row>
    <row r="418" spans="1:3" ht="13">
      <c r="A418" s="71">
        <v>6669</v>
      </c>
      <c r="B418" s="75">
        <v>354</v>
      </c>
      <c r="C418" s="72" t="s">
        <v>861</v>
      </c>
    </row>
    <row r="419" spans="1:3" ht="13">
      <c r="A419" s="71">
        <v>6672</v>
      </c>
      <c r="B419" s="77">
        <v>357</v>
      </c>
      <c r="C419" s="72" t="s">
        <v>861</v>
      </c>
    </row>
    <row r="420" spans="1:3" ht="13">
      <c r="A420" s="71">
        <v>6674</v>
      </c>
      <c r="B420" s="77">
        <v>359</v>
      </c>
      <c r="C420" s="72" t="s">
        <v>861</v>
      </c>
    </row>
    <row r="421" spans="1:3" ht="13">
      <c r="A421" s="71">
        <v>6675</v>
      </c>
      <c r="B421" s="75">
        <v>360</v>
      </c>
      <c r="C421" s="72" t="s">
        <v>861</v>
      </c>
    </row>
    <row r="422" spans="1:3" ht="13">
      <c r="A422" s="71">
        <v>6676</v>
      </c>
      <c r="B422" s="77">
        <v>361</v>
      </c>
      <c r="C422" s="72" t="s">
        <v>861</v>
      </c>
    </row>
    <row r="423" spans="1:3" ht="13">
      <c r="A423" s="71">
        <v>6677</v>
      </c>
      <c r="B423" s="75">
        <v>362</v>
      </c>
      <c r="C423" s="72" t="s">
        <v>861</v>
      </c>
    </row>
    <row r="424" spans="1:3" ht="13">
      <c r="A424" s="71">
        <v>6678</v>
      </c>
      <c r="B424" s="77">
        <v>363</v>
      </c>
      <c r="C424" s="72" t="s">
        <v>861</v>
      </c>
    </row>
    <row r="425" spans="1:3" ht="13">
      <c r="A425" s="71">
        <v>6681</v>
      </c>
      <c r="B425" s="75">
        <v>366</v>
      </c>
      <c r="C425" s="72" t="s">
        <v>861</v>
      </c>
    </row>
    <row r="426" spans="1:3" ht="13">
      <c r="A426" s="71">
        <v>6682</v>
      </c>
      <c r="B426" s="77">
        <v>367</v>
      </c>
      <c r="C426" s="72" t="s">
        <v>861</v>
      </c>
    </row>
    <row r="427" spans="1:3" ht="13">
      <c r="A427" s="71">
        <v>6683</v>
      </c>
      <c r="B427" s="75">
        <v>368</v>
      </c>
      <c r="C427" s="72" t="s">
        <v>861</v>
      </c>
    </row>
    <row r="428" spans="1:3" ht="13">
      <c r="A428" s="71">
        <v>6684</v>
      </c>
      <c r="B428" s="77">
        <v>369</v>
      </c>
      <c r="C428" s="72" t="s">
        <v>861</v>
      </c>
    </row>
    <row r="429" spans="1:3" ht="13">
      <c r="A429" s="71">
        <v>6689</v>
      </c>
      <c r="B429" s="75">
        <v>374</v>
      </c>
      <c r="C429" s="72" t="s">
        <v>861</v>
      </c>
    </row>
    <row r="430" spans="1:3" ht="13">
      <c r="A430" s="71">
        <v>6690</v>
      </c>
      <c r="B430" s="77">
        <v>375</v>
      </c>
      <c r="C430" s="72" t="s">
        <v>861</v>
      </c>
    </row>
    <row r="431" spans="1:3" ht="13">
      <c r="A431" s="71">
        <v>6691</v>
      </c>
      <c r="B431" s="75">
        <v>376</v>
      </c>
      <c r="C431" s="72" t="s">
        <v>861</v>
      </c>
    </row>
    <row r="432" spans="1:3" ht="13">
      <c r="A432" s="71">
        <v>6692</v>
      </c>
      <c r="B432" s="77">
        <v>377</v>
      </c>
      <c r="C432" s="72" t="s">
        <v>861</v>
      </c>
    </row>
    <row r="433" spans="1:3" ht="13">
      <c r="A433" s="71">
        <v>6696</v>
      </c>
      <c r="B433" s="77">
        <v>381</v>
      </c>
      <c r="C433" s="72" t="s">
        <v>861</v>
      </c>
    </row>
    <row r="434" spans="1:3" ht="13">
      <c r="A434" s="71">
        <v>6700</v>
      </c>
      <c r="B434" s="77">
        <v>385</v>
      </c>
      <c r="C434" s="72" t="s">
        <v>861</v>
      </c>
    </row>
    <row r="435" spans="1:3" ht="13">
      <c r="A435" s="71">
        <v>6706</v>
      </c>
      <c r="B435" s="77">
        <v>391</v>
      </c>
      <c r="C435" s="72" t="s">
        <v>861</v>
      </c>
    </row>
    <row r="436" spans="1:3" ht="13">
      <c r="A436" s="71">
        <v>6709</v>
      </c>
      <c r="B436" s="75">
        <v>394</v>
      </c>
      <c r="C436" s="72" t="s">
        <v>861</v>
      </c>
    </row>
    <row r="437" spans="1:3" ht="13">
      <c r="A437" s="71">
        <v>6710</v>
      </c>
      <c r="B437" s="77">
        <v>395</v>
      </c>
      <c r="C437" s="72" t="s">
        <v>861</v>
      </c>
    </row>
    <row r="438" spans="1:3" ht="13">
      <c r="A438" s="71">
        <v>6711</v>
      </c>
      <c r="B438" s="75">
        <v>396</v>
      </c>
      <c r="C438" s="72" t="s">
        <v>861</v>
      </c>
    </row>
    <row r="439" spans="1:3" ht="13">
      <c r="A439" s="71">
        <v>6712</v>
      </c>
      <c r="B439" s="77">
        <v>397</v>
      </c>
      <c r="C439" s="72" t="s">
        <v>861</v>
      </c>
    </row>
    <row r="440" spans="1:3" ht="13">
      <c r="A440" s="71">
        <v>6713</v>
      </c>
      <c r="B440" s="75">
        <v>398</v>
      </c>
      <c r="C440" s="72" t="s">
        <v>861</v>
      </c>
    </row>
    <row r="441" spans="1:3" ht="13">
      <c r="A441" s="71">
        <v>6714</v>
      </c>
      <c r="B441" s="77">
        <v>399</v>
      </c>
      <c r="C441" s="72" t="s">
        <v>861</v>
      </c>
    </row>
    <row r="442" spans="1:3" ht="13">
      <c r="A442" s="71">
        <v>6715</v>
      </c>
      <c r="B442" s="75">
        <v>400</v>
      </c>
      <c r="C442" s="72" t="s">
        <v>861</v>
      </c>
    </row>
    <row r="443" spans="1:3" ht="13">
      <c r="A443" s="71">
        <v>6716</v>
      </c>
      <c r="B443" s="77">
        <v>401</v>
      </c>
      <c r="C443" s="72" t="s">
        <v>861</v>
      </c>
    </row>
    <row r="444" spans="1:3" ht="13">
      <c r="A444" s="71">
        <v>6719</v>
      </c>
      <c r="B444" s="75">
        <v>404</v>
      </c>
      <c r="C444" s="72" t="s">
        <v>861</v>
      </c>
    </row>
    <row r="445" spans="1:3" ht="13">
      <c r="A445" s="71">
        <v>6721</v>
      </c>
      <c r="B445" s="75">
        <v>406</v>
      </c>
      <c r="C445" s="72" t="s">
        <v>861</v>
      </c>
    </row>
    <row r="446" spans="1:3" ht="13">
      <c r="A446" s="71">
        <v>6722</v>
      </c>
      <c r="B446" s="77">
        <v>407</v>
      </c>
      <c r="C446" s="72" t="s">
        <v>861</v>
      </c>
    </row>
    <row r="447" spans="1:3" ht="13">
      <c r="A447" s="71">
        <v>6723</v>
      </c>
      <c r="B447" s="75">
        <v>408</v>
      </c>
      <c r="C447" s="72" t="s">
        <v>861</v>
      </c>
    </row>
    <row r="448" spans="1:3" ht="13">
      <c r="A448" s="71">
        <v>6724</v>
      </c>
      <c r="B448" s="77">
        <v>409</v>
      </c>
      <c r="C448" s="72" t="s">
        <v>861</v>
      </c>
    </row>
    <row r="449" spans="1:3" ht="13">
      <c r="A449" s="71">
        <v>6726</v>
      </c>
      <c r="B449" s="77">
        <v>411</v>
      </c>
      <c r="C449" s="72" t="s">
        <v>861</v>
      </c>
    </row>
    <row r="450" spans="1:3" ht="13">
      <c r="A450" s="71">
        <v>6727</v>
      </c>
      <c r="B450" s="75">
        <v>412</v>
      </c>
      <c r="C450" s="72" t="s">
        <v>861</v>
      </c>
    </row>
    <row r="451" spans="1:3" ht="13">
      <c r="A451" s="71">
        <v>6728</v>
      </c>
      <c r="B451" s="77">
        <v>413</v>
      </c>
      <c r="C451" s="72" t="s">
        <v>861</v>
      </c>
    </row>
    <row r="452" spans="1:3" ht="13">
      <c r="A452" s="71">
        <v>6729</v>
      </c>
      <c r="B452" s="75">
        <v>414</v>
      </c>
      <c r="C452" s="72" t="s">
        <v>861</v>
      </c>
    </row>
    <row r="453" spans="1:3" ht="13">
      <c r="A453" s="71">
        <v>6730</v>
      </c>
      <c r="B453" s="77">
        <v>415</v>
      </c>
      <c r="C453" s="72" t="s">
        <v>861</v>
      </c>
    </row>
    <row r="454" spans="1:3" ht="13">
      <c r="A454" s="71">
        <v>6731</v>
      </c>
      <c r="B454" s="75">
        <v>416</v>
      </c>
      <c r="C454" s="72" t="s">
        <v>861</v>
      </c>
    </row>
    <row r="455" spans="1:3" ht="13">
      <c r="A455" s="71">
        <v>6733</v>
      </c>
      <c r="B455" s="75">
        <v>418</v>
      </c>
      <c r="C455" s="72" t="s">
        <v>861</v>
      </c>
    </row>
    <row r="456" spans="1:3" ht="13">
      <c r="A456" s="71">
        <v>6734</v>
      </c>
      <c r="B456" s="77">
        <v>419</v>
      </c>
      <c r="C456" s="72" t="s">
        <v>861</v>
      </c>
    </row>
    <row r="457" spans="1:3" ht="13">
      <c r="A457" s="71">
        <v>6735</v>
      </c>
      <c r="B457" s="75">
        <v>420</v>
      </c>
      <c r="C457" s="72" t="s">
        <v>861</v>
      </c>
    </row>
    <row r="458" spans="1:3" ht="13">
      <c r="A458" s="71">
        <v>6739</v>
      </c>
      <c r="B458" s="72">
        <v>3</v>
      </c>
      <c r="C458" s="72" t="s">
        <v>899</v>
      </c>
    </row>
    <row r="459" spans="1:3" ht="13">
      <c r="A459" s="71">
        <v>6741</v>
      </c>
      <c r="B459" s="72">
        <v>5</v>
      </c>
      <c r="C459" s="72" t="s">
        <v>899</v>
      </c>
    </row>
    <row r="460" spans="1:3" ht="13">
      <c r="A460" s="71">
        <v>6744</v>
      </c>
      <c r="B460" s="73">
        <v>8</v>
      </c>
      <c r="C460" s="72" t="s">
        <v>899</v>
      </c>
    </row>
    <row r="461" spans="1:3" ht="13">
      <c r="A461" s="71">
        <v>6746</v>
      </c>
      <c r="B461" s="73">
        <v>10</v>
      </c>
      <c r="C461" s="72" t="s">
        <v>899</v>
      </c>
    </row>
    <row r="462" spans="1:3" ht="13">
      <c r="A462" s="71">
        <v>6747</v>
      </c>
      <c r="B462" s="72">
        <v>11</v>
      </c>
      <c r="C462" s="72" t="s">
        <v>899</v>
      </c>
    </row>
    <row r="463" spans="1:3" ht="13">
      <c r="A463" s="71">
        <v>6749</v>
      </c>
      <c r="B463" s="72">
        <v>13</v>
      </c>
      <c r="C463" s="72" t="s">
        <v>899</v>
      </c>
    </row>
    <row r="464" spans="1:3" ht="13">
      <c r="A464" s="71">
        <v>6756</v>
      </c>
      <c r="B464" s="73">
        <v>20</v>
      </c>
      <c r="C464" s="72" t="s">
        <v>899</v>
      </c>
    </row>
    <row r="465" spans="1:3" ht="13">
      <c r="A465" s="71">
        <v>6757</v>
      </c>
      <c r="B465" s="72">
        <v>21</v>
      </c>
      <c r="C465" s="72" t="s">
        <v>899</v>
      </c>
    </row>
    <row r="466" spans="1:3" ht="13">
      <c r="A466" s="71">
        <v>6759</v>
      </c>
      <c r="B466" s="72">
        <v>23</v>
      </c>
      <c r="C466" s="72" t="s">
        <v>899</v>
      </c>
    </row>
    <row r="467" spans="1:3" ht="13">
      <c r="A467" s="71">
        <v>6760</v>
      </c>
      <c r="B467" s="73">
        <v>24</v>
      </c>
      <c r="C467" s="72" t="s">
        <v>899</v>
      </c>
    </row>
    <row r="468" spans="1:3" ht="13">
      <c r="A468" s="71">
        <v>6762</v>
      </c>
      <c r="B468" s="73">
        <v>26</v>
      </c>
      <c r="C468" s="72" t="s">
        <v>899</v>
      </c>
    </row>
    <row r="469" spans="1:3" ht="13">
      <c r="A469" s="71">
        <v>6763</v>
      </c>
      <c r="B469" s="72">
        <v>27</v>
      </c>
      <c r="C469" s="72" t="s">
        <v>899</v>
      </c>
    </row>
    <row r="470" spans="1:3" ht="13">
      <c r="A470" s="71">
        <v>6765</v>
      </c>
      <c r="B470" s="72">
        <v>29</v>
      </c>
      <c r="C470" s="72" t="s">
        <v>899</v>
      </c>
    </row>
    <row r="471" spans="1:3" ht="13">
      <c r="A471" s="71">
        <v>6766</v>
      </c>
      <c r="B471" s="73">
        <v>30</v>
      </c>
      <c r="C471" s="72" t="s">
        <v>899</v>
      </c>
    </row>
    <row r="472" spans="1:3" ht="13">
      <c r="A472" s="71">
        <v>6768</v>
      </c>
      <c r="B472" s="73">
        <v>32</v>
      </c>
      <c r="C472" s="72" t="s">
        <v>899</v>
      </c>
    </row>
    <row r="473" spans="1:3" ht="13">
      <c r="A473" s="71">
        <v>6789</v>
      </c>
      <c r="B473" s="72">
        <v>53</v>
      </c>
      <c r="C473" s="72" t="s">
        <v>899</v>
      </c>
    </row>
    <row r="474" spans="1:3" ht="13">
      <c r="A474" s="71">
        <v>6790</v>
      </c>
      <c r="B474" s="73">
        <v>54</v>
      </c>
      <c r="C474" s="72" t="s">
        <v>899</v>
      </c>
    </row>
    <row r="475" spans="1:3" ht="13">
      <c r="A475" s="71">
        <v>6791</v>
      </c>
      <c r="B475" s="72">
        <v>55</v>
      </c>
      <c r="C475" s="72" t="s">
        <v>899</v>
      </c>
    </row>
    <row r="476" spans="1:3" ht="13">
      <c r="A476" s="71">
        <v>6792</v>
      </c>
      <c r="B476" s="73">
        <v>56</v>
      </c>
      <c r="C476" s="72" t="s">
        <v>899</v>
      </c>
    </row>
    <row r="477" spans="1:3" ht="13">
      <c r="A477" s="71">
        <v>6802</v>
      </c>
      <c r="B477" s="73">
        <v>66</v>
      </c>
      <c r="C477" s="72" t="s">
        <v>899</v>
      </c>
    </row>
    <row r="478" spans="1:3" ht="13">
      <c r="A478" s="71">
        <v>6804</v>
      </c>
      <c r="B478" s="73">
        <v>68</v>
      </c>
      <c r="C478" s="72" t="s">
        <v>899</v>
      </c>
    </row>
    <row r="479" spans="1:3" ht="13">
      <c r="A479" s="71">
        <v>6816</v>
      </c>
      <c r="B479" s="73">
        <v>80</v>
      </c>
      <c r="C479" s="72" t="s">
        <v>899</v>
      </c>
    </row>
    <row r="480" spans="1:3" ht="13">
      <c r="A480" s="71">
        <v>6817</v>
      </c>
      <c r="B480" s="72">
        <v>81</v>
      </c>
      <c r="C480" s="72" t="s">
        <v>899</v>
      </c>
    </row>
    <row r="481" spans="1:3" ht="13">
      <c r="A481" s="71">
        <v>6818</v>
      </c>
      <c r="B481" s="73">
        <v>82</v>
      </c>
      <c r="C481" s="72" t="s">
        <v>899</v>
      </c>
    </row>
    <row r="482" spans="1:3" ht="13">
      <c r="A482" s="71">
        <v>6820</v>
      </c>
      <c r="B482" s="73">
        <v>84</v>
      </c>
      <c r="C482" s="72" t="s">
        <v>899</v>
      </c>
    </row>
    <row r="483" spans="1:3" ht="13">
      <c r="A483" s="71">
        <v>6821</v>
      </c>
      <c r="B483" s="72">
        <v>85</v>
      </c>
      <c r="C483" s="72" t="s">
        <v>899</v>
      </c>
    </row>
    <row r="484" spans="1:3" ht="13">
      <c r="A484" s="71">
        <v>6822</v>
      </c>
      <c r="B484" s="73">
        <v>86</v>
      </c>
      <c r="C484" s="72" t="s">
        <v>899</v>
      </c>
    </row>
    <row r="485" spans="1:3" ht="13">
      <c r="A485" s="71">
        <v>6824</v>
      </c>
      <c r="B485" s="73">
        <v>88</v>
      </c>
      <c r="C485" s="72" t="s">
        <v>899</v>
      </c>
    </row>
    <row r="486" spans="1:3" ht="13">
      <c r="A486" s="71">
        <v>6827</v>
      </c>
      <c r="B486" s="72">
        <v>91</v>
      </c>
      <c r="C486" s="72" t="s">
        <v>899</v>
      </c>
    </row>
    <row r="487" spans="1:3" ht="13">
      <c r="A487" s="71">
        <v>6835</v>
      </c>
      <c r="B487" s="72">
        <v>99</v>
      </c>
      <c r="C487" s="72" t="s">
        <v>899</v>
      </c>
    </row>
    <row r="488" spans="1:3" ht="13">
      <c r="A488" s="71">
        <v>6843</v>
      </c>
      <c r="B488" s="74">
        <v>107</v>
      </c>
      <c r="C488" s="72" t="s">
        <v>899</v>
      </c>
    </row>
    <row r="489" spans="1:3" ht="13">
      <c r="A489" s="71">
        <v>6847</v>
      </c>
      <c r="B489" s="72">
        <v>111</v>
      </c>
      <c r="C489" s="72" t="s">
        <v>899</v>
      </c>
    </row>
    <row r="490" spans="1:3" ht="13">
      <c r="A490" s="71">
        <v>6851</v>
      </c>
      <c r="B490" s="72">
        <v>115</v>
      </c>
      <c r="C490" s="72" t="s">
        <v>899</v>
      </c>
    </row>
    <row r="491" spans="1:3" ht="13">
      <c r="A491" s="71">
        <v>6852</v>
      </c>
      <c r="B491" s="73">
        <v>116</v>
      </c>
      <c r="C491" s="72" t="s">
        <v>899</v>
      </c>
    </row>
    <row r="492" spans="1:3" ht="13">
      <c r="A492" s="71">
        <v>6855</v>
      </c>
      <c r="B492" s="72">
        <v>119</v>
      </c>
      <c r="C492" s="72" t="s">
        <v>899</v>
      </c>
    </row>
    <row r="493" spans="1:3" ht="13">
      <c r="A493" s="71">
        <v>6857</v>
      </c>
      <c r="B493" s="72">
        <v>121</v>
      </c>
      <c r="C493" s="72" t="s">
        <v>899</v>
      </c>
    </row>
    <row r="494" spans="1:3" ht="13">
      <c r="A494" s="71">
        <v>6858</v>
      </c>
      <c r="B494" s="73">
        <v>122</v>
      </c>
      <c r="C494" s="72" t="s">
        <v>899</v>
      </c>
    </row>
    <row r="495" spans="1:3" ht="13">
      <c r="A495" s="71">
        <v>6861</v>
      </c>
      <c r="B495" s="72">
        <v>125</v>
      </c>
      <c r="C495" s="72" t="s">
        <v>899</v>
      </c>
    </row>
    <row r="496" spans="1:3" ht="13">
      <c r="A496" s="71">
        <v>6862</v>
      </c>
      <c r="B496" s="73">
        <v>126</v>
      </c>
      <c r="C496" s="72" t="s">
        <v>899</v>
      </c>
    </row>
    <row r="497" spans="1:3" ht="13">
      <c r="A497" s="71">
        <v>6863</v>
      </c>
      <c r="B497" s="72">
        <v>127</v>
      </c>
      <c r="C497" s="72" t="s">
        <v>899</v>
      </c>
    </row>
    <row r="498" spans="1:3" ht="13">
      <c r="A498" s="71">
        <v>6864</v>
      </c>
      <c r="B498" s="73">
        <v>128</v>
      </c>
      <c r="C498" s="72" t="s">
        <v>899</v>
      </c>
    </row>
    <row r="499" spans="1:3" ht="13">
      <c r="A499" s="71">
        <v>6869</v>
      </c>
      <c r="B499" s="75">
        <v>133</v>
      </c>
      <c r="C499" s="72" t="s">
        <v>899</v>
      </c>
    </row>
    <row r="500" spans="1:3" ht="13">
      <c r="A500" s="71">
        <v>6873</v>
      </c>
      <c r="B500" s="75">
        <v>137</v>
      </c>
      <c r="C500" s="72" t="s">
        <v>899</v>
      </c>
    </row>
    <row r="501" spans="1:3" ht="13">
      <c r="A501" s="71">
        <v>6879</v>
      </c>
      <c r="B501" s="75">
        <v>143</v>
      </c>
      <c r="C501" s="72" t="s">
        <v>899</v>
      </c>
    </row>
    <row r="502" spans="1:3" ht="13">
      <c r="A502" s="71">
        <v>6880</v>
      </c>
      <c r="B502" s="77">
        <v>144</v>
      </c>
      <c r="C502" s="72" t="s">
        <v>899</v>
      </c>
    </row>
    <row r="503" spans="1:3" ht="13">
      <c r="A503" s="71">
        <v>6884</v>
      </c>
      <c r="B503" s="77">
        <v>148</v>
      </c>
      <c r="C503" s="72" t="s">
        <v>899</v>
      </c>
    </row>
    <row r="504" spans="1:3" ht="13">
      <c r="A504" s="71">
        <v>6897</v>
      </c>
      <c r="B504" s="75">
        <v>161</v>
      </c>
      <c r="C504" s="72" t="s">
        <v>899</v>
      </c>
    </row>
    <row r="505" spans="1:3" ht="13">
      <c r="A505" s="71">
        <v>9195</v>
      </c>
      <c r="B505" s="75">
        <v>354</v>
      </c>
      <c r="C505" s="72" t="s">
        <v>967</v>
      </c>
    </row>
    <row r="506" spans="1:3" ht="13">
      <c r="A506" s="71">
        <v>9202</v>
      </c>
      <c r="B506" s="77">
        <v>361</v>
      </c>
      <c r="C506" s="72" t="s">
        <v>967</v>
      </c>
    </row>
    <row r="507" spans="1:3" ht="13">
      <c r="A507" s="71">
        <v>9206</v>
      </c>
      <c r="B507" s="77">
        <v>365</v>
      </c>
      <c r="C507" s="72" t="s">
        <v>967</v>
      </c>
    </row>
    <row r="508" spans="1:3" ht="13">
      <c r="A508" s="71">
        <v>9207</v>
      </c>
      <c r="B508" s="75">
        <v>366</v>
      </c>
      <c r="C508" s="72" t="s">
        <v>967</v>
      </c>
    </row>
    <row r="509" spans="1:3" ht="13">
      <c r="A509" s="71">
        <v>9209</v>
      </c>
      <c r="B509" s="75">
        <v>368</v>
      </c>
      <c r="C509" s="72" t="s">
        <v>967</v>
      </c>
    </row>
    <row r="510" spans="1:3" ht="13">
      <c r="A510" s="71">
        <v>9215</v>
      </c>
      <c r="B510" s="75">
        <v>374</v>
      </c>
      <c r="C510" s="72" t="s">
        <v>967</v>
      </c>
    </row>
    <row r="511" spans="1:3" ht="13">
      <c r="A511" s="71">
        <v>9222</v>
      </c>
      <c r="B511" s="77">
        <v>381</v>
      </c>
      <c r="C511" s="72" t="s">
        <v>967</v>
      </c>
    </row>
    <row r="512" spans="1:3" ht="13">
      <c r="A512" s="71">
        <v>9223</v>
      </c>
      <c r="B512" s="75">
        <v>382</v>
      </c>
      <c r="C512" s="72" t="s">
        <v>967</v>
      </c>
    </row>
    <row r="513" spans="1:3" ht="13">
      <c r="A513" s="71">
        <v>9237</v>
      </c>
      <c r="B513" s="75">
        <v>396</v>
      </c>
      <c r="C513" s="72" t="s">
        <v>967</v>
      </c>
    </row>
    <row r="514" spans="1:3" ht="13">
      <c r="A514" s="71">
        <v>9239</v>
      </c>
      <c r="B514" s="75">
        <v>398</v>
      </c>
      <c r="C514" s="72" t="s">
        <v>967</v>
      </c>
    </row>
    <row r="515" spans="1:3" ht="13">
      <c r="A515" s="71">
        <v>9240</v>
      </c>
      <c r="B515" s="77">
        <v>399</v>
      </c>
      <c r="C515" s="72" t="s">
        <v>967</v>
      </c>
    </row>
    <row r="516" spans="1:3" ht="13">
      <c r="A516" s="71">
        <v>9244</v>
      </c>
      <c r="B516" s="77">
        <v>403</v>
      </c>
      <c r="C516" s="72" t="s">
        <v>967</v>
      </c>
    </row>
    <row r="517" spans="1:3" ht="13">
      <c r="A517" s="71">
        <v>9248</v>
      </c>
      <c r="B517" s="77">
        <v>407</v>
      </c>
      <c r="C517" s="72" t="s">
        <v>967</v>
      </c>
    </row>
    <row r="518" spans="1:3" ht="13">
      <c r="A518" s="71">
        <v>9250</v>
      </c>
      <c r="B518" s="77">
        <v>409</v>
      </c>
      <c r="C518" s="72" t="s">
        <v>967</v>
      </c>
    </row>
    <row r="519" spans="1:3" ht="13">
      <c r="A519" s="71">
        <v>9255</v>
      </c>
      <c r="B519" s="75">
        <v>414</v>
      </c>
      <c r="C519" s="72" t="s">
        <v>967</v>
      </c>
    </row>
    <row r="520" spans="1:3" ht="13">
      <c r="A520" s="71">
        <v>9259</v>
      </c>
      <c r="B520" s="75">
        <v>418</v>
      </c>
      <c r="C520" s="72" t="s">
        <v>967</v>
      </c>
    </row>
    <row r="521" spans="1:3" ht="13">
      <c r="A521" s="71">
        <v>9263</v>
      </c>
      <c r="B521" s="72">
        <v>1</v>
      </c>
      <c r="C521" s="72" t="s">
        <v>972</v>
      </c>
    </row>
    <row r="522" spans="1:3" ht="13">
      <c r="A522" s="71">
        <v>9264</v>
      </c>
      <c r="B522" s="73">
        <v>2</v>
      </c>
      <c r="C522" s="72" t="s">
        <v>972</v>
      </c>
    </row>
    <row r="523" spans="1:3" ht="13">
      <c r="A523" s="71">
        <v>9266</v>
      </c>
      <c r="B523" s="73">
        <v>4</v>
      </c>
      <c r="C523" s="72" t="s">
        <v>972</v>
      </c>
    </row>
    <row r="524" spans="1:3" ht="13">
      <c r="A524" s="71">
        <v>9274</v>
      </c>
      <c r="B524" s="73">
        <v>12</v>
      </c>
      <c r="C524" s="72" t="s">
        <v>972</v>
      </c>
    </row>
    <row r="525" spans="1:3" ht="13">
      <c r="A525" s="71">
        <v>9278</v>
      </c>
      <c r="B525" s="73">
        <v>16</v>
      </c>
      <c r="C525" s="72" t="s">
        <v>972</v>
      </c>
    </row>
    <row r="526" spans="1:3" ht="13">
      <c r="A526" s="71">
        <v>9279</v>
      </c>
      <c r="B526" s="72">
        <v>17</v>
      </c>
      <c r="C526" s="72" t="s">
        <v>972</v>
      </c>
    </row>
    <row r="527" spans="1:3" ht="13">
      <c r="A527" s="71">
        <v>9281</v>
      </c>
      <c r="B527" s="72">
        <v>19</v>
      </c>
      <c r="C527" s="72" t="s">
        <v>972</v>
      </c>
    </row>
    <row r="528" spans="1:3" ht="13">
      <c r="A528" s="71">
        <v>9282</v>
      </c>
      <c r="B528" s="73">
        <v>20</v>
      </c>
      <c r="C528" s="72" t="s">
        <v>972</v>
      </c>
    </row>
    <row r="529" spans="1:3" ht="13">
      <c r="A529" s="71">
        <v>9283</v>
      </c>
      <c r="B529" s="72">
        <v>21</v>
      </c>
      <c r="C529" s="72" t="s">
        <v>972</v>
      </c>
    </row>
    <row r="530" spans="1:3" ht="13">
      <c r="A530" s="71">
        <v>9286</v>
      </c>
      <c r="B530" s="73">
        <v>24</v>
      </c>
      <c r="C530" s="72" t="s">
        <v>972</v>
      </c>
    </row>
    <row r="531" spans="1:3" ht="13">
      <c r="A531" s="71">
        <v>9290</v>
      </c>
      <c r="B531" s="73">
        <v>28</v>
      </c>
      <c r="C531" s="72" t="s">
        <v>972</v>
      </c>
    </row>
    <row r="532" spans="1:3" ht="13">
      <c r="A532" s="71">
        <v>9292</v>
      </c>
      <c r="B532" s="73">
        <v>30</v>
      </c>
      <c r="C532" s="72" t="s">
        <v>972</v>
      </c>
    </row>
    <row r="533" spans="1:3" ht="13">
      <c r="A533" s="71">
        <v>9293</v>
      </c>
      <c r="B533" s="72">
        <v>31</v>
      </c>
      <c r="C533" s="72" t="s">
        <v>972</v>
      </c>
    </row>
    <row r="534" spans="1:3" ht="13">
      <c r="A534" s="71">
        <v>9311</v>
      </c>
      <c r="B534" s="72">
        <v>49</v>
      </c>
      <c r="C534" s="72" t="s">
        <v>972</v>
      </c>
    </row>
    <row r="535" spans="1:3" ht="13">
      <c r="A535" s="71">
        <v>9315</v>
      </c>
      <c r="B535" s="72">
        <v>53</v>
      </c>
      <c r="C535" s="72" t="s">
        <v>972</v>
      </c>
    </row>
    <row r="536" spans="1:3" ht="13">
      <c r="A536" s="71">
        <v>9317</v>
      </c>
      <c r="B536" s="72">
        <v>55</v>
      </c>
      <c r="C536" s="72" t="s">
        <v>972</v>
      </c>
    </row>
    <row r="537" spans="1:3" ht="13">
      <c r="A537" s="71">
        <v>9318</v>
      </c>
      <c r="B537" s="73">
        <v>56</v>
      </c>
      <c r="C537" s="72" t="s">
        <v>972</v>
      </c>
    </row>
    <row r="538" spans="1:3" ht="13">
      <c r="A538" s="71">
        <v>9319</v>
      </c>
      <c r="B538" s="72">
        <v>57</v>
      </c>
      <c r="C538" s="72" t="s">
        <v>972</v>
      </c>
    </row>
    <row r="539" spans="1:3" ht="13">
      <c r="A539" s="71">
        <v>9320</v>
      </c>
      <c r="B539" s="73">
        <v>58</v>
      </c>
      <c r="C539" s="72" t="s">
        <v>972</v>
      </c>
    </row>
    <row r="540" spans="1:3" ht="13">
      <c r="A540" s="71">
        <v>9369</v>
      </c>
      <c r="B540" s="74">
        <v>107</v>
      </c>
      <c r="C540" s="72" t="s">
        <v>972</v>
      </c>
    </row>
    <row r="541" spans="1:3" ht="13">
      <c r="A541" s="71">
        <v>9381</v>
      </c>
      <c r="B541" s="72">
        <v>119</v>
      </c>
      <c r="C541" s="72" t="s">
        <v>972</v>
      </c>
    </row>
    <row r="542" spans="1:3" ht="13">
      <c r="A542" s="71">
        <v>9382</v>
      </c>
      <c r="B542" s="73">
        <v>120</v>
      </c>
      <c r="C542" s="72" t="s">
        <v>972</v>
      </c>
    </row>
    <row r="543" spans="1:3" ht="13">
      <c r="A543" s="71">
        <v>9383</v>
      </c>
      <c r="B543" s="72">
        <v>121</v>
      </c>
      <c r="C543" s="72" t="s">
        <v>972</v>
      </c>
    </row>
    <row r="544" spans="1:3" ht="13">
      <c r="A544" s="71">
        <v>9400</v>
      </c>
      <c r="B544" s="77">
        <v>138</v>
      </c>
      <c r="C544" s="72" t="s">
        <v>972</v>
      </c>
    </row>
    <row r="545" spans="1:3" ht="13">
      <c r="A545" s="71">
        <v>9403</v>
      </c>
      <c r="B545" s="75">
        <v>141</v>
      </c>
      <c r="C545" s="72" t="s">
        <v>972</v>
      </c>
    </row>
    <row r="546" spans="1:3" ht="13">
      <c r="A546" s="71">
        <v>9407</v>
      </c>
      <c r="B546" s="75">
        <v>145</v>
      </c>
      <c r="C546" s="72" t="s">
        <v>972</v>
      </c>
    </row>
    <row r="547" spans="1:3" ht="13">
      <c r="A547" s="71">
        <v>9408</v>
      </c>
      <c r="B547" s="77">
        <v>146</v>
      </c>
      <c r="C547" s="72" t="s">
        <v>972</v>
      </c>
    </row>
    <row r="548" spans="1:3" ht="13">
      <c r="A548" s="71">
        <v>9415</v>
      </c>
      <c r="B548" s="75">
        <v>153</v>
      </c>
      <c r="C548" s="72" t="s">
        <v>972</v>
      </c>
    </row>
    <row r="549" spans="1:3" ht="13">
      <c r="A549" s="71">
        <v>9417</v>
      </c>
      <c r="B549" s="75">
        <v>155</v>
      </c>
      <c r="C549" s="72" t="s">
        <v>972</v>
      </c>
    </row>
    <row r="550" spans="1:3" ht="13">
      <c r="A550" s="71">
        <v>9422</v>
      </c>
      <c r="B550" s="77">
        <v>160</v>
      </c>
      <c r="C550" s="72" t="s">
        <v>972</v>
      </c>
    </row>
    <row r="551" spans="1:3" ht="13">
      <c r="A551" s="71">
        <v>9424</v>
      </c>
      <c r="B551" s="77">
        <v>162</v>
      </c>
      <c r="C551" s="72" t="s">
        <v>972</v>
      </c>
    </row>
    <row r="552" spans="1:3" ht="13">
      <c r="A552" s="71">
        <v>9438</v>
      </c>
      <c r="B552" s="77">
        <v>176</v>
      </c>
      <c r="C552" s="72" t="s">
        <v>972</v>
      </c>
    </row>
    <row r="553" spans="1:3" ht="13">
      <c r="A553" s="71">
        <v>9443</v>
      </c>
      <c r="B553" s="72" t="s">
        <v>721</v>
      </c>
      <c r="C553" s="72" t="s">
        <v>972</v>
      </c>
    </row>
    <row r="554" spans="1:3" ht="13">
      <c r="A554" s="71">
        <v>9448</v>
      </c>
      <c r="B554" s="73" t="s">
        <v>982</v>
      </c>
      <c r="C554" s="72" t="s">
        <v>972</v>
      </c>
    </row>
    <row r="555" spans="1:3" ht="13">
      <c r="A555" s="71">
        <v>9451</v>
      </c>
      <c r="B555" s="72" t="s">
        <v>983</v>
      </c>
      <c r="C555" s="72" t="s">
        <v>972</v>
      </c>
    </row>
    <row r="556" spans="1:3" ht="13">
      <c r="A556" s="71">
        <v>9453</v>
      </c>
      <c r="B556" s="72" t="s">
        <v>724</v>
      </c>
      <c r="C556" s="72" t="s">
        <v>972</v>
      </c>
    </row>
    <row r="557" spans="1:3" ht="13">
      <c r="A557" s="71">
        <v>9568</v>
      </c>
      <c r="B557" s="73" t="s">
        <v>727</v>
      </c>
      <c r="C557" s="72" t="s">
        <v>972</v>
      </c>
    </row>
    <row r="558" spans="1:3" ht="13">
      <c r="A558" s="71">
        <v>9571</v>
      </c>
      <c r="B558" s="72" t="s">
        <v>984</v>
      </c>
      <c r="C558" s="72" t="s">
        <v>972</v>
      </c>
    </row>
    <row r="559" spans="1:3" ht="13">
      <c r="A559" s="71">
        <v>9586</v>
      </c>
      <c r="B559" s="73" t="s">
        <v>748</v>
      </c>
      <c r="C559" s="72" t="s">
        <v>972</v>
      </c>
    </row>
    <row r="560" spans="1:3" ht="13">
      <c r="A560" s="71">
        <v>9643</v>
      </c>
      <c r="B560" s="72" t="s">
        <v>754</v>
      </c>
      <c r="C560" s="72" t="s">
        <v>972</v>
      </c>
    </row>
    <row r="561" spans="1:3" ht="13">
      <c r="A561" s="71">
        <v>9647</v>
      </c>
      <c r="B561" s="72" t="s">
        <v>985</v>
      </c>
      <c r="C561" s="72" t="s">
        <v>972</v>
      </c>
    </row>
    <row r="562" spans="1:3" ht="13">
      <c r="A562" s="71">
        <v>9665</v>
      </c>
      <c r="B562" s="72" t="s">
        <v>986</v>
      </c>
      <c r="C562" s="72" t="s">
        <v>972</v>
      </c>
    </row>
    <row r="563" spans="1:3" ht="13">
      <c r="A563" s="71">
        <v>9713</v>
      </c>
      <c r="B563" s="72" t="s">
        <v>813</v>
      </c>
      <c r="C563" s="72" t="s">
        <v>972</v>
      </c>
    </row>
    <row r="564" spans="1:3" ht="13">
      <c r="A564" s="71">
        <v>9736</v>
      </c>
      <c r="B564" s="73" t="s">
        <v>987</v>
      </c>
      <c r="C564" s="72" t="s">
        <v>972</v>
      </c>
    </row>
    <row r="565" spans="1:3" ht="13">
      <c r="A565" s="71">
        <v>9776</v>
      </c>
      <c r="B565" s="73" t="s">
        <v>784</v>
      </c>
      <c r="C565" s="72" t="s">
        <v>972</v>
      </c>
    </row>
    <row r="566" spans="1:3" ht="13">
      <c r="A566" s="71">
        <v>9798</v>
      </c>
      <c r="B566" s="73" t="s">
        <v>990</v>
      </c>
      <c r="C566" s="72" t="s">
        <v>972</v>
      </c>
    </row>
    <row r="567" spans="1:3" ht="13">
      <c r="A567" s="71">
        <v>9803</v>
      </c>
      <c r="B567" s="72" t="s">
        <v>991</v>
      </c>
      <c r="C567" s="72" t="s">
        <v>972</v>
      </c>
    </row>
    <row r="568" spans="1:3" ht="13">
      <c r="A568" s="71">
        <v>9854</v>
      </c>
      <c r="B568" s="73" t="s">
        <v>992</v>
      </c>
      <c r="C568" s="72" t="s">
        <v>972</v>
      </c>
    </row>
    <row r="569" spans="1:3" ht="13">
      <c r="A569" s="71">
        <v>9865</v>
      </c>
      <c r="B569" s="75">
        <v>182</v>
      </c>
      <c r="C569" s="72" t="s">
        <v>972</v>
      </c>
    </row>
    <row r="570" spans="1:3" ht="13">
      <c r="A570" s="71">
        <v>9868</v>
      </c>
      <c r="B570" s="77">
        <v>185</v>
      </c>
      <c r="C570" s="72" t="s">
        <v>972</v>
      </c>
    </row>
    <row r="571" spans="1:3" ht="13">
      <c r="A571" s="71">
        <v>9870</v>
      </c>
      <c r="B571" s="77">
        <v>187</v>
      </c>
      <c r="C571" s="72" t="s">
        <v>972</v>
      </c>
    </row>
    <row r="572" spans="1:3" ht="13">
      <c r="A572" s="71">
        <v>9932</v>
      </c>
      <c r="B572" s="77">
        <v>249</v>
      </c>
      <c r="C572" s="72" t="s">
        <v>972</v>
      </c>
    </row>
    <row r="573" spans="1:3" ht="13">
      <c r="A573" s="71">
        <v>9954</v>
      </c>
      <c r="B573" s="77">
        <v>271</v>
      </c>
      <c r="C573" s="72" t="s">
        <v>972</v>
      </c>
    </row>
    <row r="574" spans="1:3" ht="13">
      <c r="A574" s="71">
        <v>10032</v>
      </c>
      <c r="B574" s="77">
        <v>349</v>
      </c>
      <c r="C574" s="72" t="s">
        <v>972</v>
      </c>
    </row>
    <row r="575" spans="1:3" ht="13">
      <c r="A575" s="71">
        <v>10107</v>
      </c>
      <c r="B575" s="72">
        <v>3</v>
      </c>
      <c r="C575" s="72" t="s">
        <v>995</v>
      </c>
    </row>
    <row r="576" spans="1:3" ht="13">
      <c r="A576" s="71">
        <v>10109</v>
      </c>
      <c r="B576" s="72">
        <v>5</v>
      </c>
      <c r="C576" s="72" t="s">
        <v>995</v>
      </c>
    </row>
    <row r="577" spans="1:3" ht="13">
      <c r="A577" s="71">
        <v>10110</v>
      </c>
      <c r="B577" s="73">
        <v>6</v>
      </c>
      <c r="C577" s="72" t="s">
        <v>995</v>
      </c>
    </row>
    <row r="578" spans="1:3" ht="13">
      <c r="A578" s="71">
        <v>10111</v>
      </c>
      <c r="B578" s="72">
        <v>7</v>
      </c>
      <c r="C578" s="72" t="s">
        <v>995</v>
      </c>
    </row>
    <row r="579" spans="1:3" ht="13">
      <c r="A579" s="71">
        <v>10112</v>
      </c>
      <c r="B579" s="73">
        <v>8</v>
      </c>
      <c r="C579" s="72" t="s">
        <v>995</v>
      </c>
    </row>
    <row r="580" spans="1:3" ht="13">
      <c r="A580" s="71">
        <v>10119</v>
      </c>
      <c r="B580" s="72">
        <v>15</v>
      </c>
      <c r="C580" s="72" t="s">
        <v>995</v>
      </c>
    </row>
    <row r="581" spans="1:3" ht="13">
      <c r="A581" s="71">
        <v>10121</v>
      </c>
      <c r="B581" s="72">
        <v>17</v>
      </c>
      <c r="C581" s="72" t="s">
        <v>995</v>
      </c>
    </row>
    <row r="582" spans="1:3" ht="13">
      <c r="A582" s="71">
        <v>10123</v>
      </c>
      <c r="B582" s="72">
        <v>19</v>
      </c>
      <c r="C582" s="72" t="s">
        <v>995</v>
      </c>
    </row>
    <row r="583" spans="1:3" ht="13">
      <c r="A583" s="71">
        <v>10124</v>
      </c>
      <c r="B583" s="73">
        <v>20</v>
      </c>
      <c r="C583" s="72" t="s">
        <v>995</v>
      </c>
    </row>
    <row r="584" spans="1:3" ht="13">
      <c r="A584" s="71">
        <v>10128</v>
      </c>
      <c r="B584" s="73">
        <v>24</v>
      </c>
      <c r="C584" s="72" t="s">
        <v>995</v>
      </c>
    </row>
    <row r="585" spans="1:3" ht="13">
      <c r="A585" s="71">
        <v>10130</v>
      </c>
      <c r="B585" s="73">
        <v>26</v>
      </c>
      <c r="C585" s="72" t="s">
        <v>995</v>
      </c>
    </row>
    <row r="586" spans="1:3" ht="13">
      <c r="A586" s="71">
        <v>10131</v>
      </c>
      <c r="B586" s="72">
        <v>27</v>
      </c>
      <c r="C586" s="72" t="s">
        <v>995</v>
      </c>
    </row>
    <row r="587" spans="1:3" ht="13">
      <c r="A587" s="71">
        <v>10132</v>
      </c>
      <c r="B587" s="73">
        <v>28</v>
      </c>
      <c r="C587" s="72" t="s">
        <v>995</v>
      </c>
    </row>
    <row r="588" spans="1:3" ht="13">
      <c r="A588" s="71">
        <v>10134</v>
      </c>
      <c r="B588" s="73">
        <v>30</v>
      </c>
      <c r="C588" s="72" t="s">
        <v>995</v>
      </c>
    </row>
    <row r="589" spans="1:3" ht="13">
      <c r="A589" s="71">
        <v>10135</v>
      </c>
      <c r="B589" s="72">
        <v>31</v>
      </c>
      <c r="C589" s="72" t="s">
        <v>995</v>
      </c>
    </row>
    <row r="590" spans="1:3" ht="13">
      <c r="A590" s="71">
        <v>10136</v>
      </c>
      <c r="B590" s="73">
        <v>32</v>
      </c>
      <c r="C590" s="72" t="s">
        <v>995</v>
      </c>
    </row>
    <row r="591" spans="1:3" ht="13">
      <c r="A591" s="71">
        <v>10141</v>
      </c>
      <c r="B591" s="72">
        <v>37</v>
      </c>
      <c r="C591" s="72" t="s">
        <v>995</v>
      </c>
    </row>
    <row r="592" spans="1:3" ht="13">
      <c r="A592" s="71">
        <v>10147</v>
      </c>
      <c r="B592" s="72">
        <v>43</v>
      </c>
      <c r="C592" s="72" t="s">
        <v>995</v>
      </c>
    </row>
    <row r="593" spans="1:3" ht="13">
      <c r="A593" s="71">
        <v>10148</v>
      </c>
      <c r="B593" s="73">
        <v>44</v>
      </c>
      <c r="C593" s="72" t="s">
        <v>995</v>
      </c>
    </row>
    <row r="594" spans="1:3" ht="13">
      <c r="A594" s="71">
        <v>10149</v>
      </c>
      <c r="B594" s="72">
        <v>45</v>
      </c>
      <c r="C594" s="72" t="s">
        <v>995</v>
      </c>
    </row>
    <row r="595" spans="1:3" ht="13">
      <c r="A595" s="71">
        <v>10150</v>
      </c>
      <c r="B595" s="73">
        <v>46</v>
      </c>
      <c r="C595" s="72" t="s">
        <v>995</v>
      </c>
    </row>
    <row r="596" spans="1:3" ht="13">
      <c r="A596" s="71">
        <v>10151</v>
      </c>
      <c r="B596" s="72">
        <v>47</v>
      </c>
      <c r="C596" s="72" t="s">
        <v>995</v>
      </c>
    </row>
    <row r="597" spans="1:3" ht="13">
      <c r="A597" s="71">
        <v>10157</v>
      </c>
      <c r="B597" s="72">
        <v>53</v>
      </c>
      <c r="C597" s="72" t="s">
        <v>995</v>
      </c>
    </row>
    <row r="598" spans="1:3" ht="13">
      <c r="A598" s="71">
        <v>10159</v>
      </c>
      <c r="B598" s="72">
        <v>55</v>
      </c>
      <c r="C598" s="72" t="s">
        <v>995</v>
      </c>
    </row>
    <row r="599" spans="1:3" ht="13">
      <c r="A599" s="71">
        <v>10160</v>
      </c>
      <c r="B599" s="73">
        <v>56</v>
      </c>
      <c r="C599" s="72" t="s">
        <v>995</v>
      </c>
    </row>
    <row r="600" spans="1:3" ht="13">
      <c r="A600" s="71">
        <v>10162</v>
      </c>
      <c r="B600" s="73">
        <v>58</v>
      </c>
      <c r="C600" s="72" t="s">
        <v>995</v>
      </c>
    </row>
    <row r="601" spans="1:3" ht="13">
      <c r="A601" s="71">
        <v>10163</v>
      </c>
      <c r="B601" s="72">
        <v>59</v>
      </c>
      <c r="C601" s="72" t="s">
        <v>995</v>
      </c>
    </row>
    <row r="602" spans="1:3" ht="13">
      <c r="A602" s="71">
        <v>10166</v>
      </c>
      <c r="B602" s="73">
        <v>62</v>
      </c>
      <c r="C602" s="72" t="s">
        <v>995</v>
      </c>
    </row>
    <row r="603" spans="1:3" ht="13">
      <c r="A603" s="71">
        <v>10167</v>
      </c>
      <c r="B603" s="72">
        <v>63</v>
      </c>
      <c r="C603" s="72" t="s">
        <v>995</v>
      </c>
    </row>
    <row r="604" spans="1:3" ht="13">
      <c r="A604" s="71">
        <v>10168</v>
      </c>
      <c r="B604" s="73">
        <v>64</v>
      </c>
      <c r="C604" s="72" t="s">
        <v>995</v>
      </c>
    </row>
    <row r="605" spans="1:3" ht="13">
      <c r="A605" s="71">
        <v>10171</v>
      </c>
      <c r="B605" s="72">
        <v>67</v>
      </c>
      <c r="C605" s="72" t="s">
        <v>995</v>
      </c>
    </row>
    <row r="606" spans="1:3" ht="13">
      <c r="A606" s="71">
        <v>10186</v>
      </c>
      <c r="B606" s="73">
        <v>82</v>
      </c>
      <c r="C606" s="72" t="s">
        <v>995</v>
      </c>
    </row>
    <row r="607" spans="1:3" ht="13">
      <c r="A607" s="71">
        <v>10187</v>
      </c>
      <c r="B607" s="72">
        <v>83</v>
      </c>
      <c r="C607" s="72" t="s">
        <v>995</v>
      </c>
    </row>
    <row r="608" spans="1:3" ht="13">
      <c r="A608" s="71">
        <v>10188</v>
      </c>
      <c r="B608" s="73">
        <v>84</v>
      </c>
      <c r="C608" s="72" t="s">
        <v>995</v>
      </c>
    </row>
    <row r="609" spans="1:3" ht="13">
      <c r="A609" s="71">
        <v>10189</v>
      </c>
      <c r="B609" s="72">
        <v>85</v>
      </c>
      <c r="C609" s="72" t="s">
        <v>995</v>
      </c>
    </row>
    <row r="610" spans="1:3" ht="13">
      <c r="A610" s="71">
        <v>10190</v>
      </c>
      <c r="B610" s="73">
        <v>86</v>
      </c>
      <c r="C610" s="72" t="s">
        <v>995</v>
      </c>
    </row>
    <row r="611" spans="1:3" ht="13">
      <c r="A611" s="71">
        <v>10192</v>
      </c>
      <c r="B611" s="73">
        <v>88</v>
      </c>
      <c r="C611" s="72" t="s">
        <v>995</v>
      </c>
    </row>
    <row r="612" spans="1:3" ht="13">
      <c r="A612" s="71">
        <v>10194</v>
      </c>
      <c r="B612" s="73">
        <v>90</v>
      </c>
      <c r="C612" s="72" t="s">
        <v>995</v>
      </c>
    </row>
    <row r="613" spans="1:3" ht="13">
      <c r="A613" s="71">
        <v>10195</v>
      </c>
      <c r="B613" s="72">
        <v>91</v>
      </c>
      <c r="C613" s="72" t="s">
        <v>995</v>
      </c>
    </row>
    <row r="614" spans="1:3" ht="13">
      <c r="A614" s="71">
        <v>10196</v>
      </c>
      <c r="B614" s="73">
        <v>92</v>
      </c>
      <c r="C614" s="72" t="s">
        <v>995</v>
      </c>
    </row>
    <row r="615" spans="1:3" ht="13">
      <c r="A615" s="71">
        <v>10198</v>
      </c>
      <c r="B615" s="73">
        <v>94</v>
      </c>
      <c r="C615" s="72" t="s">
        <v>995</v>
      </c>
    </row>
    <row r="616" spans="1:3" ht="13">
      <c r="A616" s="71">
        <v>10202</v>
      </c>
      <c r="B616" s="73">
        <v>98</v>
      </c>
      <c r="C616" s="72" t="s">
        <v>995</v>
      </c>
    </row>
    <row r="617" spans="1:3" ht="13">
      <c r="A617" s="71">
        <v>10203</v>
      </c>
      <c r="B617" s="72">
        <v>99</v>
      </c>
      <c r="C617" s="72" t="s">
        <v>995</v>
      </c>
    </row>
    <row r="618" spans="1:3" ht="13">
      <c r="A618" s="71">
        <v>10211</v>
      </c>
      <c r="B618" s="74">
        <v>107</v>
      </c>
      <c r="C618" s="72" t="s">
        <v>995</v>
      </c>
    </row>
    <row r="619" spans="1:3" ht="13">
      <c r="A619" s="71">
        <v>10220</v>
      </c>
      <c r="B619" s="73">
        <v>116</v>
      </c>
      <c r="C619" s="72" t="s">
        <v>995</v>
      </c>
    </row>
    <row r="620" spans="1:3" ht="13">
      <c r="A620" s="71">
        <v>10223</v>
      </c>
      <c r="B620" s="72">
        <v>119</v>
      </c>
      <c r="C620" s="72" t="s">
        <v>995</v>
      </c>
    </row>
    <row r="621" spans="1:3" ht="13">
      <c r="A621" s="71">
        <v>10224</v>
      </c>
      <c r="B621" s="73">
        <v>120</v>
      </c>
      <c r="C621" s="72" t="s">
        <v>995</v>
      </c>
    </row>
    <row r="622" spans="1:3" ht="13">
      <c r="A622" s="71">
        <v>10226</v>
      </c>
      <c r="B622" s="73">
        <v>122</v>
      </c>
      <c r="C622" s="72" t="s">
        <v>995</v>
      </c>
    </row>
    <row r="623" spans="1:3" ht="13">
      <c r="A623" s="71">
        <v>10229</v>
      </c>
      <c r="B623" s="72">
        <v>125</v>
      </c>
      <c r="C623" s="72" t="s">
        <v>995</v>
      </c>
    </row>
    <row r="624" spans="1:3" ht="13">
      <c r="A624" s="71">
        <v>10230</v>
      </c>
      <c r="B624" s="73">
        <v>126</v>
      </c>
      <c r="C624" s="72" t="s">
        <v>995</v>
      </c>
    </row>
    <row r="625" spans="1:3" ht="13">
      <c r="A625" s="71">
        <v>10231</v>
      </c>
      <c r="B625" s="72">
        <v>127</v>
      </c>
      <c r="C625" s="72" t="s">
        <v>995</v>
      </c>
    </row>
    <row r="626" spans="1:3" ht="13">
      <c r="A626" s="71">
        <v>10232</v>
      </c>
      <c r="B626" s="73">
        <v>128</v>
      </c>
      <c r="C626" s="72" t="s">
        <v>995</v>
      </c>
    </row>
    <row r="627" spans="1:3" ht="13">
      <c r="A627" s="71">
        <v>10237</v>
      </c>
      <c r="B627" s="75">
        <v>133</v>
      </c>
      <c r="C627" s="72" t="s">
        <v>995</v>
      </c>
    </row>
    <row r="628" spans="1:3" ht="13">
      <c r="A628" s="71">
        <v>10240</v>
      </c>
      <c r="B628" s="77">
        <v>136</v>
      </c>
      <c r="C628" s="72" t="s">
        <v>995</v>
      </c>
    </row>
    <row r="629" spans="1:3" ht="13">
      <c r="A629" s="71">
        <v>10247</v>
      </c>
      <c r="B629" s="75">
        <v>143</v>
      </c>
      <c r="C629" s="72" t="s">
        <v>995</v>
      </c>
    </row>
    <row r="630" spans="1:3" ht="13">
      <c r="A630" s="71">
        <v>10248</v>
      </c>
      <c r="B630" s="77">
        <v>144</v>
      </c>
      <c r="C630" s="72" t="s">
        <v>995</v>
      </c>
    </row>
    <row r="631" spans="1:3" ht="13">
      <c r="A631" s="71">
        <v>10252</v>
      </c>
      <c r="B631" s="77">
        <v>148</v>
      </c>
      <c r="C631" s="72" t="s">
        <v>995</v>
      </c>
    </row>
    <row r="632" spans="1:3" ht="13">
      <c r="A632" s="71">
        <v>10254</v>
      </c>
      <c r="B632" s="77">
        <v>150</v>
      </c>
      <c r="C632" s="72" t="s">
        <v>995</v>
      </c>
    </row>
    <row r="633" spans="1:3" ht="13">
      <c r="A633" s="71">
        <v>10269</v>
      </c>
      <c r="B633" s="75">
        <v>165</v>
      </c>
      <c r="C633" s="72" t="s">
        <v>995</v>
      </c>
    </row>
    <row r="634" spans="1:3" ht="13">
      <c r="A634" s="71">
        <v>10276</v>
      </c>
      <c r="B634" s="77">
        <v>172</v>
      </c>
      <c r="C634" s="72" t="s">
        <v>995</v>
      </c>
    </row>
    <row r="635" spans="1:3" ht="13">
      <c r="A635" s="71">
        <v>10285</v>
      </c>
      <c r="B635" s="72" t="s">
        <v>721</v>
      </c>
      <c r="C635" s="72" t="s">
        <v>995</v>
      </c>
    </row>
    <row r="636" spans="1:3" ht="13">
      <c r="A636" s="71">
        <v>10290</v>
      </c>
      <c r="B636" s="73" t="s">
        <v>982</v>
      </c>
      <c r="C636" s="72" t="s">
        <v>995</v>
      </c>
    </row>
    <row r="637" spans="1:3" ht="13">
      <c r="A637" s="71">
        <v>10293</v>
      </c>
      <c r="B637" s="72" t="s">
        <v>983</v>
      </c>
      <c r="C637" s="72" t="s">
        <v>995</v>
      </c>
    </row>
    <row r="638" spans="1:3" ht="13">
      <c r="A638" s="71">
        <v>10316</v>
      </c>
      <c r="B638" s="73" t="s">
        <v>694</v>
      </c>
      <c r="C638" s="72" t="s">
        <v>995</v>
      </c>
    </row>
    <row r="639" spans="1:3" ht="13">
      <c r="A639" s="71">
        <v>10396</v>
      </c>
      <c r="B639" s="73" t="s">
        <v>1016</v>
      </c>
      <c r="C639" s="72" t="s">
        <v>995</v>
      </c>
    </row>
    <row r="640" spans="1:3" ht="13">
      <c r="A640" s="71">
        <v>10410</v>
      </c>
      <c r="B640" s="73" t="s">
        <v>727</v>
      </c>
      <c r="C640" s="72" t="s">
        <v>995</v>
      </c>
    </row>
    <row r="641" spans="1:3" ht="13">
      <c r="A641" s="71">
        <v>10413</v>
      </c>
      <c r="B641" s="72" t="s">
        <v>984</v>
      </c>
      <c r="C641" s="72" t="s">
        <v>995</v>
      </c>
    </row>
    <row r="642" spans="1:3" ht="13">
      <c r="A642" s="71">
        <v>10418</v>
      </c>
      <c r="B642" s="73" t="s">
        <v>746</v>
      </c>
      <c r="C642" s="72" t="s">
        <v>995</v>
      </c>
    </row>
    <row r="643" spans="1:3" ht="13">
      <c r="A643" s="71">
        <v>10501</v>
      </c>
      <c r="B643" s="72" t="s">
        <v>1018</v>
      </c>
      <c r="C643" s="72" t="s">
        <v>995</v>
      </c>
    </row>
    <row r="644" spans="1:3" ht="13">
      <c r="A644" s="71">
        <v>10518</v>
      </c>
      <c r="B644" s="73" t="s">
        <v>761</v>
      </c>
      <c r="C644" s="72" t="s">
        <v>995</v>
      </c>
    </row>
    <row r="645" spans="1:3" ht="13">
      <c r="A645" s="71">
        <v>10640</v>
      </c>
      <c r="B645" s="73" t="s">
        <v>990</v>
      </c>
      <c r="C645" s="72" t="s">
        <v>995</v>
      </c>
    </row>
    <row r="646" spans="1:3" ht="13">
      <c r="A646" s="71">
        <v>10696</v>
      </c>
      <c r="B646" s="73" t="s">
        <v>992</v>
      </c>
      <c r="C646" s="72" t="s">
        <v>995</v>
      </c>
    </row>
    <row r="647" spans="1:3" ht="13">
      <c r="A647" s="71">
        <v>10874</v>
      </c>
      <c r="B647" s="77">
        <v>349</v>
      </c>
      <c r="C647" s="72" t="s">
        <v>995</v>
      </c>
    </row>
    <row r="648" spans="1:3" ht="13">
      <c r="A648" s="71">
        <v>10947</v>
      </c>
      <c r="B648" s="72">
        <v>1</v>
      </c>
      <c r="C648" s="72" t="s">
        <v>1023</v>
      </c>
    </row>
    <row r="649" spans="1:3" ht="13">
      <c r="A649" s="71">
        <v>10949</v>
      </c>
      <c r="B649" s="72">
        <v>3</v>
      </c>
      <c r="C649" s="72" t="s">
        <v>1023</v>
      </c>
    </row>
    <row r="650" spans="1:3" ht="13">
      <c r="A650" s="71">
        <v>10951</v>
      </c>
      <c r="B650" s="72">
        <v>5</v>
      </c>
      <c r="C650" s="72" t="s">
        <v>1023</v>
      </c>
    </row>
    <row r="651" spans="1:3" ht="13">
      <c r="A651" s="71">
        <v>10952</v>
      </c>
      <c r="B651" s="73">
        <v>6</v>
      </c>
      <c r="C651" s="72" t="s">
        <v>1023</v>
      </c>
    </row>
    <row r="652" spans="1:3" ht="13">
      <c r="A652" s="71">
        <v>10953</v>
      </c>
      <c r="B652" s="72">
        <v>7</v>
      </c>
      <c r="C652" s="72" t="s">
        <v>1023</v>
      </c>
    </row>
    <row r="653" spans="1:3" ht="13">
      <c r="A653" s="71">
        <v>10954</v>
      </c>
      <c r="B653" s="73">
        <v>8</v>
      </c>
      <c r="C653" s="72" t="s">
        <v>1023</v>
      </c>
    </row>
    <row r="654" spans="1:3" ht="13">
      <c r="A654" s="71">
        <v>10956</v>
      </c>
      <c r="B654" s="73">
        <v>10</v>
      </c>
      <c r="C654" s="72" t="s">
        <v>1023</v>
      </c>
    </row>
    <row r="655" spans="1:3" ht="13">
      <c r="A655" s="71">
        <v>10957</v>
      </c>
      <c r="B655" s="72">
        <v>11</v>
      </c>
      <c r="C655" s="72" t="s">
        <v>1023</v>
      </c>
    </row>
    <row r="656" spans="1:3" ht="13">
      <c r="A656" s="71">
        <v>10958</v>
      </c>
      <c r="B656" s="73">
        <v>12</v>
      </c>
      <c r="C656" s="72" t="s">
        <v>1023</v>
      </c>
    </row>
    <row r="657" spans="1:3" ht="13">
      <c r="A657" s="71">
        <v>10959</v>
      </c>
      <c r="B657" s="72">
        <v>13</v>
      </c>
      <c r="C657" s="72" t="s">
        <v>1023</v>
      </c>
    </row>
    <row r="658" spans="1:3" ht="13">
      <c r="A658" s="71">
        <v>10961</v>
      </c>
      <c r="B658" s="72">
        <v>15</v>
      </c>
      <c r="C658" s="72" t="s">
        <v>1023</v>
      </c>
    </row>
    <row r="659" spans="1:3" ht="13">
      <c r="A659" s="71">
        <v>10962</v>
      </c>
      <c r="B659" s="73">
        <v>16</v>
      </c>
      <c r="C659" s="72" t="s">
        <v>1023</v>
      </c>
    </row>
    <row r="660" spans="1:3" ht="13">
      <c r="A660" s="71">
        <v>10966</v>
      </c>
      <c r="B660" s="73">
        <v>20</v>
      </c>
      <c r="C660" s="72" t="s">
        <v>1023</v>
      </c>
    </row>
    <row r="661" spans="1:3" ht="13">
      <c r="A661" s="71">
        <v>10969</v>
      </c>
      <c r="B661" s="72">
        <v>23</v>
      </c>
      <c r="C661" s="72" t="s">
        <v>1023</v>
      </c>
    </row>
    <row r="662" spans="1:3" ht="13">
      <c r="A662" s="71">
        <v>10971</v>
      </c>
      <c r="B662" s="72">
        <v>25</v>
      </c>
      <c r="C662" s="72" t="s">
        <v>1023</v>
      </c>
    </row>
    <row r="663" spans="1:3" ht="13">
      <c r="A663" s="71">
        <v>10973</v>
      </c>
      <c r="B663" s="72">
        <v>27</v>
      </c>
      <c r="C663" s="72" t="s">
        <v>1023</v>
      </c>
    </row>
    <row r="664" spans="1:3" ht="13">
      <c r="A664" s="71">
        <v>10975</v>
      </c>
      <c r="B664" s="72">
        <v>29</v>
      </c>
      <c r="C664" s="72" t="s">
        <v>1023</v>
      </c>
    </row>
    <row r="665" spans="1:3" ht="13">
      <c r="A665" s="71">
        <v>10976</v>
      </c>
      <c r="B665" s="73">
        <v>30</v>
      </c>
      <c r="C665" s="72" t="s">
        <v>1023</v>
      </c>
    </row>
    <row r="666" spans="1:3" ht="13">
      <c r="A666" s="71">
        <v>10978</v>
      </c>
      <c r="B666" s="73">
        <v>32</v>
      </c>
      <c r="C666" s="72" t="s">
        <v>1023</v>
      </c>
    </row>
    <row r="667" spans="1:3" ht="13">
      <c r="A667" s="71">
        <v>10999</v>
      </c>
      <c r="B667" s="72">
        <v>53</v>
      </c>
      <c r="C667" s="72" t="s">
        <v>1023</v>
      </c>
    </row>
    <row r="668" spans="1:3" ht="13">
      <c r="A668" s="71">
        <v>11004</v>
      </c>
      <c r="B668" s="73">
        <v>58</v>
      </c>
      <c r="C668" s="72" t="s">
        <v>1023</v>
      </c>
    </row>
    <row r="669" spans="1:3" ht="13">
      <c r="A669" s="71">
        <v>11005</v>
      </c>
      <c r="B669" s="72">
        <v>59</v>
      </c>
      <c r="C669" s="72" t="s">
        <v>1023</v>
      </c>
    </row>
    <row r="670" spans="1:3" ht="13">
      <c r="A670" s="71">
        <v>11014</v>
      </c>
      <c r="B670" s="73">
        <v>68</v>
      </c>
      <c r="C670" s="72" t="s">
        <v>1023</v>
      </c>
    </row>
    <row r="671" spans="1:3" ht="13">
      <c r="A671" s="71">
        <v>11016</v>
      </c>
      <c r="B671" s="73">
        <v>70</v>
      </c>
      <c r="C671" s="72" t="s">
        <v>1023</v>
      </c>
    </row>
    <row r="672" spans="1:3" ht="13">
      <c r="A672" s="71">
        <v>11019</v>
      </c>
      <c r="B672" s="72">
        <v>73</v>
      </c>
      <c r="C672" s="72" t="s">
        <v>1023</v>
      </c>
    </row>
    <row r="673" spans="1:3" ht="13">
      <c r="A673" s="71">
        <v>11026</v>
      </c>
      <c r="B673" s="73">
        <v>80</v>
      </c>
      <c r="C673" s="72" t="s">
        <v>1023</v>
      </c>
    </row>
    <row r="674" spans="1:3" ht="13">
      <c r="A674" s="71">
        <v>11028</v>
      </c>
      <c r="B674" s="73">
        <v>82</v>
      </c>
      <c r="C674" s="72" t="s">
        <v>1023</v>
      </c>
    </row>
    <row r="675" spans="1:3" ht="13">
      <c r="A675" s="71">
        <v>11032</v>
      </c>
      <c r="B675" s="73">
        <v>86</v>
      </c>
      <c r="C675" s="72" t="s">
        <v>1023</v>
      </c>
    </row>
    <row r="676" spans="1:3" ht="13">
      <c r="A676" s="71">
        <v>11033</v>
      </c>
      <c r="B676" s="72">
        <v>87</v>
      </c>
      <c r="C676" s="72" t="s">
        <v>1023</v>
      </c>
    </row>
    <row r="677" spans="1:3" ht="13">
      <c r="A677" s="71">
        <v>11069</v>
      </c>
      <c r="B677" s="72">
        <v>123</v>
      </c>
      <c r="C677" s="72" t="s">
        <v>1023</v>
      </c>
    </row>
    <row r="678" spans="1:3" ht="13">
      <c r="A678" s="71">
        <v>11072</v>
      </c>
      <c r="B678" s="73">
        <v>126</v>
      </c>
      <c r="C678" s="72" t="s">
        <v>1023</v>
      </c>
    </row>
    <row r="679" spans="1:3" ht="13">
      <c r="A679" s="71">
        <v>11074</v>
      </c>
      <c r="B679" s="73">
        <v>128</v>
      </c>
      <c r="C679" s="72" t="s">
        <v>1023</v>
      </c>
    </row>
    <row r="680" spans="1:3" ht="13">
      <c r="A680" s="71">
        <v>11083</v>
      </c>
      <c r="B680" s="75">
        <v>137</v>
      </c>
      <c r="C680" s="72" t="s">
        <v>1023</v>
      </c>
    </row>
    <row r="681" spans="1:3" ht="13">
      <c r="A681" s="71">
        <v>11084</v>
      </c>
      <c r="B681" s="77">
        <v>138</v>
      </c>
      <c r="C681" s="72" t="s">
        <v>1023</v>
      </c>
    </row>
    <row r="682" spans="1:3" ht="13">
      <c r="A682" s="71">
        <v>11085</v>
      </c>
      <c r="B682" s="75">
        <v>139</v>
      </c>
      <c r="C682" s="72" t="s">
        <v>1023</v>
      </c>
    </row>
    <row r="683" spans="1:3" ht="13">
      <c r="A683" s="71">
        <v>11086</v>
      </c>
      <c r="B683" s="77">
        <v>140</v>
      </c>
      <c r="C683" s="72" t="s">
        <v>1023</v>
      </c>
    </row>
    <row r="684" spans="1:3" ht="13">
      <c r="A684" s="71">
        <v>11087</v>
      </c>
      <c r="B684" s="75">
        <v>141</v>
      </c>
      <c r="C684" s="72" t="s">
        <v>1023</v>
      </c>
    </row>
    <row r="685" spans="1:3" ht="13">
      <c r="A685" s="71">
        <v>11090</v>
      </c>
      <c r="B685" s="77">
        <v>144</v>
      </c>
      <c r="C685" s="72" t="s">
        <v>1023</v>
      </c>
    </row>
    <row r="686" spans="1:3" ht="13">
      <c r="A686" s="71">
        <v>11093</v>
      </c>
      <c r="B686" s="75">
        <v>147</v>
      </c>
      <c r="C686" s="72" t="s">
        <v>1023</v>
      </c>
    </row>
    <row r="687" spans="1:3" ht="13">
      <c r="A687" s="71">
        <v>11094</v>
      </c>
      <c r="B687" s="77">
        <v>148</v>
      </c>
      <c r="C687" s="72" t="s">
        <v>1023</v>
      </c>
    </row>
    <row r="688" spans="1:3" ht="13">
      <c r="A688" s="71">
        <v>11095</v>
      </c>
      <c r="B688" s="75">
        <v>149</v>
      </c>
      <c r="C688" s="72" t="s">
        <v>1023</v>
      </c>
    </row>
    <row r="689" spans="1:3" ht="13">
      <c r="A689" s="71">
        <v>11096</v>
      </c>
      <c r="B689" s="77">
        <v>150</v>
      </c>
      <c r="C689" s="72" t="s">
        <v>1023</v>
      </c>
    </row>
    <row r="690" spans="1:3" ht="13">
      <c r="A690" s="71">
        <v>11097</v>
      </c>
      <c r="B690" s="75">
        <v>151</v>
      </c>
      <c r="C690" s="72" t="s">
        <v>1023</v>
      </c>
    </row>
    <row r="691" spans="1:3" ht="13">
      <c r="A691" s="71">
        <v>11098</v>
      </c>
      <c r="B691" s="77">
        <v>152</v>
      </c>
      <c r="C691" s="72" t="s">
        <v>1023</v>
      </c>
    </row>
    <row r="692" spans="1:3" ht="13">
      <c r="A692" s="71">
        <v>11099</v>
      </c>
      <c r="B692" s="75">
        <v>153</v>
      </c>
      <c r="C692" s="72" t="s">
        <v>1023</v>
      </c>
    </row>
    <row r="693" spans="1:3" ht="13">
      <c r="A693" s="71">
        <v>11102</v>
      </c>
      <c r="B693" s="77">
        <v>156</v>
      </c>
      <c r="C693" s="72" t="s">
        <v>1023</v>
      </c>
    </row>
    <row r="694" spans="1:3" ht="13">
      <c r="A694" s="71">
        <v>11107</v>
      </c>
      <c r="B694" s="75">
        <v>161</v>
      </c>
      <c r="C694" s="72" t="s">
        <v>1023</v>
      </c>
    </row>
    <row r="695" spans="1:3" ht="13">
      <c r="A695" s="71">
        <v>11110</v>
      </c>
      <c r="B695" s="77">
        <v>164</v>
      </c>
      <c r="C695" s="72" t="s">
        <v>1023</v>
      </c>
    </row>
    <row r="696" spans="1:3" ht="13">
      <c r="A696" s="71">
        <v>11111</v>
      </c>
      <c r="B696" s="75">
        <v>165</v>
      </c>
      <c r="C696" s="72" t="s">
        <v>1023</v>
      </c>
    </row>
    <row r="697" spans="1:3" ht="13">
      <c r="A697" s="71">
        <v>11112</v>
      </c>
      <c r="B697" s="77">
        <v>166</v>
      </c>
      <c r="C697" s="72" t="s">
        <v>1023</v>
      </c>
    </row>
    <row r="698" spans="1:3" ht="13">
      <c r="A698" s="71">
        <v>11114</v>
      </c>
      <c r="B698" s="77">
        <v>168</v>
      </c>
      <c r="C698" s="72" t="s">
        <v>1023</v>
      </c>
    </row>
    <row r="699" spans="1:3" ht="13">
      <c r="A699" s="71">
        <v>11115</v>
      </c>
      <c r="B699" s="75">
        <v>169</v>
      </c>
      <c r="C699" s="72" t="s">
        <v>1023</v>
      </c>
    </row>
    <row r="700" spans="1:3" ht="13">
      <c r="A700" s="71">
        <v>11116</v>
      </c>
      <c r="B700" s="77">
        <v>170</v>
      </c>
      <c r="C700" s="72" t="s">
        <v>1023</v>
      </c>
    </row>
    <row r="701" spans="1:3" ht="13">
      <c r="A701" s="71">
        <v>11117</v>
      </c>
      <c r="B701" s="75">
        <v>171</v>
      </c>
      <c r="C701" s="72" t="s">
        <v>1023</v>
      </c>
    </row>
    <row r="702" spans="1:3" ht="13">
      <c r="A702" s="71">
        <v>11118</v>
      </c>
      <c r="B702" s="77">
        <v>172</v>
      </c>
      <c r="C702" s="72" t="s">
        <v>1023</v>
      </c>
    </row>
    <row r="703" spans="1:3" ht="13">
      <c r="A703" s="71">
        <v>11122</v>
      </c>
      <c r="B703" s="77">
        <v>176</v>
      </c>
      <c r="C703" s="72" t="s">
        <v>1023</v>
      </c>
    </row>
    <row r="704" spans="1:3" ht="13">
      <c r="A704" s="71">
        <v>11124</v>
      </c>
      <c r="B704" s="73" t="s">
        <v>1042</v>
      </c>
      <c r="C704" s="72" t="s">
        <v>1023</v>
      </c>
    </row>
    <row r="705" spans="1:3" ht="13">
      <c r="A705" s="71">
        <v>11125</v>
      </c>
      <c r="B705" s="72" t="s">
        <v>1045</v>
      </c>
      <c r="C705" s="72" t="s">
        <v>1023</v>
      </c>
    </row>
    <row r="706" spans="1:3" ht="13">
      <c r="A706" s="71">
        <v>11126</v>
      </c>
      <c r="B706" s="73" t="s">
        <v>1047</v>
      </c>
      <c r="C706" s="72" t="s">
        <v>1023</v>
      </c>
    </row>
    <row r="707" spans="1:3" ht="13">
      <c r="A707" s="71">
        <v>11127</v>
      </c>
      <c r="B707" s="72" t="s">
        <v>721</v>
      </c>
      <c r="C707" s="72" t="s">
        <v>1023</v>
      </c>
    </row>
    <row r="708" spans="1:3" ht="13">
      <c r="A708" s="71">
        <v>11128</v>
      </c>
      <c r="B708" s="73" t="s">
        <v>734</v>
      </c>
      <c r="C708" s="72" t="s">
        <v>1023</v>
      </c>
    </row>
    <row r="709" spans="1:3" ht="13">
      <c r="A709" s="71">
        <v>11129</v>
      </c>
      <c r="B709" s="72" t="s">
        <v>722</v>
      </c>
      <c r="C709" s="72" t="s">
        <v>1023</v>
      </c>
    </row>
    <row r="710" spans="1:3" ht="13">
      <c r="A710" s="71">
        <v>11130</v>
      </c>
      <c r="B710" s="73" t="s">
        <v>723</v>
      </c>
      <c r="C710" s="72" t="s">
        <v>1023</v>
      </c>
    </row>
    <row r="711" spans="1:3" ht="13">
      <c r="A711" s="71">
        <v>11131</v>
      </c>
      <c r="B711" s="72" t="s">
        <v>1048</v>
      </c>
      <c r="C711" s="72" t="s">
        <v>1023</v>
      </c>
    </row>
    <row r="712" spans="1:3" ht="13">
      <c r="A712" s="71">
        <v>11132</v>
      </c>
      <c r="B712" s="73" t="s">
        <v>982</v>
      </c>
      <c r="C712" s="72" t="s">
        <v>1023</v>
      </c>
    </row>
    <row r="713" spans="1:3" ht="13">
      <c r="A713" s="71">
        <v>11133</v>
      </c>
      <c r="B713" s="72" t="s">
        <v>1050</v>
      </c>
      <c r="C713" s="72" t="s">
        <v>1023</v>
      </c>
    </row>
    <row r="714" spans="1:3" ht="13">
      <c r="A714" s="71">
        <v>11134</v>
      </c>
      <c r="B714" s="73" t="s">
        <v>1052</v>
      </c>
      <c r="C714" s="72" t="s">
        <v>1023</v>
      </c>
    </row>
    <row r="715" spans="1:3" ht="13">
      <c r="A715" s="71">
        <v>11135</v>
      </c>
      <c r="B715" s="72" t="s">
        <v>983</v>
      </c>
      <c r="C715" s="72" t="s">
        <v>1023</v>
      </c>
    </row>
    <row r="716" spans="1:3" ht="13">
      <c r="A716" s="71">
        <v>11136</v>
      </c>
      <c r="B716" s="73" t="s">
        <v>736</v>
      </c>
      <c r="C716" s="72" t="s">
        <v>1023</v>
      </c>
    </row>
    <row r="717" spans="1:3" ht="13">
      <c r="A717" s="71">
        <v>11137</v>
      </c>
      <c r="B717" s="72" t="s">
        <v>724</v>
      </c>
      <c r="C717" s="72" t="s">
        <v>1023</v>
      </c>
    </row>
    <row r="718" spans="1:3" ht="13">
      <c r="A718" s="71">
        <v>11138</v>
      </c>
      <c r="B718" s="73" t="s">
        <v>737</v>
      </c>
      <c r="C718" s="72" t="s">
        <v>1023</v>
      </c>
    </row>
    <row r="719" spans="1:3" ht="13">
      <c r="A719" s="71">
        <v>11139</v>
      </c>
      <c r="B719" s="72" t="s">
        <v>1053</v>
      </c>
      <c r="C719" s="72" t="s">
        <v>1023</v>
      </c>
    </row>
    <row r="720" spans="1:3" ht="13">
      <c r="A720" s="71">
        <v>11140</v>
      </c>
      <c r="B720" s="73" t="s">
        <v>1057</v>
      </c>
      <c r="C720" s="72" t="s">
        <v>1023</v>
      </c>
    </row>
    <row r="721" spans="1:3" ht="13">
      <c r="A721" s="71">
        <v>11141</v>
      </c>
      <c r="B721" s="72" t="s">
        <v>1059</v>
      </c>
      <c r="C721" s="72" t="s">
        <v>1023</v>
      </c>
    </row>
    <row r="722" spans="1:3" ht="13">
      <c r="A722" s="71">
        <v>11142</v>
      </c>
      <c r="B722" s="73" t="s">
        <v>1060</v>
      </c>
      <c r="C722" s="72" t="s">
        <v>1023</v>
      </c>
    </row>
    <row r="723" spans="1:3" ht="13">
      <c r="A723" s="71">
        <v>11143</v>
      </c>
      <c r="B723" s="72" t="s">
        <v>1061</v>
      </c>
      <c r="C723" s="72" t="s">
        <v>1023</v>
      </c>
    </row>
    <row r="724" spans="1:3" ht="13">
      <c r="A724" s="71">
        <v>11144</v>
      </c>
      <c r="B724" s="73" t="s">
        <v>1062</v>
      </c>
      <c r="C724" s="72" t="s">
        <v>1023</v>
      </c>
    </row>
    <row r="725" spans="1:3" ht="13">
      <c r="A725" s="71">
        <v>11145</v>
      </c>
      <c r="B725" s="72" t="s">
        <v>1063</v>
      </c>
      <c r="C725" s="72" t="s">
        <v>1023</v>
      </c>
    </row>
    <row r="726" spans="1:3" ht="13">
      <c r="A726" s="71">
        <v>11146</v>
      </c>
      <c r="B726" s="73" t="s">
        <v>738</v>
      </c>
      <c r="C726" s="72" t="s">
        <v>1023</v>
      </c>
    </row>
    <row r="727" spans="1:3" ht="13">
      <c r="A727" s="71">
        <v>11147</v>
      </c>
      <c r="B727" s="72" t="s">
        <v>1064</v>
      </c>
      <c r="C727" s="72" t="s">
        <v>1023</v>
      </c>
    </row>
    <row r="728" spans="1:3" ht="13">
      <c r="A728" s="71">
        <v>11148</v>
      </c>
      <c r="B728" s="73" t="s">
        <v>1065</v>
      </c>
      <c r="C728" s="72" t="s">
        <v>1023</v>
      </c>
    </row>
    <row r="729" spans="1:3" ht="13">
      <c r="A729" s="71">
        <v>11149</v>
      </c>
      <c r="B729" s="72" t="s">
        <v>1066</v>
      </c>
      <c r="C729" s="72" t="s">
        <v>1023</v>
      </c>
    </row>
    <row r="730" spans="1:3" ht="13">
      <c r="A730" s="71">
        <v>11150</v>
      </c>
      <c r="B730" s="73" t="s">
        <v>1069</v>
      </c>
      <c r="C730" s="72" t="s">
        <v>1023</v>
      </c>
    </row>
    <row r="731" spans="1:3" ht="13">
      <c r="A731" s="71">
        <v>11151</v>
      </c>
      <c r="B731" s="72" t="s">
        <v>1071</v>
      </c>
      <c r="C731" s="72" t="s">
        <v>1023</v>
      </c>
    </row>
    <row r="732" spans="1:3" ht="13">
      <c r="A732" s="71">
        <v>11152</v>
      </c>
      <c r="B732" s="73" t="s">
        <v>739</v>
      </c>
      <c r="C732" s="72" t="s">
        <v>1023</v>
      </c>
    </row>
    <row r="733" spans="1:3" ht="13">
      <c r="A733" s="71">
        <v>11153</v>
      </c>
      <c r="B733" s="72" t="s">
        <v>1072</v>
      </c>
      <c r="C733" s="72" t="s">
        <v>1023</v>
      </c>
    </row>
    <row r="734" spans="1:3" ht="13">
      <c r="A734" s="71">
        <v>11154</v>
      </c>
      <c r="B734" s="73" t="s">
        <v>1073</v>
      </c>
      <c r="C734" s="72" t="s">
        <v>1023</v>
      </c>
    </row>
    <row r="735" spans="1:3" ht="13">
      <c r="A735" s="71">
        <v>11155</v>
      </c>
      <c r="B735" s="72" t="s">
        <v>742</v>
      </c>
      <c r="C735" s="72" t="s">
        <v>1023</v>
      </c>
    </row>
    <row r="736" spans="1:3" ht="13">
      <c r="A736" s="71">
        <v>11156</v>
      </c>
      <c r="B736" s="73" t="s">
        <v>691</v>
      </c>
      <c r="C736" s="72" t="s">
        <v>1023</v>
      </c>
    </row>
    <row r="737" spans="1:3" ht="13">
      <c r="A737" s="71">
        <v>11157</v>
      </c>
      <c r="B737" s="72" t="s">
        <v>1074</v>
      </c>
      <c r="C737" s="72" t="s">
        <v>1023</v>
      </c>
    </row>
    <row r="738" spans="1:3" ht="13">
      <c r="A738" s="71">
        <v>11158</v>
      </c>
      <c r="B738" s="73" t="s">
        <v>694</v>
      </c>
      <c r="C738" s="72" t="s">
        <v>1023</v>
      </c>
    </row>
    <row r="739" spans="1:3" ht="13">
      <c r="A739" s="71">
        <v>11159</v>
      </c>
      <c r="B739" s="72" t="s">
        <v>1076</v>
      </c>
      <c r="C739" s="72" t="s">
        <v>1023</v>
      </c>
    </row>
    <row r="740" spans="1:3" ht="13">
      <c r="A740" s="71">
        <v>11160</v>
      </c>
      <c r="B740" s="73" t="s">
        <v>1078</v>
      </c>
      <c r="C740" s="72" t="s">
        <v>1023</v>
      </c>
    </row>
    <row r="741" spans="1:3" ht="13">
      <c r="A741" s="71">
        <v>11161</v>
      </c>
      <c r="B741" s="72" t="s">
        <v>695</v>
      </c>
      <c r="C741" s="72" t="s">
        <v>1023</v>
      </c>
    </row>
    <row r="742" spans="1:3" ht="13">
      <c r="A742" s="71">
        <v>11162</v>
      </c>
      <c r="B742" s="73" t="s">
        <v>696</v>
      </c>
      <c r="C742" s="72" t="s">
        <v>1023</v>
      </c>
    </row>
    <row r="743" spans="1:3" ht="13">
      <c r="A743" s="71">
        <v>11163</v>
      </c>
      <c r="B743" s="72" t="s">
        <v>1079</v>
      </c>
      <c r="C743" s="72" t="s">
        <v>1023</v>
      </c>
    </row>
    <row r="744" spans="1:3" ht="13">
      <c r="A744" s="71">
        <v>11164</v>
      </c>
      <c r="B744" s="73" t="s">
        <v>1080</v>
      </c>
      <c r="C744" s="72" t="s">
        <v>1023</v>
      </c>
    </row>
    <row r="745" spans="1:3" ht="13">
      <c r="A745" s="71">
        <v>11165</v>
      </c>
      <c r="B745" s="72" t="s">
        <v>1081</v>
      </c>
      <c r="C745" s="72" t="s">
        <v>1023</v>
      </c>
    </row>
    <row r="746" spans="1:3" ht="13">
      <c r="A746" s="71">
        <v>11166</v>
      </c>
      <c r="B746" s="73" t="s">
        <v>1083</v>
      </c>
      <c r="C746" s="72" t="s">
        <v>1023</v>
      </c>
    </row>
    <row r="747" spans="1:3" ht="13">
      <c r="A747" s="71">
        <v>11167</v>
      </c>
      <c r="B747" s="72" t="s">
        <v>1087</v>
      </c>
      <c r="C747" s="72" t="s">
        <v>1023</v>
      </c>
    </row>
    <row r="748" spans="1:3" ht="13">
      <c r="A748" s="71">
        <v>11168</v>
      </c>
      <c r="B748" s="73" t="s">
        <v>1088</v>
      </c>
      <c r="C748" s="72" t="s">
        <v>1023</v>
      </c>
    </row>
    <row r="749" spans="1:3" ht="13">
      <c r="A749" s="71">
        <v>11169</v>
      </c>
      <c r="B749" s="72" t="s">
        <v>1089</v>
      </c>
      <c r="C749" s="72" t="s">
        <v>1023</v>
      </c>
    </row>
    <row r="750" spans="1:3" ht="13">
      <c r="A750" s="71">
        <v>11170</v>
      </c>
      <c r="B750" s="73" t="s">
        <v>1090</v>
      </c>
      <c r="C750" s="72" t="s">
        <v>1023</v>
      </c>
    </row>
    <row r="751" spans="1:3" ht="13">
      <c r="A751" s="71">
        <v>11171</v>
      </c>
      <c r="B751" s="72" t="s">
        <v>1091</v>
      </c>
      <c r="C751" s="72" t="s">
        <v>1023</v>
      </c>
    </row>
    <row r="752" spans="1:3" ht="13">
      <c r="A752" s="71">
        <v>11172</v>
      </c>
      <c r="B752" s="73" t="s">
        <v>1092</v>
      </c>
      <c r="C752" s="72" t="s">
        <v>1023</v>
      </c>
    </row>
    <row r="753" spans="1:3" ht="13">
      <c r="A753" s="71">
        <v>11173</v>
      </c>
      <c r="B753" s="72" t="s">
        <v>1093</v>
      </c>
      <c r="C753" s="72" t="s">
        <v>1023</v>
      </c>
    </row>
    <row r="754" spans="1:3" ht="13">
      <c r="A754" s="71">
        <v>11174</v>
      </c>
      <c r="B754" s="73" t="s">
        <v>1095</v>
      </c>
      <c r="C754" s="72" t="s">
        <v>1023</v>
      </c>
    </row>
    <row r="755" spans="1:3" ht="13">
      <c r="A755" s="71">
        <v>11175</v>
      </c>
      <c r="B755" s="72" t="s">
        <v>1096</v>
      </c>
      <c r="C755" s="72" t="s">
        <v>1023</v>
      </c>
    </row>
    <row r="756" spans="1:3" ht="13">
      <c r="A756" s="71">
        <v>11176</v>
      </c>
      <c r="B756" s="73" t="s">
        <v>1098</v>
      </c>
      <c r="C756" s="72" t="s">
        <v>1023</v>
      </c>
    </row>
    <row r="757" spans="1:3" ht="13">
      <c r="A757" s="71">
        <v>11177</v>
      </c>
      <c r="B757" s="72" t="s">
        <v>1099</v>
      </c>
      <c r="C757" s="72" t="s">
        <v>1023</v>
      </c>
    </row>
    <row r="758" spans="1:3" ht="13">
      <c r="A758" s="71">
        <v>11178</v>
      </c>
      <c r="B758" s="73" t="s">
        <v>1100</v>
      </c>
      <c r="C758" s="72" t="s">
        <v>1023</v>
      </c>
    </row>
    <row r="759" spans="1:3" ht="13">
      <c r="A759" s="71">
        <v>11179</v>
      </c>
      <c r="B759" s="72" t="s">
        <v>1101</v>
      </c>
      <c r="C759" s="72" t="s">
        <v>1023</v>
      </c>
    </row>
    <row r="760" spans="1:3" ht="13">
      <c r="A760" s="71">
        <v>11180</v>
      </c>
      <c r="B760" s="73" t="s">
        <v>1103</v>
      </c>
      <c r="C760" s="72" t="s">
        <v>1023</v>
      </c>
    </row>
    <row r="761" spans="1:3" ht="13">
      <c r="A761" s="71">
        <v>11181</v>
      </c>
      <c r="B761" s="72" t="s">
        <v>1104</v>
      </c>
      <c r="C761" s="72" t="s">
        <v>1023</v>
      </c>
    </row>
    <row r="762" spans="1:3" ht="13">
      <c r="A762" s="71">
        <v>11182</v>
      </c>
      <c r="B762" s="73" t="s">
        <v>1105</v>
      </c>
      <c r="C762" s="72" t="s">
        <v>1023</v>
      </c>
    </row>
    <row r="763" spans="1:3" ht="13">
      <c r="A763" s="71">
        <v>11183</v>
      </c>
      <c r="B763" s="72" t="s">
        <v>1106</v>
      </c>
      <c r="C763" s="72" t="s">
        <v>1023</v>
      </c>
    </row>
    <row r="764" spans="1:3" ht="13">
      <c r="A764" s="71">
        <v>11184</v>
      </c>
      <c r="B764" s="73" t="s">
        <v>1107</v>
      </c>
      <c r="C764" s="72" t="s">
        <v>1023</v>
      </c>
    </row>
    <row r="765" spans="1:3" ht="13">
      <c r="A765" s="71">
        <v>11185</v>
      </c>
      <c r="B765" s="72" t="s">
        <v>1108</v>
      </c>
      <c r="C765" s="72" t="s">
        <v>1023</v>
      </c>
    </row>
    <row r="766" spans="1:3" ht="13">
      <c r="A766" s="71">
        <v>11186</v>
      </c>
      <c r="B766" s="73" t="s">
        <v>1109</v>
      </c>
      <c r="C766" s="72" t="s">
        <v>1023</v>
      </c>
    </row>
    <row r="767" spans="1:3" ht="13">
      <c r="A767" s="71">
        <v>11187</v>
      </c>
      <c r="B767" s="72" t="s">
        <v>697</v>
      </c>
      <c r="C767" s="72" t="s">
        <v>1023</v>
      </c>
    </row>
    <row r="768" spans="1:3" ht="13">
      <c r="A768" s="71">
        <v>11188</v>
      </c>
      <c r="B768" s="73" t="s">
        <v>1110</v>
      </c>
      <c r="C768" s="72" t="s">
        <v>1023</v>
      </c>
    </row>
    <row r="769" spans="1:3" ht="13">
      <c r="A769" s="71">
        <v>11189</v>
      </c>
      <c r="B769" s="72" t="s">
        <v>1111</v>
      </c>
      <c r="C769" s="72" t="s">
        <v>1023</v>
      </c>
    </row>
    <row r="770" spans="1:3" ht="13">
      <c r="A770" s="71">
        <v>11190</v>
      </c>
      <c r="B770" s="73" t="s">
        <v>1112</v>
      </c>
      <c r="C770" s="72" t="s">
        <v>1023</v>
      </c>
    </row>
    <row r="771" spans="1:3" ht="13">
      <c r="A771" s="71">
        <v>11191</v>
      </c>
      <c r="B771" s="72" t="s">
        <v>1113</v>
      </c>
      <c r="C771" s="72" t="s">
        <v>1023</v>
      </c>
    </row>
    <row r="772" spans="1:3" ht="13">
      <c r="A772" s="71">
        <v>11192</v>
      </c>
      <c r="B772" s="73" t="s">
        <v>1115</v>
      </c>
      <c r="C772" s="72" t="s">
        <v>1023</v>
      </c>
    </row>
    <row r="773" spans="1:3" ht="13">
      <c r="A773" s="71">
        <v>11193</v>
      </c>
      <c r="B773" s="72" t="s">
        <v>1116</v>
      </c>
      <c r="C773" s="72" t="s">
        <v>1023</v>
      </c>
    </row>
    <row r="774" spans="1:3" ht="13">
      <c r="A774" s="71">
        <v>11194</v>
      </c>
      <c r="B774" s="73" t="s">
        <v>1118</v>
      </c>
      <c r="C774" s="72" t="s">
        <v>1023</v>
      </c>
    </row>
    <row r="775" spans="1:3" ht="13">
      <c r="A775" s="71">
        <v>11195</v>
      </c>
      <c r="B775" s="72" t="s">
        <v>1119</v>
      </c>
      <c r="C775" s="72" t="s">
        <v>1023</v>
      </c>
    </row>
    <row r="776" spans="1:3" ht="13">
      <c r="A776" s="71">
        <v>11196</v>
      </c>
      <c r="B776" s="73" t="s">
        <v>1120</v>
      </c>
      <c r="C776" s="72" t="s">
        <v>1023</v>
      </c>
    </row>
    <row r="777" spans="1:3" ht="13">
      <c r="A777" s="71">
        <v>11197</v>
      </c>
      <c r="B777" s="72" t="s">
        <v>1121</v>
      </c>
      <c r="C777" s="72" t="s">
        <v>1023</v>
      </c>
    </row>
    <row r="778" spans="1:3" ht="13">
      <c r="A778" s="71">
        <v>11198</v>
      </c>
      <c r="B778" s="73" t="s">
        <v>1122</v>
      </c>
      <c r="C778" s="72" t="s">
        <v>1023</v>
      </c>
    </row>
    <row r="779" spans="1:3" ht="13">
      <c r="A779" s="71">
        <v>11199</v>
      </c>
      <c r="B779" s="72" t="s">
        <v>1123</v>
      </c>
      <c r="C779" s="72" t="s">
        <v>1023</v>
      </c>
    </row>
    <row r="780" spans="1:3" ht="13">
      <c r="A780" s="71">
        <v>11200</v>
      </c>
      <c r="B780" s="73" t="s">
        <v>1124</v>
      </c>
      <c r="C780" s="72" t="s">
        <v>1023</v>
      </c>
    </row>
    <row r="781" spans="1:3" ht="13">
      <c r="A781" s="71">
        <v>11201</v>
      </c>
      <c r="B781" s="72" t="s">
        <v>1125</v>
      </c>
      <c r="C781" s="72" t="s">
        <v>1023</v>
      </c>
    </row>
    <row r="782" spans="1:3" ht="13">
      <c r="A782" s="71">
        <v>11202</v>
      </c>
      <c r="B782" s="73" t="s">
        <v>743</v>
      </c>
      <c r="C782" s="72" t="s">
        <v>1023</v>
      </c>
    </row>
    <row r="783" spans="1:3" ht="13">
      <c r="A783" s="71">
        <v>11203</v>
      </c>
      <c r="B783" s="72" t="s">
        <v>1130</v>
      </c>
      <c r="C783" s="72" t="s">
        <v>1023</v>
      </c>
    </row>
    <row r="784" spans="1:3" ht="13">
      <c r="A784" s="71">
        <v>11204</v>
      </c>
      <c r="B784" s="73" t="s">
        <v>1131</v>
      </c>
      <c r="C784" s="72" t="s">
        <v>1023</v>
      </c>
    </row>
    <row r="785" spans="1:3" ht="13">
      <c r="A785" s="71">
        <v>11205</v>
      </c>
      <c r="B785" s="72" t="s">
        <v>1132</v>
      </c>
      <c r="C785" s="72" t="s">
        <v>1023</v>
      </c>
    </row>
    <row r="786" spans="1:3" ht="13">
      <c r="A786" s="71">
        <v>11206</v>
      </c>
      <c r="B786" s="73" t="s">
        <v>1133</v>
      </c>
      <c r="C786" s="72" t="s">
        <v>1023</v>
      </c>
    </row>
    <row r="787" spans="1:3" ht="13">
      <c r="A787" s="71">
        <v>11207</v>
      </c>
      <c r="B787" s="72" t="s">
        <v>1134</v>
      </c>
      <c r="C787" s="72" t="s">
        <v>1023</v>
      </c>
    </row>
    <row r="788" spans="1:3" ht="13">
      <c r="A788" s="71">
        <v>11208</v>
      </c>
      <c r="B788" s="73" t="s">
        <v>1135</v>
      </c>
      <c r="C788" s="72" t="s">
        <v>1023</v>
      </c>
    </row>
    <row r="789" spans="1:3" ht="13">
      <c r="A789" s="71">
        <v>11209</v>
      </c>
      <c r="B789" s="72" t="s">
        <v>1136</v>
      </c>
      <c r="C789" s="72" t="s">
        <v>1023</v>
      </c>
    </row>
    <row r="790" spans="1:3" ht="13">
      <c r="A790" s="71">
        <v>11210</v>
      </c>
      <c r="B790" s="73" t="s">
        <v>1139</v>
      </c>
      <c r="C790" s="72" t="s">
        <v>1023</v>
      </c>
    </row>
    <row r="791" spans="1:3" ht="13">
      <c r="A791" s="71">
        <v>11211</v>
      </c>
      <c r="B791" s="72" t="s">
        <v>1141</v>
      </c>
      <c r="C791" s="72" t="s">
        <v>1023</v>
      </c>
    </row>
    <row r="792" spans="1:3" ht="13">
      <c r="A792" s="71">
        <v>11212</v>
      </c>
      <c r="B792" s="73" t="s">
        <v>1142</v>
      </c>
      <c r="C792" s="72" t="s">
        <v>1023</v>
      </c>
    </row>
    <row r="793" spans="1:3" ht="13">
      <c r="A793" s="71">
        <v>11213</v>
      </c>
      <c r="B793" s="72" t="s">
        <v>1143</v>
      </c>
      <c r="C793" s="72" t="s">
        <v>1023</v>
      </c>
    </row>
    <row r="794" spans="1:3" ht="13">
      <c r="A794" s="71">
        <v>11214</v>
      </c>
      <c r="B794" s="73" t="s">
        <v>1144</v>
      </c>
      <c r="C794" s="72" t="s">
        <v>1023</v>
      </c>
    </row>
    <row r="795" spans="1:3" ht="13">
      <c r="A795" s="71">
        <v>11215</v>
      </c>
      <c r="B795" s="72" t="s">
        <v>744</v>
      </c>
      <c r="C795" s="72" t="s">
        <v>1023</v>
      </c>
    </row>
    <row r="796" spans="1:3" ht="13">
      <c r="A796" s="71">
        <v>11216</v>
      </c>
      <c r="B796" s="73" t="s">
        <v>1145</v>
      </c>
      <c r="C796" s="72" t="s">
        <v>1023</v>
      </c>
    </row>
    <row r="797" spans="1:3" ht="13">
      <c r="A797" s="71">
        <v>11217</v>
      </c>
      <c r="B797" s="72" t="s">
        <v>1146</v>
      </c>
      <c r="C797" s="72" t="s">
        <v>1023</v>
      </c>
    </row>
    <row r="798" spans="1:3" ht="13">
      <c r="A798" s="71">
        <v>11218</v>
      </c>
      <c r="B798" s="73" t="s">
        <v>1147</v>
      </c>
      <c r="C798" s="72" t="s">
        <v>1023</v>
      </c>
    </row>
    <row r="799" spans="1:3" ht="13">
      <c r="A799" s="71">
        <v>11219</v>
      </c>
      <c r="B799" s="72" t="s">
        <v>1148</v>
      </c>
      <c r="C799" s="72" t="s">
        <v>1023</v>
      </c>
    </row>
    <row r="800" spans="1:3" ht="13">
      <c r="A800" s="71">
        <v>11220</v>
      </c>
      <c r="B800" s="73" t="s">
        <v>1150</v>
      </c>
      <c r="C800" s="72" t="s">
        <v>1023</v>
      </c>
    </row>
    <row r="801" spans="1:3" ht="13">
      <c r="A801" s="71">
        <v>11221</v>
      </c>
      <c r="B801" s="72" t="s">
        <v>1152</v>
      </c>
      <c r="C801" s="72" t="s">
        <v>1023</v>
      </c>
    </row>
    <row r="802" spans="1:3" ht="13">
      <c r="A802" s="71">
        <v>11222</v>
      </c>
      <c r="B802" s="73" t="s">
        <v>1153</v>
      </c>
      <c r="C802" s="72" t="s">
        <v>1023</v>
      </c>
    </row>
    <row r="803" spans="1:3" ht="13">
      <c r="A803" s="71">
        <v>11223</v>
      </c>
      <c r="B803" s="72" t="s">
        <v>1154</v>
      </c>
      <c r="C803" s="72" t="s">
        <v>1023</v>
      </c>
    </row>
    <row r="804" spans="1:3" ht="13">
      <c r="A804" s="71">
        <v>11224</v>
      </c>
      <c r="B804" s="73" t="s">
        <v>1155</v>
      </c>
      <c r="C804" s="72" t="s">
        <v>1023</v>
      </c>
    </row>
    <row r="805" spans="1:3" ht="13">
      <c r="A805" s="71">
        <v>11225</v>
      </c>
      <c r="B805" s="72" t="s">
        <v>1156</v>
      </c>
      <c r="C805" s="72" t="s">
        <v>1023</v>
      </c>
    </row>
    <row r="806" spans="1:3" ht="13">
      <c r="A806" s="71">
        <v>11226</v>
      </c>
      <c r="B806" s="73" t="s">
        <v>1157</v>
      </c>
      <c r="C806" s="72" t="s">
        <v>1023</v>
      </c>
    </row>
    <row r="807" spans="1:3" ht="13">
      <c r="A807" s="71">
        <v>11227</v>
      </c>
      <c r="B807" s="72" t="s">
        <v>1161</v>
      </c>
      <c r="C807" s="72" t="s">
        <v>1023</v>
      </c>
    </row>
    <row r="808" spans="1:3" ht="13">
      <c r="A808" s="71">
        <v>11228</v>
      </c>
      <c r="B808" s="73" t="s">
        <v>1163</v>
      </c>
      <c r="C808" s="72" t="s">
        <v>1023</v>
      </c>
    </row>
    <row r="809" spans="1:3" ht="13">
      <c r="A809" s="71">
        <v>11229</v>
      </c>
      <c r="B809" s="72" t="s">
        <v>1164</v>
      </c>
      <c r="C809" s="72" t="s">
        <v>1023</v>
      </c>
    </row>
    <row r="810" spans="1:3" ht="13">
      <c r="A810" s="71">
        <v>11230</v>
      </c>
      <c r="B810" s="73" t="s">
        <v>1165</v>
      </c>
      <c r="C810" s="72" t="s">
        <v>1023</v>
      </c>
    </row>
    <row r="811" spans="1:3" ht="13">
      <c r="A811" s="71">
        <v>11231</v>
      </c>
      <c r="B811" s="72" t="s">
        <v>1166</v>
      </c>
      <c r="C811" s="72" t="s">
        <v>1023</v>
      </c>
    </row>
    <row r="812" spans="1:3" ht="13">
      <c r="A812" s="71">
        <v>11232</v>
      </c>
      <c r="B812" s="73" t="s">
        <v>1168</v>
      </c>
      <c r="C812" s="72" t="s">
        <v>1023</v>
      </c>
    </row>
    <row r="813" spans="1:3" ht="13">
      <c r="A813" s="71">
        <v>11233</v>
      </c>
      <c r="B813" s="72" t="s">
        <v>1171</v>
      </c>
      <c r="C813" s="72" t="s">
        <v>1023</v>
      </c>
    </row>
    <row r="814" spans="1:3" ht="13">
      <c r="A814" s="71">
        <v>11234</v>
      </c>
      <c r="B814" s="73" t="s">
        <v>1172</v>
      </c>
      <c r="C814" s="72" t="s">
        <v>1023</v>
      </c>
    </row>
    <row r="815" spans="1:3" ht="13">
      <c r="A815" s="71">
        <v>11235</v>
      </c>
      <c r="B815" s="72" t="s">
        <v>1173</v>
      </c>
      <c r="C815" s="72" t="s">
        <v>1023</v>
      </c>
    </row>
    <row r="816" spans="1:3" ht="13">
      <c r="A816" s="71">
        <v>11236</v>
      </c>
      <c r="B816" s="73" t="s">
        <v>1174</v>
      </c>
      <c r="C816" s="72" t="s">
        <v>1023</v>
      </c>
    </row>
    <row r="817" spans="1:3" ht="13">
      <c r="A817" s="71">
        <v>11237</v>
      </c>
      <c r="B817" s="72" t="s">
        <v>1175</v>
      </c>
      <c r="C817" s="72" t="s">
        <v>1023</v>
      </c>
    </row>
    <row r="818" spans="1:3" ht="13">
      <c r="A818" s="71">
        <v>11238</v>
      </c>
      <c r="B818" s="73" t="s">
        <v>1016</v>
      </c>
      <c r="C818" s="72" t="s">
        <v>1023</v>
      </c>
    </row>
    <row r="819" spans="1:3" ht="13">
      <c r="A819" s="71">
        <v>11239</v>
      </c>
      <c r="B819" s="72" t="s">
        <v>1177</v>
      </c>
      <c r="C819" s="72" t="s">
        <v>1023</v>
      </c>
    </row>
    <row r="820" spans="1:3" ht="13">
      <c r="A820" s="71">
        <v>11240</v>
      </c>
      <c r="B820" s="73" t="s">
        <v>1179</v>
      </c>
      <c r="C820" s="72" t="s">
        <v>1023</v>
      </c>
    </row>
    <row r="821" spans="1:3" ht="13">
      <c r="A821" s="71">
        <v>11241</v>
      </c>
      <c r="B821" s="72" t="s">
        <v>725</v>
      </c>
      <c r="C821" s="72" t="s">
        <v>1023</v>
      </c>
    </row>
    <row r="822" spans="1:3" ht="13">
      <c r="A822" s="71">
        <v>11242</v>
      </c>
      <c r="B822" s="73" t="s">
        <v>726</v>
      </c>
      <c r="C822" s="72" t="s">
        <v>1023</v>
      </c>
    </row>
    <row r="823" spans="1:3" ht="13">
      <c r="A823" s="71">
        <v>11243</v>
      </c>
      <c r="B823" s="72" t="s">
        <v>1180</v>
      </c>
      <c r="C823" s="72" t="s">
        <v>1023</v>
      </c>
    </row>
    <row r="824" spans="1:3" ht="13">
      <c r="A824" s="71">
        <v>11244</v>
      </c>
      <c r="B824" s="73" t="s">
        <v>745</v>
      </c>
      <c r="C824" s="72" t="s">
        <v>1023</v>
      </c>
    </row>
    <row r="825" spans="1:3" ht="13">
      <c r="A825" s="71">
        <v>11245</v>
      </c>
      <c r="B825" s="72" t="s">
        <v>1181</v>
      </c>
      <c r="C825" s="72" t="s">
        <v>1023</v>
      </c>
    </row>
    <row r="826" spans="1:3" ht="13">
      <c r="A826" s="71">
        <v>11246</v>
      </c>
      <c r="B826" s="73" t="s">
        <v>1183</v>
      </c>
      <c r="C826" s="72" t="s">
        <v>1023</v>
      </c>
    </row>
    <row r="827" spans="1:3" ht="13">
      <c r="A827" s="71">
        <v>11247</v>
      </c>
      <c r="B827" s="72" t="s">
        <v>1186</v>
      </c>
      <c r="C827" s="72" t="s">
        <v>1023</v>
      </c>
    </row>
    <row r="828" spans="1:3" ht="13">
      <c r="A828" s="71">
        <v>11248</v>
      </c>
      <c r="B828" s="73" t="s">
        <v>1188</v>
      </c>
      <c r="C828" s="72" t="s">
        <v>1023</v>
      </c>
    </row>
    <row r="829" spans="1:3" ht="13">
      <c r="A829" s="71">
        <v>11249</v>
      </c>
      <c r="B829" s="72" t="s">
        <v>1189</v>
      </c>
      <c r="C829" s="72" t="s">
        <v>1023</v>
      </c>
    </row>
    <row r="830" spans="1:3" ht="13">
      <c r="A830" s="71">
        <v>11250</v>
      </c>
      <c r="B830" s="73" t="s">
        <v>1190</v>
      </c>
      <c r="C830" s="72" t="s">
        <v>1023</v>
      </c>
    </row>
    <row r="831" spans="1:3" ht="13">
      <c r="A831" s="71">
        <v>11251</v>
      </c>
      <c r="B831" s="72" t="s">
        <v>1191</v>
      </c>
      <c r="C831" s="72" t="s">
        <v>1023</v>
      </c>
    </row>
    <row r="832" spans="1:3" ht="13">
      <c r="A832" s="71">
        <v>11252</v>
      </c>
      <c r="B832" s="73" t="s">
        <v>727</v>
      </c>
      <c r="C832" s="72" t="s">
        <v>1023</v>
      </c>
    </row>
    <row r="833" spans="1:3" ht="13">
      <c r="A833" s="71">
        <v>11253</v>
      </c>
      <c r="B833" s="72" t="s">
        <v>1194</v>
      </c>
      <c r="C833" s="72" t="s">
        <v>1023</v>
      </c>
    </row>
    <row r="834" spans="1:3" ht="13">
      <c r="A834" s="71">
        <v>11254</v>
      </c>
      <c r="B834" s="73" t="s">
        <v>1195</v>
      </c>
      <c r="C834" s="72" t="s">
        <v>1023</v>
      </c>
    </row>
    <row r="835" spans="1:3" ht="13">
      <c r="A835" s="71">
        <v>11255</v>
      </c>
      <c r="B835" s="72" t="s">
        <v>984</v>
      </c>
      <c r="C835" s="72" t="s">
        <v>1023</v>
      </c>
    </row>
    <row r="836" spans="1:3" ht="13">
      <c r="A836" s="71">
        <v>11256</v>
      </c>
      <c r="B836" s="73" t="s">
        <v>728</v>
      </c>
      <c r="C836" s="72" t="s">
        <v>1023</v>
      </c>
    </row>
    <row r="837" spans="1:3" ht="13">
      <c r="A837" s="71">
        <v>11257</v>
      </c>
      <c r="B837" s="72" t="s">
        <v>701</v>
      </c>
      <c r="C837" s="72" t="s">
        <v>1023</v>
      </c>
    </row>
    <row r="838" spans="1:3" ht="13">
      <c r="A838" s="71">
        <v>11258</v>
      </c>
      <c r="B838" s="73" t="s">
        <v>1197</v>
      </c>
      <c r="C838" s="72" t="s">
        <v>1023</v>
      </c>
    </row>
    <row r="839" spans="1:3" ht="13">
      <c r="A839" s="71">
        <v>11259</v>
      </c>
      <c r="B839" s="72" t="s">
        <v>1199</v>
      </c>
      <c r="C839" s="72" t="s">
        <v>1023</v>
      </c>
    </row>
    <row r="840" spans="1:3" ht="13">
      <c r="A840" s="71">
        <v>11260</v>
      </c>
      <c r="B840" s="73" t="s">
        <v>746</v>
      </c>
      <c r="C840" s="72" t="s">
        <v>1023</v>
      </c>
    </row>
    <row r="841" spans="1:3" ht="13">
      <c r="A841" s="71">
        <v>11261</v>
      </c>
      <c r="B841" s="72" t="s">
        <v>1201</v>
      </c>
      <c r="C841" s="72" t="s">
        <v>1023</v>
      </c>
    </row>
    <row r="842" spans="1:3" ht="13">
      <c r="A842" s="71">
        <v>11262</v>
      </c>
      <c r="B842" s="73" t="s">
        <v>1202</v>
      </c>
      <c r="C842" s="72" t="s">
        <v>1023</v>
      </c>
    </row>
    <row r="843" spans="1:3" ht="13">
      <c r="A843" s="71">
        <v>11263</v>
      </c>
      <c r="B843" s="72" t="s">
        <v>1203</v>
      </c>
      <c r="C843" s="72" t="s">
        <v>1023</v>
      </c>
    </row>
    <row r="844" spans="1:3" ht="13">
      <c r="A844" s="71">
        <v>11264</v>
      </c>
      <c r="B844" s="73" t="s">
        <v>1204</v>
      </c>
      <c r="C844" s="72" t="s">
        <v>1023</v>
      </c>
    </row>
    <row r="845" spans="1:3" ht="13">
      <c r="A845" s="71">
        <v>11265</v>
      </c>
      <c r="B845" s="72" t="s">
        <v>747</v>
      </c>
      <c r="C845" s="72" t="s">
        <v>1023</v>
      </c>
    </row>
    <row r="846" spans="1:3" ht="13">
      <c r="A846" s="71">
        <v>11266</v>
      </c>
      <c r="B846" s="73" t="s">
        <v>1207</v>
      </c>
      <c r="C846" s="72" t="s">
        <v>1023</v>
      </c>
    </row>
    <row r="847" spans="1:3" ht="13">
      <c r="A847" s="71">
        <v>11267</v>
      </c>
      <c r="B847" s="72" t="s">
        <v>1208</v>
      </c>
      <c r="C847" s="72" t="s">
        <v>1023</v>
      </c>
    </row>
    <row r="848" spans="1:3" ht="13">
      <c r="A848" s="71">
        <v>11268</v>
      </c>
      <c r="B848" s="73" t="s">
        <v>1209</v>
      </c>
      <c r="C848" s="72" t="s">
        <v>1023</v>
      </c>
    </row>
    <row r="849" spans="1:3" ht="13">
      <c r="A849" s="71">
        <v>11269</v>
      </c>
      <c r="B849" s="72" t="s">
        <v>1210</v>
      </c>
      <c r="C849" s="72" t="s">
        <v>1023</v>
      </c>
    </row>
    <row r="850" spans="1:3" ht="13">
      <c r="A850" s="71">
        <v>11270</v>
      </c>
      <c r="B850" s="73" t="s">
        <v>748</v>
      </c>
      <c r="C850" s="72" t="s">
        <v>1023</v>
      </c>
    </row>
    <row r="851" spans="1:3" ht="13">
      <c r="A851" s="71">
        <v>11271</v>
      </c>
      <c r="B851" s="72" t="s">
        <v>1212</v>
      </c>
      <c r="C851" s="72" t="s">
        <v>1023</v>
      </c>
    </row>
    <row r="852" spans="1:3" ht="13">
      <c r="A852" s="71">
        <v>11272</v>
      </c>
      <c r="B852" s="73" t="s">
        <v>1214</v>
      </c>
      <c r="C852" s="72" t="s">
        <v>1023</v>
      </c>
    </row>
    <row r="853" spans="1:3" ht="13">
      <c r="A853" s="71">
        <v>11273</v>
      </c>
      <c r="B853" s="72" t="s">
        <v>1215</v>
      </c>
      <c r="C853" s="72" t="s">
        <v>1023</v>
      </c>
    </row>
    <row r="854" spans="1:3" ht="13">
      <c r="A854" s="71">
        <v>11274</v>
      </c>
      <c r="B854" s="73" t="s">
        <v>1216</v>
      </c>
      <c r="C854" s="72" t="s">
        <v>1023</v>
      </c>
    </row>
    <row r="855" spans="1:3" ht="13">
      <c r="A855" s="71">
        <v>11275</v>
      </c>
      <c r="B855" s="72" t="s">
        <v>1217</v>
      </c>
      <c r="C855" s="72" t="s">
        <v>1023</v>
      </c>
    </row>
    <row r="856" spans="1:3" ht="13">
      <c r="A856" s="71">
        <v>11276</v>
      </c>
      <c r="B856" s="73" t="s">
        <v>1218</v>
      </c>
      <c r="C856" s="72" t="s">
        <v>1023</v>
      </c>
    </row>
    <row r="857" spans="1:3" ht="13">
      <c r="A857" s="71">
        <v>11277</v>
      </c>
      <c r="B857" s="72" t="s">
        <v>1222</v>
      </c>
      <c r="C857" s="72" t="s">
        <v>1023</v>
      </c>
    </row>
    <row r="858" spans="1:3" ht="13">
      <c r="A858" s="71">
        <v>11278</v>
      </c>
      <c r="B858" s="73" t="s">
        <v>749</v>
      </c>
      <c r="C858" s="72" t="s">
        <v>1023</v>
      </c>
    </row>
    <row r="859" spans="1:3" ht="13">
      <c r="A859" s="71">
        <v>11279</v>
      </c>
      <c r="B859" s="72" t="s">
        <v>1224</v>
      </c>
      <c r="C859" s="72" t="s">
        <v>1023</v>
      </c>
    </row>
    <row r="860" spans="1:3" ht="13">
      <c r="A860" s="71">
        <v>11280</v>
      </c>
      <c r="B860" s="73" t="s">
        <v>1225</v>
      </c>
      <c r="C860" s="72" t="s">
        <v>1023</v>
      </c>
    </row>
    <row r="861" spans="1:3" ht="13">
      <c r="A861" s="71">
        <v>11281</v>
      </c>
      <c r="B861" s="72" t="s">
        <v>710</v>
      </c>
      <c r="C861" s="72" t="s">
        <v>1023</v>
      </c>
    </row>
    <row r="862" spans="1:3" ht="13">
      <c r="A862" s="71">
        <v>11282</v>
      </c>
      <c r="B862" s="73" t="s">
        <v>1229</v>
      </c>
      <c r="C862" s="72" t="s">
        <v>1023</v>
      </c>
    </row>
    <row r="863" spans="1:3" ht="13">
      <c r="A863" s="71">
        <v>11283</v>
      </c>
      <c r="B863" s="72" t="s">
        <v>1230</v>
      </c>
      <c r="C863" s="72" t="s">
        <v>1023</v>
      </c>
    </row>
    <row r="864" spans="1:3" ht="13">
      <c r="A864" s="71">
        <v>11284</v>
      </c>
      <c r="B864" s="73" t="s">
        <v>1231</v>
      </c>
      <c r="C864" s="72" t="s">
        <v>1023</v>
      </c>
    </row>
    <row r="865" spans="1:3" ht="13">
      <c r="A865" s="71">
        <v>11285</v>
      </c>
      <c r="B865" s="72" t="s">
        <v>1232</v>
      </c>
      <c r="C865" s="72" t="s">
        <v>1023</v>
      </c>
    </row>
    <row r="866" spans="1:3" ht="13">
      <c r="A866" s="71">
        <v>11286</v>
      </c>
      <c r="B866" s="73" t="s">
        <v>1233</v>
      </c>
      <c r="C866" s="72" t="s">
        <v>1023</v>
      </c>
    </row>
    <row r="867" spans="1:3" ht="13">
      <c r="A867" s="71">
        <v>11287</v>
      </c>
      <c r="B867" s="72" t="s">
        <v>1235</v>
      </c>
      <c r="C867" s="72" t="s">
        <v>1023</v>
      </c>
    </row>
    <row r="868" spans="1:3" ht="13">
      <c r="A868" s="71">
        <v>11288</v>
      </c>
      <c r="B868" s="73" t="s">
        <v>1237</v>
      </c>
      <c r="C868" s="72" t="s">
        <v>1023</v>
      </c>
    </row>
    <row r="869" spans="1:3" ht="13">
      <c r="A869" s="71">
        <v>11289</v>
      </c>
      <c r="B869" s="72" t="s">
        <v>1238</v>
      </c>
      <c r="C869" s="72" t="s">
        <v>1023</v>
      </c>
    </row>
    <row r="870" spans="1:3" ht="13">
      <c r="A870" s="71">
        <v>11290</v>
      </c>
      <c r="B870" s="73" t="s">
        <v>1239</v>
      </c>
      <c r="C870" s="72" t="s">
        <v>1023</v>
      </c>
    </row>
    <row r="871" spans="1:3" ht="13">
      <c r="A871" s="71">
        <v>11291</v>
      </c>
      <c r="B871" s="72" t="s">
        <v>1240</v>
      </c>
      <c r="C871" s="72" t="s">
        <v>1023</v>
      </c>
    </row>
    <row r="872" spans="1:3" ht="13">
      <c r="A872" s="71">
        <v>11292</v>
      </c>
      <c r="B872" s="73" t="s">
        <v>1241</v>
      </c>
      <c r="C872" s="72" t="s">
        <v>1023</v>
      </c>
    </row>
    <row r="873" spans="1:3" ht="13">
      <c r="A873" s="71">
        <v>11293</v>
      </c>
      <c r="B873" s="72" t="s">
        <v>1242</v>
      </c>
      <c r="C873" s="72" t="s">
        <v>1023</v>
      </c>
    </row>
    <row r="874" spans="1:3" ht="13">
      <c r="A874" s="71">
        <v>11294</v>
      </c>
      <c r="B874" s="73" t="s">
        <v>1243</v>
      </c>
      <c r="C874" s="72" t="s">
        <v>1023</v>
      </c>
    </row>
    <row r="875" spans="1:3" ht="13">
      <c r="A875" s="71">
        <v>11295</v>
      </c>
      <c r="B875" s="72" t="s">
        <v>1244</v>
      </c>
      <c r="C875" s="72" t="s">
        <v>1023</v>
      </c>
    </row>
    <row r="876" spans="1:3" ht="13">
      <c r="A876" s="71">
        <v>11296</v>
      </c>
      <c r="B876" s="73" t="s">
        <v>1245</v>
      </c>
      <c r="C876" s="72" t="s">
        <v>1023</v>
      </c>
    </row>
    <row r="877" spans="1:3" ht="13">
      <c r="A877" s="71">
        <v>11297</v>
      </c>
      <c r="B877" s="72" t="s">
        <v>1247</v>
      </c>
      <c r="C877" s="72" t="s">
        <v>1023</v>
      </c>
    </row>
    <row r="878" spans="1:3" ht="13">
      <c r="A878" s="71">
        <v>11298</v>
      </c>
      <c r="B878" s="73" t="s">
        <v>1249</v>
      </c>
      <c r="C878" s="72" t="s">
        <v>1023</v>
      </c>
    </row>
    <row r="879" spans="1:3" ht="13">
      <c r="A879" s="71">
        <v>11299</v>
      </c>
      <c r="B879" s="72" t="s">
        <v>1250</v>
      </c>
      <c r="C879" s="72" t="s">
        <v>1023</v>
      </c>
    </row>
    <row r="880" spans="1:3" ht="13">
      <c r="A880" s="71">
        <v>11300</v>
      </c>
      <c r="B880" s="73" t="s">
        <v>1252</v>
      </c>
      <c r="C880" s="72" t="s">
        <v>1023</v>
      </c>
    </row>
    <row r="881" spans="1:3" ht="13">
      <c r="A881" s="71">
        <v>11301</v>
      </c>
      <c r="B881" s="72" t="s">
        <v>1254</v>
      </c>
      <c r="C881" s="72" t="s">
        <v>1023</v>
      </c>
    </row>
    <row r="882" spans="1:3" ht="13">
      <c r="A882" s="71">
        <v>11302</v>
      </c>
      <c r="B882" s="73" t="s">
        <v>1255</v>
      </c>
      <c r="C882" s="72" t="s">
        <v>1023</v>
      </c>
    </row>
    <row r="883" spans="1:3" ht="13">
      <c r="A883" s="71">
        <v>11303</v>
      </c>
      <c r="B883" s="72" t="s">
        <v>1256</v>
      </c>
      <c r="C883" s="72" t="s">
        <v>1023</v>
      </c>
    </row>
    <row r="884" spans="1:3" ht="13">
      <c r="A884" s="71">
        <v>11304</v>
      </c>
      <c r="B884" s="73" t="s">
        <v>1257</v>
      </c>
      <c r="C884" s="72" t="s">
        <v>1023</v>
      </c>
    </row>
    <row r="885" spans="1:3" ht="13">
      <c r="A885" s="71">
        <v>11305</v>
      </c>
      <c r="B885" s="72" t="s">
        <v>1258</v>
      </c>
      <c r="C885" s="72" t="s">
        <v>1023</v>
      </c>
    </row>
    <row r="886" spans="1:3" ht="13">
      <c r="A886" s="71">
        <v>11306</v>
      </c>
      <c r="B886" s="73" t="s">
        <v>1260</v>
      </c>
      <c r="C886" s="72" t="s">
        <v>1023</v>
      </c>
    </row>
    <row r="887" spans="1:3" ht="13">
      <c r="A887" s="71">
        <v>11307</v>
      </c>
      <c r="B887" s="72" t="s">
        <v>1262</v>
      </c>
      <c r="C887" s="72" t="s">
        <v>1023</v>
      </c>
    </row>
    <row r="888" spans="1:3" ht="13">
      <c r="A888" s="71">
        <v>11308</v>
      </c>
      <c r="B888" s="73" t="s">
        <v>1263</v>
      </c>
      <c r="C888" s="72" t="s">
        <v>1023</v>
      </c>
    </row>
    <row r="889" spans="1:3" ht="13">
      <c r="A889" s="71">
        <v>11309</v>
      </c>
      <c r="B889" s="72" t="s">
        <v>1264</v>
      </c>
      <c r="C889" s="72" t="s">
        <v>1023</v>
      </c>
    </row>
    <row r="890" spans="1:3" ht="13">
      <c r="A890" s="71">
        <v>11310</v>
      </c>
      <c r="B890" s="73" t="s">
        <v>1266</v>
      </c>
      <c r="C890" s="72" t="s">
        <v>1023</v>
      </c>
    </row>
    <row r="891" spans="1:3" ht="13">
      <c r="A891" s="71">
        <v>11311</v>
      </c>
      <c r="B891" s="72" t="s">
        <v>1267</v>
      </c>
      <c r="C891" s="72" t="s">
        <v>1023</v>
      </c>
    </row>
    <row r="892" spans="1:3" ht="13">
      <c r="A892" s="71">
        <v>11312</v>
      </c>
      <c r="B892" s="73" t="s">
        <v>1268</v>
      </c>
      <c r="C892" s="72" t="s">
        <v>1023</v>
      </c>
    </row>
    <row r="893" spans="1:3" ht="13">
      <c r="A893" s="71">
        <v>11313</v>
      </c>
      <c r="B893" s="72" t="s">
        <v>1271</v>
      </c>
      <c r="C893" s="72" t="s">
        <v>1023</v>
      </c>
    </row>
    <row r="894" spans="1:3" ht="13">
      <c r="A894" s="71">
        <v>11314</v>
      </c>
      <c r="B894" s="73" t="s">
        <v>1272</v>
      </c>
      <c r="C894" s="72" t="s">
        <v>1023</v>
      </c>
    </row>
    <row r="895" spans="1:3" ht="13">
      <c r="A895" s="71">
        <v>11315</v>
      </c>
      <c r="B895" s="72" t="s">
        <v>1273</v>
      </c>
      <c r="C895" s="72" t="s">
        <v>1023</v>
      </c>
    </row>
    <row r="896" spans="1:3" ht="13">
      <c r="A896" s="71">
        <v>11316</v>
      </c>
      <c r="B896" s="73" t="s">
        <v>1274</v>
      </c>
      <c r="C896" s="72" t="s">
        <v>1023</v>
      </c>
    </row>
    <row r="897" spans="1:3" ht="13">
      <c r="A897" s="71">
        <v>11317</v>
      </c>
      <c r="B897" s="72" t="s">
        <v>750</v>
      </c>
      <c r="C897" s="72" t="s">
        <v>1023</v>
      </c>
    </row>
    <row r="898" spans="1:3" ht="13">
      <c r="A898" s="71">
        <v>11318</v>
      </c>
      <c r="B898" s="73" t="s">
        <v>1275</v>
      </c>
      <c r="C898" s="72" t="s">
        <v>1023</v>
      </c>
    </row>
    <row r="899" spans="1:3" ht="13">
      <c r="A899" s="71">
        <v>11319</v>
      </c>
      <c r="B899" s="72" t="s">
        <v>1276</v>
      </c>
      <c r="C899" s="72" t="s">
        <v>1023</v>
      </c>
    </row>
    <row r="900" spans="1:3" ht="13">
      <c r="A900" s="71">
        <v>11320</v>
      </c>
      <c r="B900" s="73" t="s">
        <v>1277</v>
      </c>
      <c r="C900" s="72" t="s">
        <v>1023</v>
      </c>
    </row>
    <row r="901" spans="1:3" ht="13">
      <c r="A901" s="71">
        <v>11321</v>
      </c>
      <c r="B901" s="72" t="s">
        <v>1278</v>
      </c>
      <c r="C901" s="72" t="s">
        <v>1023</v>
      </c>
    </row>
    <row r="902" spans="1:3" ht="13">
      <c r="A902" s="71">
        <v>11322</v>
      </c>
      <c r="B902" s="73" t="s">
        <v>1279</v>
      </c>
      <c r="C902" s="72" t="s">
        <v>1023</v>
      </c>
    </row>
    <row r="903" spans="1:3" ht="13">
      <c r="A903" s="71">
        <v>11323</v>
      </c>
      <c r="B903" s="72" t="s">
        <v>1280</v>
      </c>
      <c r="C903" s="72" t="s">
        <v>1023</v>
      </c>
    </row>
    <row r="904" spans="1:3" ht="13">
      <c r="A904" s="71">
        <v>11324</v>
      </c>
      <c r="B904" s="73" t="s">
        <v>1282</v>
      </c>
      <c r="C904" s="72" t="s">
        <v>1023</v>
      </c>
    </row>
    <row r="905" spans="1:3" ht="13">
      <c r="A905" s="71">
        <v>11325</v>
      </c>
      <c r="B905" s="72" t="s">
        <v>752</v>
      </c>
      <c r="C905" s="72" t="s">
        <v>1023</v>
      </c>
    </row>
    <row r="906" spans="1:3" ht="13">
      <c r="A906" s="71">
        <v>11326</v>
      </c>
      <c r="B906" s="73" t="s">
        <v>753</v>
      </c>
      <c r="C906" s="72" t="s">
        <v>1023</v>
      </c>
    </row>
    <row r="907" spans="1:3" ht="13">
      <c r="A907" s="71">
        <v>11327</v>
      </c>
      <c r="B907" s="72" t="s">
        <v>754</v>
      </c>
      <c r="C907" s="72" t="s">
        <v>1023</v>
      </c>
    </row>
    <row r="908" spans="1:3" ht="13">
      <c r="A908" s="71">
        <v>11328</v>
      </c>
      <c r="B908" s="73" t="s">
        <v>1286</v>
      </c>
      <c r="C908" s="72" t="s">
        <v>1023</v>
      </c>
    </row>
    <row r="909" spans="1:3" ht="13">
      <c r="A909" s="71">
        <v>11329</v>
      </c>
      <c r="B909" s="72" t="s">
        <v>1287</v>
      </c>
      <c r="C909" s="72" t="s">
        <v>1023</v>
      </c>
    </row>
    <row r="910" spans="1:3" ht="13">
      <c r="A910" s="71">
        <v>11330</v>
      </c>
      <c r="B910" s="73" t="s">
        <v>1288</v>
      </c>
      <c r="C910" s="72" t="s">
        <v>1023</v>
      </c>
    </row>
    <row r="911" spans="1:3" ht="13">
      <c r="A911" s="71">
        <v>11331</v>
      </c>
      <c r="B911" s="72" t="s">
        <v>985</v>
      </c>
      <c r="C911" s="72" t="s">
        <v>1023</v>
      </c>
    </row>
    <row r="912" spans="1:3" ht="13">
      <c r="A912" s="71">
        <v>11332</v>
      </c>
      <c r="B912" s="73" t="s">
        <v>1289</v>
      </c>
      <c r="C912" s="72" t="s">
        <v>1023</v>
      </c>
    </row>
    <row r="913" spans="1:3" ht="13">
      <c r="A913" s="71">
        <v>11333</v>
      </c>
      <c r="B913" s="72" t="s">
        <v>1291</v>
      </c>
      <c r="C913" s="72" t="s">
        <v>1023</v>
      </c>
    </row>
    <row r="914" spans="1:3" ht="13">
      <c r="A914" s="71">
        <v>11334</v>
      </c>
      <c r="B914" s="73" t="s">
        <v>1293</v>
      </c>
      <c r="C914" s="72" t="s">
        <v>1023</v>
      </c>
    </row>
    <row r="915" spans="1:3" ht="13">
      <c r="A915" s="71">
        <v>11335</v>
      </c>
      <c r="B915" s="72" t="s">
        <v>755</v>
      </c>
      <c r="C915" s="72" t="s">
        <v>1023</v>
      </c>
    </row>
    <row r="916" spans="1:3" ht="13">
      <c r="A916" s="71">
        <v>11336</v>
      </c>
      <c r="B916" s="73" t="s">
        <v>756</v>
      </c>
      <c r="C916" s="72" t="s">
        <v>1023</v>
      </c>
    </row>
    <row r="917" spans="1:3" ht="13">
      <c r="A917" s="71">
        <v>11337</v>
      </c>
      <c r="B917" s="72" t="s">
        <v>1294</v>
      </c>
      <c r="C917" s="72" t="s">
        <v>1023</v>
      </c>
    </row>
    <row r="918" spans="1:3" ht="13">
      <c r="A918" s="71">
        <v>11338</v>
      </c>
      <c r="B918" s="73" t="s">
        <v>757</v>
      </c>
      <c r="C918" s="72" t="s">
        <v>1023</v>
      </c>
    </row>
    <row r="919" spans="1:3" ht="13">
      <c r="A919" s="71">
        <v>11339</v>
      </c>
      <c r="B919" s="72" t="s">
        <v>1296</v>
      </c>
      <c r="C919" s="72" t="s">
        <v>1023</v>
      </c>
    </row>
    <row r="920" spans="1:3" ht="13">
      <c r="A920" s="71">
        <v>11340</v>
      </c>
      <c r="B920" s="73" t="s">
        <v>1297</v>
      </c>
      <c r="C920" s="72" t="s">
        <v>1023</v>
      </c>
    </row>
    <row r="921" spans="1:3" ht="13">
      <c r="A921" s="71">
        <v>11341</v>
      </c>
      <c r="B921" s="72" t="s">
        <v>729</v>
      </c>
      <c r="C921" s="72" t="s">
        <v>1023</v>
      </c>
    </row>
    <row r="922" spans="1:3" ht="13">
      <c r="A922" s="71">
        <v>11342</v>
      </c>
      <c r="B922" s="73" t="s">
        <v>1299</v>
      </c>
      <c r="C922" s="72" t="s">
        <v>1023</v>
      </c>
    </row>
    <row r="923" spans="1:3" ht="13">
      <c r="A923" s="71">
        <v>11343</v>
      </c>
      <c r="B923" s="72" t="s">
        <v>1018</v>
      </c>
      <c r="C923" s="72" t="s">
        <v>1023</v>
      </c>
    </row>
    <row r="924" spans="1:3" ht="13">
      <c r="A924" s="71">
        <v>11344</v>
      </c>
      <c r="B924" s="73" t="s">
        <v>758</v>
      </c>
      <c r="C924" s="72" t="s">
        <v>1023</v>
      </c>
    </row>
    <row r="925" spans="1:3" ht="13">
      <c r="A925" s="71">
        <v>11345</v>
      </c>
      <c r="B925" s="72" t="s">
        <v>1301</v>
      </c>
      <c r="C925" s="72" t="s">
        <v>1023</v>
      </c>
    </row>
    <row r="926" spans="1:3" ht="13">
      <c r="A926" s="71">
        <v>11346</v>
      </c>
      <c r="B926" s="73" t="s">
        <v>1302</v>
      </c>
      <c r="C926" s="72" t="s">
        <v>1023</v>
      </c>
    </row>
    <row r="927" spans="1:3" ht="13">
      <c r="A927" s="71">
        <v>11347</v>
      </c>
      <c r="B927" s="72" t="s">
        <v>1303</v>
      </c>
      <c r="C927" s="72" t="s">
        <v>1023</v>
      </c>
    </row>
    <row r="928" spans="1:3" ht="13">
      <c r="A928" s="71">
        <v>11348</v>
      </c>
      <c r="B928" s="73" t="s">
        <v>759</v>
      </c>
      <c r="C928" s="72" t="s">
        <v>1023</v>
      </c>
    </row>
    <row r="929" spans="1:3" ht="13">
      <c r="A929" s="71">
        <v>11349</v>
      </c>
      <c r="B929" s="72" t="s">
        <v>986</v>
      </c>
      <c r="C929" s="72" t="s">
        <v>1023</v>
      </c>
    </row>
    <row r="930" spans="1:3" ht="13">
      <c r="A930" s="71">
        <v>11350</v>
      </c>
      <c r="B930" s="73" t="s">
        <v>1304</v>
      </c>
      <c r="C930" s="72" t="s">
        <v>1023</v>
      </c>
    </row>
    <row r="931" spans="1:3" ht="13">
      <c r="A931" s="71">
        <v>11351</v>
      </c>
      <c r="B931" s="72" t="s">
        <v>1305</v>
      </c>
      <c r="C931" s="72" t="s">
        <v>1023</v>
      </c>
    </row>
    <row r="932" spans="1:3" ht="13">
      <c r="A932" s="71">
        <v>11352</v>
      </c>
      <c r="B932" s="73" t="s">
        <v>1307</v>
      </c>
      <c r="C932" s="72" t="s">
        <v>1023</v>
      </c>
    </row>
    <row r="933" spans="1:3" ht="13">
      <c r="A933" s="71">
        <v>11353</v>
      </c>
      <c r="B933" s="72" t="s">
        <v>1309</v>
      </c>
      <c r="C933" s="72" t="s">
        <v>1023</v>
      </c>
    </row>
    <row r="934" spans="1:3" ht="13">
      <c r="A934" s="71">
        <v>11354</v>
      </c>
      <c r="B934" s="73" t="s">
        <v>1310</v>
      </c>
      <c r="C934" s="72" t="s">
        <v>1023</v>
      </c>
    </row>
    <row r="935" spans="1:3" ht="13">
      <c r="A935" s="71">
        <v>11355</v>
      </c>
      <c r="B935" s="72" t="s">
        <v>1313</v>
      </c>
      <c r="C935" s="72" t="s">
        <v>1023</v>
      </c>
    </row>
    <row r="936" spans="1:3" ht="13">
      <c r="A936" s="71">
        <v>11356</v>
      </c>
      <c r="B936" s="73" t="s">
        <v>1314</v>
      </c>
      <c r="C936" s="72" t="s">
        <v>1023</v>
      </c>
    </row>
    <row r="937" spans="1:3" ht="13">
      <c r="A937" s="71">
        <v>11357</v>
      </c>
      <c r="B937" s="72" t="s">
        <v>1315</v>
      </c>
      <c r="C937" s="72" t="s">
        <v>1023</v>
      </c>
    </row>
    <row r="938" spans="1:3" ht="13">
      <c r="A938" s="71">
        <v>11358</v>
      </c>
      <c r="B938" s="73" t="s">
        <v>760</v>
      </c>
      <c r="C938" s="72" t="s">
        <v>1023</v>
      </c>
    </row>
    <row r="939" spans="1:3" ht="13">
      <c r="A939" s="71">
        <v>11359</v>
      </c>
      <c r="B939" s="72" t="s">
        <v>1316</v>
      </c>
      <c r="C939" s="72" t="s">
        <v>1023</v>
      </c>
    </row>
    <row r="940" spans="1:3" ht="13">
      <c r="A940" s="71">
        <v>11360</v>
      </c>
      <c r="B940" s="73" t="s">
        <v>761</v>
      </c>
      <c r="C940" s="72" t="s">
        <v>1023</v>
      </c>
    </row>
    <row r="941" spans="1:3" ht="13">
      <c r="A941" s="71">
        <v>11361</v>
      </c>
      <c r="B941" s="72" t="s">
        <v>1319</v>
      </c>
      <c r="C941" s="72" t="s">
        <v>1023</v>
      </c>
    </row>
    <row r="942" spans="1:3" ht="13">
      <c r="A942" s="71">
        <v>11362</v>
      </c>
      <c r="B942" s="73" t="s">
        <v>1320</v>
      </c>
      <c r="C942" s="72" t="s">
        <v>1023</v>
      </c>
    </row>
    <row r="943" spans="1:3" ht="13">
      <c r="A943" s="71">
        <v>11363</v>
      </c>
      <c r="B943" s="72" t="s">
        <v>1321</v>
      </c>
      <c r="C943" s="72" t="s">
        <v>1023</v>
      </c>
    </row>
    <row r="944" spans="1:3" ht="13">
      <c r="A944" s="71">
        <v>11364</v>
      </c>
      <c r="B944" s="73" t="s">
        <v>807</v>
      </c>
      <c r="C944" s="72" t="s">
        <v>1023</v>
      </c>
    </row>
    <row r="945" spans="1:3" ht="13">
      <c r="A945" s="71">
        <v>11365</v>
      </c>
      <c r="B945" s="72" t="s">
        <v>808</v>
      </c>
      <c r="C945" s="72" t="s">
        <v>1023</v>
      </c>
    </row>
    <row r="946" spans="1:3" ht="13">
      <c r="A946" s="71">
        <v>11366</v>
      </c>
      <c r="B946" s="73" t="s">
        <v>809</v>
      </c>
      <c r="C946" s="72" t="s">
        <v>1023</v>
      </c>
    </row>
    <row r="947" spans="1:3" ht="13">
      <c r="A947" s="71">
        <v>11367</v>
      </c>
      <c r="B947" s="72" t="s">
        <v>811</v>
      </c>
      <c r="C947" s="72" t="s">
        <v>1023</v>
      </c>
    </row>
    <row r="948" spans="1:3" ht="13">
      <c r="A948" s="71">
        <v>11368</v>
      </c>
      <c r="B948" s="73" t="s">
        <v>812</v>
      </c>
      <c r="C948" s="72" t="s">
        <v>1023</v>
      </c>
    </row>
    <row r="949" spans="1:3" ht="13">
      <c r="A949" s="71">
        <v>11369</v>
      </c>
      <c r="B949" s="72" t="s">
        <v>1325</v>
      </c>
      <c r="C949" s="72" t="s">
        <v>1023</v>
      </c>
    </row>
    <row r="950" spans="1:3" ht="13">
      <c r="A950" s="71">
        <v>11370</v>
      </c>
      <c r="B950" s="73" t="s">
        <v>1326</v>
      </c>
      <c r="C950" s="72" t="s">
        <v>1023</v>
      </c>
    </row>
    <row r="951" spans="1:3" ht="13">
      <c r="A951" s="71">
        <v>11371</v>
      </c>
      <c r="B951" s="72" t="s">
        <v>1327</v>
      </c>
      <c r="C951" s="72" t="s">
        <v>1023</v>
      </c>
    </row>
    <row r="952" spans="1:3" ht="13">
      <c r="A952" s="71">
        <v>11372</v>
      </c>
      <c r="B952" s="73" t="s">
        <v>1328</v>
      </c>
      <c r="C952" s="72" t="s">
        <v>1023</v>
      </c>
    </row>
    <row r="953" spans="1:3" ht="13">
      <c r="A953" s="71">
        <v>11373</v>
      </c>
      <c r="B953" s="72" t="s">
        <v>1329</v>
      </c>
      <c r="C953" s="72" t="s">
        <v>1023</v>
      </c>
    </row>
    <row r="954" spans="1:3" ht="13">
      <c r="A954" s="71">
        <v>11374</v>
      </c>
      <c r="B954" s="73" t="s">
        <v>1330</v>
      </c>
      <c r="C954" s="72" t="s">
        <v>1023</v>
      </c>
    </row>
    <row r="955" spans="1:3" ht="13">
      <c r="A955" s="71">
        <v>11375</v>
      </c>
      <c r="B955" s="72" t="s">
        <v>1331</v>
      </c>
      <c r="C955" s="72" t="s">
        <v>1023</v>
      </c>
    </row>
    <row r="956" spans="1:3" ht="13">
      <c r="A956" s="71">
        <v>11376</v>
      </c>
      <c r="B956" s="73" t="s">
        <v>1332</v>
      </c>
      <c r="C956" s="72" t="s">
        <v>1023</v>
      </c>
    </row>
    <row r="957" spans="1:3" ht="13">
      <c r="A957" s="71">
        <v>11377</v>
      </c>
      <c r="B957" s="72" t="s">
        <v>762</v>
      </c>
      <c r="C957" s="72" t="s">
        <v>1023</v>
      </c>
    </row>
    <row r="958" spans="1:3" ht="13">
      <c r="A958" s="71">
        <v>11378</v>
      </c>
      <c r="B958" s="73" t="s">
        <v>1334</v>
      </c>
      <c r="C958" s="72" t="s">
        <v>1023</v>
      </c>
    </row>
    <row r="959" spans="1:3" ht="13">
      <c r="A959" s="71">
        <v>11379</v>
      </c>
      <c r="B959" s="72" t="s">
        <v>763</v>
      </c>
      <c r="C959" s="72" t="s">
        <v>1023</v>
      </c>
    </row>
    <row r="960" spans="1:3" ht="13">
      <c r="A960" s="71">
        <v>11380</v>
      </c>
      <c r="B960" s="73" t="s">
        <v>1336</v>
      </c>
      <c r="C960" s="72" t="s">
        <v>1023</v>
      </c>
    </row>
    <row r="961" spans="1:3" ht="13">
      <c r="A961" s="71">
        <v>11381</v>
      </c>
      <c r="B961" s="72" t="s">
        <v>1337</v>
      </c>
      <c r="C961" s="72" t="s">
        <v>1023</v>
      </c>
    </row>
    <row r="962" spans="1:3" ht="13">
      <c r="A962" s="71">
        <v>11382</v>
      </c>
      <c r="B962" s="73" t="s">
        <v>1339</v>
      </c>
      <c r="C962" s="72" t="s">
        <v>1023</v>
      </c>
    </row>
    <row r="963" spans="1:3" ht="13">
      <c r="A963" s="71">
        <v>11383</v>
      </c>
      <c r="B963" s="72" t="s">
        <v>764</v>
      </c>
      <c r="C963" s="72" t="s">
        <v>1023</v>
      </c>
    </row>
    <row r="964" spans="1:3" ht="13">
      <c r="A964" s="71">
        <v>11384</v>
      </c>
      <c r="B964" s="73" t="s">
        <v>1341</v>
      </c>
      <c r="C964" s="72" t="s">
        <v>1023</v>
      </c>
    </row>
    <row r="965" spans="1:3" ht="13">
      <c r="A965" s="71">
        <v>11385</v>
      </c>
      <c r="B965" s="72" t="s">
        <v>1342</v>
      </c>
      <c r="C965" s="72" t="s">
        <v>1023</v>
      </c>
    </row>
    <row r="966" spans="1:3" ht="13">
      <c r="A966" s="71">
        <v>11386</v>
      </c>
      <c r="B966" s="73" t="s">
        <v>765</v>
      </c>
      <c r="C966" s="72" t="s">
        <v>1023</v>
      </c>
    </row>
    <row r="967" spans="1:3" ht="13">
      <c r="A967" s="71">
        <v>11387</v>
      </c>
      <c r="B967" s="72" t="s">
        <v>1345</v>
      </c>
      <c r="C967" s="72" t="s">
        <v>1023</v>
      </c>
    </row>
    <row r="968" spans="1:3" ht="13">
      <c r="A968" s="71">
        <v>11388</v>
      </c>
      <c r="B968" s="73" t="s">
        <v>766</v>
      </c>
      <c r="C968" s="72" t="s">
        <v>1023</v>
      </c>
    </row>
    <row r="969" spans="1:3" ht="13">
      <c r="A969" s="71">
        <v>11389</v>
      </c>
      <c r="B969" s="72" t="s">
        <v>1346</v>
      </c>
      <c r="C969" s="72" t="s">
        <v>1023</v>
      </c>
    </row>
    <row r="970" spans="1:3" ht="13">
      <c r="A970" s="71">
        <v>11390</v>
      </c>
      <c r="B970" s="73" t="s">
        <v>1347</v>
      </c>
      <c r="C970" s="72" t="s">
        <v>1023</v>
      </c>
    </row>
    <row r="971" spans="1:3" ht="13">
      <c r="A971" s="71">
        <v>11391</v>
      </c>
      <c r="B971" s="72" t="s">
        <v>767</v>
      </c>
      <c r="C971" s="72" t="s">
        <v>1023</v>
      </c>
    </row>
    <row r="972" spans="1:3" ht="13">
      <c r="A972" s="71">
        <v>11392</v>
      </c>
      <c r="B972" s="73" t="s">
        <v>1349</v>
      </c>
      <c r="C972" s="72" t="s">
        <v>1023</v>
      </c>
    </row>
    <row r="973" spans="1:3" ht="13">
      <c r="A973" s="71">
        <v>11393</v>
      </c>
      <c r="B973" s="72" t="s">
        <v>1350</v>
      </c>
      <c r="C973" s="72" t="s">
        <v>1023</v>
      </c>
    </row>
    <row r="974" spans="1:3" ht="13">
      <c r="A974" s="71">
        <v>11394</v>
      </c>
      <c r="B974" s="73" t="s">
        <v>1351</v>
      </c>
      <c r="C974" s="72" t="s">
        <v>1023</v>
      </c>
    </row>
    <row r="975" spans="1:3" ht="13">
      <c r="A975" s="71">
        <v>11395</v>
      </c>
      <c r="B975" s="72" t="s">
        <v>768</v>
      </c>
      <c r="C975" s="72" t="s">
        <v>1023</v>
      </c>
    </row>
    <row r="976" spans="1:3" ht="13">
      <c r="A976" s="71">
        <v>11396</v>
      </c>
      <c r="B976" s="73" t="s">
        <v>1354</v>
      </c>
      <c r="C976" s="72" t="s">
        <v>1023</v>
      </c>
    </row>
    <row r="977" spans="1:3" ht="13">
      <c r="A977" s="71">
        <v>11397</v>
      </c>
      <c r="B977" s="72" t="s">
        <v>813</v>
      </c>
      <c r="C977" s="72" t="s">
        <v>1023</v>
      </c>
    </row>
    <row r="978" spans="1:3" ht="13">
      <c r="A978" s="71">
        <v>11398</v>
      </c>
      <c r="B978" s="73" t="s">
        <v>1355</v>
      </c>
      <c r="C978" s="72" t="s">
        <v>1023</v>
      </c>
    </row>
    <row r="979" spans="1:3" ht="13">
      <c r="A979" s="71">
        <v>11399</v>
      </c>
      <c r="B979" s="72" t="s">
        <v>1356</v>
      </c>
      <c r="C979" s="72" t="s">
        <v>1023</v>
      </c>
    </row>
    <row r="980" spans="1:3" ht="13">
      <c r="A980" s="71">
        <v>11400</v>
      </c>
      <c r="B980" s="73" t="s">
        <v>1357</v>
      </c>
      <c r="C980" s="72" t="s">
        <v>1023</v>
      </c>
    </row>
    <row r="981" spans="1:3" ht="13">
      <c r="A981" s="71">
        <v>11401</v>
      </c>
      <c r="B981" s="72" t="s">
        <v>1358</v>
      </c>
      <c r="C981" s="72" t="s">
        <v>1023</v>
      </c>
    </row>
    <row r="982" spans="1:3" ht="13">
      <c r="A982" s="71">
        <v>11402</v>
      </c>
      <c r="B982" s="73" t="s">
        <v>1360</v>
      </c>
      <c r="C982" s="72" t="s">
        <v>1023</v>
      </c>
    </row>
    <row r="983" spans="1:3" ht="13">
      <c r="A983" s="71">
        <v>11403</v>
      </c>
      <c r="B983" s="72" t="s">
        <v>772</v>
      </c>
      <c r="C983" s="72" t="s">
        <v>1023</v>
      </c>
    </row>
    <row r="984" spans="1:3" ht="13">
      <c r="A984" s="71">
        <v>11404</v>
      </c>
      <c r="B984" s="73" t="s">
        <v>773</v>
      </c>
      <c r="C984" s="72" t="s">
        <v>1023</v>
      </c>
    </row>
    <row r="985" spans="1:3" ht="13">
      <c r="A985" s="71">
        <v>11405</v>
      </c>
      <c r="B985" s="72" t="s">
        <v>1362</v>
      </c>
      <c r="C985" s="72" t="s">
        <v>1023</v>
      </c>
    </row>
    <row r="986" spans="1:3" ht="13">
      <c r="A986" s="71">
        <v>11406</v>
      </c>
      <c r="B986" s="73" t="s">
        <v>1364</v>
      </c>
      <c r="C986" s="72" t="s">
        <v>1023</v>
      </c>
    </row>
    <row r="987" spans="1:3" ht="13">
      <c r="A987" s="71">
        <v>11407</v>
      </c>
      <c r="B987" s="72" t="s">
        <v>1366</v>
      </c>
      <c r="C987" s="72" t="s">
        <v>1023</v>
      </c>
    </row>
    <row r="988" spans="1:3" ht="13">
      <c r="A988" s="71">
        <v>11408</v>
      </c>
      <c r="B988" s="73" t="s">
        <v>1367</v>
      </c>
      <c r="C988" s="72" t="s">
        <v>1023</v>
      </c>
    </row>
    <row r="989" spans="1:3" ht="13">
      <c r="A989" s="71">
        <v>11409</v>
      </c>
      <c r="B989" s="72" t="s">
        <v>1368</v>
      </c>
      <c r="C989" s="72" t="s">
        <v>1023</v>
      </c>
    </row>
    <row r="990" spans="1:3" ht="13">
      <c r="A990" s="71">
        <v>11410</v>
      </c>
      <c r="B990" s="73" t="s">
        <v>774</v>
      </c>
      <c r="C990" s="72" t="s">
        <v>1023</v>
      </c>
    </row>
    <row r="991" spans="1:3" ht="13">
      <c r="A991" s="71">
        <v>11411</v>
      </c>
      <c r="B991" s="72" t="s">
        <v>1371</v>
      </c>
      <c r="C991" s="72" t="s">
        <v>1023</v>
      </c>
    </row>
    <row r="992" spans="1:3" ht="13">
      <c r="A992" s="71">
        <v>11412</v>
      </c>
      <c r="B992" s="73" t="s">
        <v>776</v>
      </c>
      <c r="C992" s="72" t="s">
        <v>1023</v>
      </c>
    </row>
    <row r="993" spans="1:3" ht="13">
      <c r="A993" s="71">
        <v>11413</v>
      </c>
      <c r="B993" s="72" t="s">
        <v>777</v>
      </c>
      <c r="C993" s="72" t="s">
        <v>1023</v>
      </c>
    </row>
    <row r="994" spans="1:3" ht="13">
      <c r="A994" s="71">
        <v>11414</v>
      </c>
      <c r="B994" s="73" t="s">
        <v>778</v>
      </c>
      <c r="C994" s="72" t="s">
        <v>1023</v>
      </c>
    </row>
    <row r="995" spans="1:3" ht="13">
      <c r="A995" s="71">
        <v>11415</v>
      </c>
      <c r="B995" s="72" t="s">
        <v>1372</v>
      </c>
      <c r="C995" s="72" t="s">
        <v>1023</v>
      </c>
    </row>
    <row r="996" spans="1:3" ht="13">
      <c r="A996" s="71">
        <v>11416</v>
      </c>
      <c r="B996" s="73" t="s">
        <v>814</v>
      </c>
      <c r="C996" s="72" t="s">
        <v>1023</v>
      </c>
    </row>
    <row r="997" spans="1:3" ht="13">
      <c r="A997" s="71">
        <v>11417</v>
      </c>
      <c r="B997" s="72" t="s">
        <v>1375</v>
      </c>
      <c r="C997" s="72" t="s">
        <v>1023</v>
      </c>
    </row>
    <row r="998" spans="1:3" ht="13">
      <c r="A998" s="71">
        <v>11418</v>
      </c>
      <c r="B998" s="73" t="s">
        <v>1377</v>
      </c>
      <c r="C998" s="72" t="s">
        <v>1023</v>
      </c>
    </row>
    <row r="999" spans="1:3" ht="13">
      <c r="A999" s="71">
        <v>11419</v>
      </c>
      <c r="B999" s="72" t="s">
        <v>1379</v>
      </c>
      <c r="C999" s="72" t="s">
        <v>1023</v>
      </c>
    </row>
    <row r="1000" spans="1:3" ht="13">
      <c r="A1000" s="71">
        <v>11420</v>
      </c>
      <c r="B1000" s="73" t="s">
        <v>987</v>
      </c>
      <c r="C1000" s="72" t="s">
        <v>1023</v>
      </c>
    </row>
    <row r="1001" spans="1:3" ht="13">
      <c r="A1001" s="71">
        <v>11421</v>
      </c>
      <c r="B1001" s="72" t="s">
        <v>1380</v>
      </c>
      <c r="C1001" s="72" t="s">
        <v>1023</v>
      </c>
    </row>
    <row r="1002" spans="1:3" ht="13">
      <c r="A1002" s="71">
        <v>11422</v>
      </c>
      <c r="B1002" s="73" t="s">
        <v>1381</v>
      </c>
      <c r="C1002" s="72" t="s">
        <v>1023</v>
      </c>
    </row>
    <row r="1003" spans="1:3" ht="13">
      <c r="A1003" s="71">
        <v>11423</v>
      </c>
      <c r="B1003" s="72" t="s">
        <v>779</v>
      </c>
      <c r="C1003" s="72" t="s">
        <v>1023</v>
      </c>
    </row>
    <row r="1004" spans="1:3" ht="13">
      <c r="A1004" s="71">
        <v>11424</v>
      </c>
      <c r="B1004" s="73" t="s">
        <v>1382</v>
      </c>
      <c r="C1004" s="72" t="s">
        <v>1023</v>
      </c>
    </row>
    <row r="1005" spans="1:3" ht="13">
      <c r="A1005" s="71">
        <v>11425</v>
      </c>
      <c r="B1005" s="72" t="s">
        <v>1383</v>
      </c>
      <c r="C1005" s="72" t="s">
        <v>1023</v>
      </c>
    </row>
    <row r="1006" spans="1:3" ht="13">
      <c r="A1006" s="71">
        <v>11426</v>
      </c>
      <c r="B1006" s="73" t="s">
        <v>1385</v>
      </c>
      <c r="C1006" s="72" t="s">
        <v>1023</v>
      </c>
    </row>
    <row r="1007" spans="1:3" ht="13">
      <c r="A1007" s="71">
        <v>11427</v>
      </c>
      <c r="B1007" s="72" t="s">
        <v>1387</v>
      </c>
      <c r="C1007" s="72" t="s">
        <v>1023</v>
      </c>
    </row>
    <row r="1008" spans="1:3" ht="13">
      <c r="A1008" s="71">
        <v>11428</v>
      </c>
      <c r="B1008" s="73" t="s">
        <v>1388</v>
      </c>
      <c r="C1008" s="72" t="s">
        <v>1023</v>
      </c>
    </row>
    <row r="1009" spans="1:3" ht="13">
      <c r="A1009" s="71">
        <v>11429</v>
      </c>
      <c r="B1009" s="72" t="s">
        <v>1391</v>
      </c>
      <c r="C1009" s="72" t="s">
        <v>1023</v>
      </c>
    </row>
    <row r="1010" spans="1:3" ht="13">
      <c r="A1010" s="71">
        <v>11430</v>
      </c>
      <c r="B1010" s="73" t="s">
        <v>1392</v>
      </c>
      <c r="C1010" s="72" t="s">
        <v>1023</v>
      </c>
    </row>
    <row r="1011" spans="1:3" ht="13">
      <c r="A1011" s="71">
        <v>11431</v>
      </c>
      <c r="B1011" s="72" t="s">
        <v>1393</v>
      </c>
      <c r="C1011" s="72" t="s">
        <v>1023</v>
      </c>
    </row>
    <row r="1012" spans="1:3" ht="13">
      <c r="A1012" s="71">
        <v>11432</v>
      </c>
      <c r="B1012" s="73" t="s">
        <v>1394</v>
      </c>
      <c r="C1012" s="72" t="s">
        <v>1023</v>
      </c>
    </row>
    <row r="1013" spans="1:3" ht="13">
      <c r="A1013" s="71">
        <v>11433</v>
      </c>
      <c r="B1013" s="72" t="s">
        <v>1395</v>
      </c>
      <c r="C1013" s="72" t="s">
        <v>1023</v>
      </c>
    </row>
    <row r="1014" spans="1:3" ht="13">
      <c r="A1014" s="71">
        <v>11434</v>
      </c>
      <c r="B1014" s="73" t="s">
        <v>1397</v>
      </c>
      <c r="C1014" s="72" t="s">
        <v>1023</v>
      </c>
    </row>
    <row r="1015" spans="1:3" ht="13">
      <c r="A1015" s="71">
        <v>11435</v>
      </c>
      <c r="B1015" s="72" t="s">
        <v>1399</v>
      </c>
      <c r="C1015" s="72" t="s">
        <v>1023</v>
      </c>
    </row>
    <row r="1016" spans="1:3" ht="13">
      <c r="A1016" s="71">
        <v>11436</v>
      </c>
      <c r="B1016" s="73" t="s">
        <v>1400</v>
      </c>
      <c r="C1016" s="72" t="s">
        <v>1023</v>
      </c>
    </row>
    <row r="1017" spans="1:3" ht="13">
      <c r="A1017" s="71">
        <v>11437</v>
      </c>
      <c r="B1017" s="72" t="s">
        <v>1401</v>
      </c>
      <c r="C1017" s="72" t="s">
        <v>1023</v>
      </c>
    </row>
    <row r="1018" spans="1:3" ht="13">
      <c r="A1018" s="71">
        <v>11438</v>
      </c>
      <c r="B1018" s="73" t="s">
        <v>1402</v>
      </c>
      <c r="C1018" s="72" t="s">
        <v>1023</v>
      </c>
    </row>
    <row r="1019" spans="1:3" ht="13">
      <c r="A1019" s="71">
        <v>11439</v>
      </c>
      <c r="B1019" s="72" t="s">
        <v>1404</v>
      </c>
      <c r="C1019" s="72" t="s">
        <v>1023</v>
      </c>
    </row>
    <row r="1020" spans="1:3" ht="13">
      <c r="A1020" s="71">
        <v>11440</v>
      </c>
      <c r="B1020" s="73" t="s">
        <v>1405</v>
      </c>
      <c r="C1020" s="72" t="s">
        <v>1023</v>
      </c>
    </row>
    <row r="1021" spans="1:3" ht="13">
      <c r="A1021" s="71">
        <v>11441</v>
      </c>
      <c r="B1021" s="72" t="s">
        <v>1406</v>
      </c>
      <c r="C1021" s="72" t="s">
        <v>1023</v>
      </c>
    </row>
    <row r="1022" spans="1:3" ht="13">
      <c r="A1022" s="71">
        <v>11442</v>
      </c>
      <c r="B1022" s="73" t="s">
        <v>1407</v>
      </c>
      <c r="C1022" s="72" t="s">
        <v>1023</v>
      </c>
    </row>
    <row r="1023" spans="1:3" ht="13">
      <c r="A1023" s="71">
        <v>11443</v>
      </c>
      <c r="B1023" s="72" t="s">
        <v>1409</v>
      </c>
      <c r="C1023" s="72" t="s">
        <v>1023</v>
      </c>
    </row>
    <row r="1024" spans="1:3" ht="13">
      <c r="A1024" s="71">
        <v>11444</v>
      </c>
      <c r="B1024" s="73" t="s">
        <v>1411</v>
      </c>
      <c r="C1024" s="72" t="s">
        <v>1023</v>
      </c>
    </row>
    <row r="1025" spans="1:3" ht="13">
      <c r="A1025" s="71">
        <v>11445</v>
      </c>
      <c r="B1025" s="72" t="s">
        <v>1412</v>
      </c>
      <c r="C1025" s="72" t="s">
        <v>1023</v>
      </c>
    </row>
    <row r="1026" spans="1:3" ht="13">
      <c r="A1026" s="71">
        <v>11446</v>
      </c>
      <c r="B1026" s="73" t="s">
        <v>1413</v>
      </c>
      <c r="C1026" s="72" t="s">
        <v>1023</v>
      </c>
    </row>
    <row r="1027" spans="1:3" ht="13">
      <c r="A1027" s="71">
        <v>11447</v>
      </c>
      <c r="B1027" s="72" t="s">
        <v>1414</v>
      </c>
      <c r="C1027" s="72" t="s">
        <v>1023</v>
      </c>
    </row>
    <row r="1028" spans="1:3" ht="13">
      <c r="A1028" s="71">
        <v>11448</v>
      </c>
      <c r="B1028" s="73" t="s">
        <v>1415</v>
      </c>
      <c r="C1028" s="72" t="s">
        <v>1023</v>
      </c>
    </row>
    <row r="1029" spans="1:3" ht="13">
      <c r="A1029" s="71">
        <v>11449</v>
      </c>
      <c r="B1029" s="72" t="s">
        <v>1416</v>
      </c>
      <c r="C1029" s="72" t="s">
        <v>1023</v>
      </c>
    </row>
    <row r="1030" spans="1:3" ht="13">
      <c r="A1030" s="71">
        <v>11450</v>
      </c>
      <c r="B1030" s="73" t="s">
        <v>1417</v>
      </c>
      <c r="C1030" s="72" t="s">
        <v>1023</v>
      </c>
    </row>
    <row r="1031" spans="1:3" ht="13">
      <c r="A1031" s="71">
        <v>11451</v>
      </c>
      <c r="B1031" s="72" t="s">
        <v>1418</v>
      </c>
      <c r="C1031" s="72" t="s">
        <v>1023</v>
      </c>
    </row>
    <row r="1032" spans="1:3" ht="13">
      <c r="A1032" s="71">
        <v>11452</v>
      </c>
      <c r="B1032" s="73" t="s">
        <v>1420</v>
      </c>
      <c r="C1032" s="72" t="s">
        <v>1023</v>
      </c>
    </row>
    <row r="1033" spans="1:3" ht="13">
      <c r="A1033" s="71">
        <v>11453</v>
      </c>
      <c r="B1033" s="72" t="s">
        <v>1421</v>
      </c>
      <c r="C1033" s="72" t="s">
        <v>1023</v>
      </c>
    </row>
    <row r="1034" spans="1:3" ht="13">
      <c r="A1034" s="71">
        <v>11454</v>
      </c>
      <c r="B1034" s="73" t="s">
        <v>1422</v>
      </c>
      <c r="C1034" s="72" t="s">
        <v>1023</v>
      </c>
    </row>
    <row r="1035" spans="1:3" ht="13">
      <c r="A1035" s="71">
        <v>11455</v>
      </c>
      <c r="B1035" s="72" t="s">
        <v>1425</v>
      </c>
      <c r="C1035" s="72" t="s">
        <v>1023</v>
      </c>
    </row>
    <row r="1036" spans="1:3" ht="13">
      <c r="A1036" s="71">
        <v>11456</v>
      </c>
      <c r="B1036" s="73" t="s">
        <v>780</v>
      </c>
      <c r="C1036" s="72" t="s">
        <v>1023</v>
      </c>
    </row>
    <row r="1037" spans="1:3" ht="13">
      <c r="A1037" s="71">
        <v>11457</v>
      </c>
      <c r="B1037" s="72" t="s">
        <v>1427</v>
      </c>
      <c r="C1037" s="72" t="s">
        <v>1023</v>
      </c>
    </row>
    <row r="1038" spans="1:3" ht="13">
      <c r="A1038" s="71">
        <v>11458</v>
      </c>
      <c r="B1038" s="73" t="s">
        <v>781</v>
      </c>
      <c r="C1038" s="72" t="s">
        <v>1023</v>
      </c>
    </row>
    <row r="1039" spans="1:3" ht="13">
      <c r="A1039" s="71">
        <v>11459</v>
      </c>
      <c r="B1039" s="72" t="s">
        <v>782</v>
      </c>
      <c r="C1039" s="72" t="s">
        <v>1023</v>
      </c>
    </row>
    <row r="1040" spans="1:3" ht="13">
      <c r="A1040" s="71">
        <v>11460</v>
      </c>
      <c r="B1040" s="73" t="s">
        <v>784</v>
      </c>
      <c r="C1040" s="72" t="s">
        <v>1023</v>
      </c>
    </row>
    <row r="1041" spans="1:3" ht="13">
      <c r="A1041" s="71">
        <v>11461</v>
      </c>
      <c r="B1041" s="72" t="s">
        <v>785</v>
      </c>
      <c r="C1041" s="72" t="s">
        <v>1023</v>
      </c>
    </row>
    <row r="1042" spans="1:3" ht="13">
      <c r="A1042" s="71">
        <v>11462</v>
      </c>
      <c r="B1042" s="73" t="s">
        <v>1429</v>
      </c>
      <c r="C1042" s="72" t="s">
        <v>1023</v>
      </c>
    </row>
    <row r="1043" spans="1:3" ht="13">
      <c r="A1043" s="71">
        <v>11463</v>
      </c>
      <c r="B1043" s="72" t="s">
        <v>1431</v>
      </c>
      <c r="C1043" s="72" t="s">
        <v>1023</v>
      </c>
    </row>
    <row r="1044" spans="1:3" ht="13">
      <c r="A1044" s="71">
        <v>11464</v>
      </c>
      <c r="B1044" s="73" t="s">
        <v>815</v>
      </c>
      <c r="C1044" s="72" t="s">
        <v>1023</v>
      </c>
    </row>
    <row r="1045" spans="1:3" ht="13">
      <c r="A1045" s="71">
        <v>11465</v>
      </c>
      <c r="B1045" s="72" t="s">
        <v>816</v>
      </c>
      <c r="C1045" s="72" t="s">
        <v>1023</v>
      </c>
    </row>
    <row r="1046" spans="1:3" ht="13">
      <c r="A1046" s="71">
        <v>11466</v>
      </c>
      <c r="B1046" s="73" t="s">
        <v>702</v>
      </c>
      <c r="C1046" s="72" t="s">
        <v>1023</v>
      </c>
    </row>
    <row r="1047" spans="1:3" ht="13">
      <c r="A1047" s="71">
        <v>11467</v>
      </c>
      <c r="B1047" s="72" t="s">
        <v>786</v>
      </c>
      <c r="C1047" s="72" t="s">
        <v>1023</v>
      </c>
    </row>
    <row r="1048" spans="1:3" ht="13">
      <c r="A1048" s="71">
        <v>11468</v>
      </c>
      <c r="B1048" s="73" t="s">
        <v>787</v>
      </c>
      <c r="C1048" s="72" t="s">
        <v>1023</v>
      </c>
    </row>
    <row r="1049" spans="1:3" ht="13">
      <c r="A1049" s="71">
        <v>11469</v>
      </c>
      <c r="B1049" s="72" t="s">
        <v>788</v>
      </c>
      <c r="C1049" s="72" t="s">
        <v>1023</v>
      </c>
    </row>
    <row r="1050" spans="1:3" ht="13">
      <c r="A1050" s="71">
        <v>11470</v>
      </c>
      <c r="B1050" s="73" t="s">
        <v>1434</v>
      </c>
      <c r="C1050" s="72" t="s">
        <v>1023</v>
      </c>
    </row>
    <row r="1051" spans="1:3" ht="13">
      <c r="A1051" s="71">
        <v>11471</v>
      </c>
      <c r="B1051" s="72" t="s">
        <v>1435</v>
      </c>
      <c r="C1051" s="72" t="s">
        <v>1023</v>
      </c>
    </row>
    <row r="1052" spans="1:3" ht="13">
      <c r="A1052" s="71">
        <v>11472</v>
      </c>
      <c r="B1052" s="73" t="s">
        <v>1436</v>
      </c>
      <c r="C1052" s="72" t="s">
        <v>1023</v>
      </c>
    </row>
    <row r="1053" spans="1:3" ht="13">
      <c r="A1053" s="71">
        <v>11473</v>
      </c>
      <c r="B1053" s="72" t="s">
        <v>789</v>
      </c>
      <c r="C1053" s="72" t="s">
        <v>1023</v>
      </c>
    </row>
    <row r="1054" spans="1:3" ht="13">
      <c r="A1054" s="71">
        <v>11474</v>
      </c>
      <c r="B1054" s="73" t="s">
        <v>1438</v>
      </c>
      <c r="C1054" s="72" t="s">
        <v>1023</v>
      </c>
    </row>
    <row r="1055" spans="1:3" ht="13">
      <c r="A1055" s="71">
        <v>11475</v>
      </c>
      <c r="B1055" s="72" t="s">
        <v>1440</v>
      </c>
      <c r="C1055" s="72" t="s">
        <v>1023</v>
      </c>
    </row>
    <row r="1056" spans="1:3" ht="13">
      <c r="A1056" s="71">
        <v>11476</v>
      </c>
      <c r="B1056" s="73" t="s">
        <v>1442</v>
      </c>
      <c r="C1056" s="72" t="s">
        <v>1023</v>
      </c>
    </row>
    <row r="1057" spans="1:3" ht="13">
      <c r="A1057" s="71">
        <v>11477</v>
      </c>
      <c r="B1057" s="72" t="s">
        <v>819</v>
      </c>
      <c r="C1057" s="72" t="s">
        <v>1023</v>
      </c>
    </row>
    <row r="1058" spans="1:3" ht="13">
      <c r="A1058" s="71">
        <v>11478</v>
      </c>
      <c r="B1058" s="73" t="s">
        <v>790</v>
      </c>
      <c r="C1058" s="72" t="s">
        <v>1023</v>
      </c>
    </row>
    <row r="1059" spans="1:3" ht="13">
      <c r="A1059" s="71">
        <v>11479</v>
      </c>
      <c r="B1059" s="72" t="s">
        <v>1444</v>
      </c>
      <c r="C1059" s="72" t="s">
        <v>1023</v>
      </c>
    </row>
    <row r="1060" spans="1:3" ht="13">
      <c r="A1060" s="71">
        <v>11480</v>
      </c>
      <c r="B1060" s="73" t="s">
        <v>1445</v>
      </c>
      <c r="C1060" s="72" t="s">
        <v>1023</v>
      </c>
    </row>
    <row r="1061" spans="1:3" ht="13">
      <c r="A1061" s="71">
        <v>11481</v>
      </c>
      <c r="B1061" s="72" t="s">
        <v>1446</v>
      </c>
      <c r="C1061" s="72" t="s">
        <v>1023</v>
      </c>
    </row>
    <row r="1062" spans="1:3" ht="13">
      <c r="A1062" s="71">
        <v>11482</v>
      </c>
      <c r="B1062" s="73" t="s">
        <v>990</v>
      </c>
      <c r="C1062" s="72" t="s">
        <v>1023</v>
      </c>
    </row>
    <row r="1063" spans="1:3" ht="13">
      <c r="A1063" s="71">
        <v>11483</v>
      </c>
      <c r="B1063" s="72" t="s">
        <v>1448</v>
      </c>
      <c r="C1063" s="72" t="s">
        <v>1023</v>
      </c>
    </row>
    <row r="1064" spans="1:3" ht="13">
      <c r="A1064" s="71">
        <v>11484</v>
      </c>
      <c r="B1064" s="73" t="s">
        <v>1449</v>
      </c>
      <c r="C1064" s="72" t="s">
        <v>1023</v>
      </c>
    </row>
    <row r="1065" spans="1:3" ht="13">
      <c r="A1065" s="71">
        <v>11485</v>
      </c>
      <c r="B1065" s="72" t="s">
        <v>1451</v>
      </c>
      <c r="C1065" s="72" t="s">
        <v>1023</v>
      </c>
    </row>
    <row r="1066" spans="1:3" ht="13">
      <c r="A1066" s="71">
        <v>11486</v>
      </c>
      <c r="B1066" s="73" t="s">
        <v>1452</v>
      </c>
      <c r="C1066" s="72" t="s">
        <v>1023</v>
      </c>
    </row>
    <row r="1067" spans="1:3" ht="13">
      <c r="A1067" s="71">
        <v>11487</v>
      </c>
      <c r="B1067" s="72" t="s">
        <v>991</v>
      </c>
      <c r="C1067" s="72" t="s">
        <v>1023</v>
      </c>
    </row>
    <row r="1068" spans="1:3" ht="13">
      <c r="A1068" s="71">
        <v>11488</v>
      </c>
      <c r="B1068" s="73" t="s">
        <v>1453</v>
      </c>
      <c r="C1068" s="72" t="s">
        <v>1023</v>
      </c>
    </row>
    <row r="1069" spans="1:3" ht="13">
      <c r="A1069" s="71">
        <v>11489</v>
      </c>
      <c r="B1069" s="72" t="s">
        <v>1454</v>
      </c>
      <c r="C1069" s="72" t="s">
        <v>1023</v>
      </c>
    </row>
    <row r="1070" spans="1:3" ht="13">
      <c r="A1070" s="71">
        <v>11490</v>
      </c>
      <c r="B1070" s="73" t="s">
        <v>1456</v>
      </c>
      <c r="C1070" s="72" t="s">
        <v>1023</v>
      </c>
    </row>
    <row r="1071" spans="1:3" ht="13">
      <c r="A1071" s="71">
        <v>11491</v>
      </c>
      <c r="B1071" s="72" t="s">
        <v>791</v>
      </c>
      <c r="C1071" s="72" t="s">
        <v>1023</v>
      </c>
    </row>
    <row r="1072" spans="1:3" ht="13">
      <c r="A1072" s="71">
        <v>11492</v>
      </c>
      <c r="B1072" s="73" t="s">
        <v>1457</v>
      </c>
      <c r="C1072" s="72" t="s">
        <v>1023</v>
      </c>
    </row>
    <row r="1073" spans="1:3" ht="13">
      <c r="A1073" s="71">
        <v>11493</v>
      </c>
      <c r="B1073" s="72" t="s">
        <v>1459</v>
      </c>
      <c r="C1073" s="72" t="s">
        <v>1023</v>
      </c>
    </row>
    <row r="1074" spans="1:3" ht="13">
      <c r="A1074" s="71">
        <v>11494</v>
      </c>
      <c r="B1074" s="73" t="s">
        <v>1460</v>
      </c>
      <c r="C1074" s="72" t="s">
        <v>1023</v>
      </c>
    </row>
    <row r="1075" spans="1:3" ht="13">
      <c r="A1075" s="71">
        <v>11495</v>
      </c>
      <c r="B1075" s="72" t="s">
        <v>1461</v>
      </c>
      <c r="C1075" s="72" t="s">
        <v>1023</v>
      </c>
    </row>
    <row r="1076" spans="1:3" ht="13">
      <c r="A1076" s="71">
        <v>11496</v>
      </c>
      <c r="B1076" s="73" t="s">
        <v>1462</v>
      </c>
      <c r="C1076" s="72" t="s">
        <v>1023</v>
      </c>
    </row>
    <row r="1077" spans="1:3" ht="13">
      <c r="A1077" s="71">
        <v>11497</v>
      </c>
      <c r="B1077" s="72" t="s">
        <v>1463</v>
      </c>
      <c r="C1077" s="72" t="s">
        <v>1023</v>
      </c>
    </row>
    <row r="1078" spans="1:3" ht="13">
      <c r="A1078" s="71">
        <v>11498</v>
      </c>
      <c r="B1078" s="73" t="s">
        <v>1464</v>
      </c>
      <c r="C1078" s="72" t="s">
        <v>1023</v>
      </c>
    </row>
    <row r="1079" spans="1:3" ht="13">
      <c r="A1079" s="71">
        <v>11499</v>
      </c>
      <c r="B1079" s="72" t="s">
        <v>1467</v>
      </c>
      <c r="C1079" s="72" t="s">
        <v>1023</v>
      </c>
    </row>
    <row r="1080" spans="1:3" ht="13">
      <c r="A1080" s="71">
        <v>11500</v>
      </c>
      <c r="B1080" s="73" t="s">
        <v>1468</v>
      </c>
      <c r="C1080" s="72" t="s">
        <v>1023</v>
      </c>
    </row>
    <row r="1081" spans="1:3" ht="13">
      <c r="A1081" s="71">
        <v>11501</v>
      </c>
      <c r="B1081" s="72" t="s">
        <v>1469</v>
      </c>
      <c r="C1081" s="72" t="s">
        <v>1023</v>
      </c>
    </row>
    <row r="1082" spans="1:3" ht="13">
      <c r="A1082" s="71">
        <v>11502</v>
      </c>
      <c r="B1082" s="73" t="s">
        <v>1470</v>
      </c>
      <c r="C1082" s="72" t="s">
        <v>1023</v>
      </c>
    </row>
    <row r="1083" spans="1:3" ht="13">
      <c r="A1083" s="71">
        <v>11503</v>
      </c>
      <c r="B1083" s="72" t="s">
        <v>1471</v>
      </c>
      <c r="C1083" s="72" t="s">
        <v>1023</v>
      </c>
    </row>
    <row r="1084" spans="1:3" ht="13">
      <c r="A1084" s="71">
        <v>11504</v>
      </c>
      <c r="B1084" s="73" t="s">
        <v>1472</v>
      </c>
      <c r="C1084" s="72" t="s">
        <v>1023</v>
      </c>
    </row>
    <row r="1085" spans="1:3" ht="13">
      <c r="A1085" s="71">
        <v>11505</v>
      </c>
      <c r="B1085" s="72" t="s">
        <v>1473</v>
      </c>
      <c r="C1085" s="72" t="s">
        <v>1023</v>
      </c>
    </row>
    <row r="1086" spans="1:3" ht="13">
      <c r="A1086" s="71">
        <v>11506</v>
      </c>
      <c r="B1086" s="73" t="s">
        <v>1474</v>
      </c>
      <c r="C1086" s="72" t="s">
        <v>1023</v>
      </c>
    </row>
    <row r="1087" spans="1:3" ht="13">
      <c r="A1087" s="71">
        <v>11507</v>
      </c>
      <c r="B1087" s="72" t="s">
        <v>1476</v>
      </c>
      <c r="C1087" s="72" t="s">
        <v>1023</v>
      </c>
    </row>
    <row r="1088" spans="1:3" ht="13">
      <c r="A1088" s="71">
        <v>11508</v>
      </c>
      <c r="B1088" s="73" t="s">
        <v>1477</v>
      </c>
      <c r="C1088" s="72" t="s">
        <v>1023</v>
      </c>
    </row>
    <row r="1089" spans="1:3" ht="13">
      <c r="A1089" s="71">
        <v>11509</v>
      </c>
      <c r="B1089" s="72" t="s">
        <v>1478</v>
      </c>
      <c r="C1089" s="72" t="s">
        <v>1023</v>
      </c>
    </row>
    <row r="1090" spans="1:3" ht="13">
      <c r="A1090" s="71">
        <v>11510</v>
      </c>
      <c r="B1090" s="73" t="s">
        <v>1479</v>
      </c>
      <c r="C1090" s="72" t="s">
        <v>1023</v>
      </c>
    </row>
    <row r="1091" spans="1:3" ht="13">
      <c r="A1091" s="71">
        <v>11511</v>
      </c>
      <c r="B1091" s="72" t="s">
        <v>703</v>
      </c>
      <c r="C1091" s="72" t="s">
        <v>1023</v>
      </c>
    </row>
    <row r="1092" spans="1:3" ht="13">
      <c r="A1092" s="71">
        <v>11512</v>
      </c>
      <c r="B1092" s="73" t="s">
        <v>704</v>
      </c>
      <c r="C1092" s="72" t="s">
        <v>1023</v>
      </c>
    </row>
    <row r="1093" spans="1:3" ht="13">
      <c r="A1093" s="71">
        <v>11513</v>
      </c>
      <c r="B1093" s="72" t="s">
        <v>1480</v>
      </c>
      <c r="C1093" s="72" t="s">
        <v>1023</v>
      </c>
    </row>
    <row r="1094" spans="1:3" ht="13">
      <c r="A1094" s="71">
        <v>11514</v>
      </c>
      <c r="B1094" s="73" t="s">
        <v>1481</v>
      </c>
      <c r="C1094" s="72" t="s">
        <v>1023</v>
      </c>
    </row>
    <row r="1095" spans="1:3" ht="13">
      <c r="A1095" s="71">
        <v>11515</v>
      </c>
      <c r="B1095" s="72" t="s">
        <v>1482</v>
      </c>
      <c r="C1095" s="72" t="s">
        <v>1023</v>
      </c>
    </row>
    <row r="1096" spans="1:3" ht="13">
      <c r="A1096" s="71">
        <v>11516</v>
      </c>
      <c r="B1096" s="73" t="s">
        <v>1483</v>
      </c>
      <c r="C1096" s="72" t="s">
        <v>1023</v>
      </c>
    </row>
    <row r="1097" spans="1:3" ht="13">
      <c r="A1097" s="71">
        <v>11517</v>
      </c>
      <c r="B1097" s="72" t="s">
        <v>1484</v>
      </c>
      <c r="C1097" s="72" t="s">
        <v>1023</v>
      </c>
    </row>
    <row r="1098" spans="1:3" ht="13">
      <c r="A1098" s="71">
        <v>11518</v>
      </c>
      <c r="B1098" s="73" t="s">
        <v>1485</v>
      </c>
      <c r="C1098" s="72" t="s">
        <v>1023</v>
      </c>
    </row>
    <row r="1099" spans="1:3" ht="13">
      <c r="A1099" s="71">
        <v>11519</v>
      </c>
      <c r="B1099" s="72" t="s">
        <v>1486</v>
      </c>
      <c r="C1099" s="72" t="s">
        <v>1023</v>
      </c>
    </row>
    <row r="1100" spans="1:3" ht="13">
      <c r="A1100" s="71">
        <v>11520</v>
      </c>
      <c r="B1100" s="73" t="s">
        <v>1489</v>
      </c>
      <c r="C1100" s="72" t="s">
        <v>1023</v>
      </c>
    </row>
    <row r="1101" spans="1:3" ht="13">
      <c r="A1101" s="71">
        <v>11521</v>
      </c>
      <c r="B1101" s="72" t="s">
        <v>1490</v>
      </c>
      <c r="C1101" s="72" t="s">
        <v>1023</v>
      </c>
    </row>
    <row r="1102" spans="1:3" ht="13">
      <c r="A1102" s="71">
        <v>11522</v>
      </c>
      <c r="B1102" s="73" t="s">
        <v>1491</v>
      </c>
      <c r="C1102" s="72" t="s">
        <v>1023</v>
      </c>
    </row>
    <row r="1103" spans="1:3" ht="13">
      <c r="A1103" s="71">
        <v>11523</v>
      </c>
      <c r="B1103" s="72" t="s">
        <v>1492</v>
      </c>
      <c r="C1103" s="72" t="s">
        <v>1023</v>
      </c>
    </row>
    <row r="1104" spans="1:3" ht="13">
      <c r="A1104" s="71">
        <v>11524</v>
      </c>
      <c r="B1104" s="73" t="s">
        <v>1493</v>
      </c>
      <c r="C1104" s="72" t="s">
        <v>1023</v>
      </c>
    </row>
    <row r="1105" spans="1:3" ht="13">
      <c r="A1105" s="71">
        <v>11525</v>
      </c>
      <c r="B1105" s="72" t="s">
        <v>1494</v>
      </c>
      <c r="C1105" s="72" t="s">
        <v>1023</v>
      </c>
    </row>
    <row r="1106" spans="1:3" ht="13">
      <c r="A1106" s="71">
        <v>11526</v>
      </c>
      <c r="B1106" s="73" t="s">
        <v>1495</v>
      </c>
      <c r="C1106" s="72" t="s">
        <v>1023</v>
      </c>
    </row>
    <row r="1107" spans="1:3" ht="13">
      <c r="A1107" s="71">
        <v>11527</v>
      </c>
      <c r="B1107" s="72" t="s">
        <v>1496</v>
      </c>
      <c r="C1107" s="72" t="s">
        <v>1023</v>
      </c>
    </row>
    <row r="1108" spans="1:3" ht="13">
      <c r="A1108" s="71">
        <v>11528</v>
      </c>
      <c r="B1108" s="73" t="s">
        <v>1497</v>
      </c>
      <c r="C1108" s="72" t="s">
        <v>1023</v>
      </c>
    </row>
    <row r="1109" spans="1:3" ht="13">
      <c r="A1109" s="71">
        <v>11529</v>
      </c>
      <c r="B1109" s="72" t="s">
        <v>1498</v>
      </c>
      <c r="C1109" s="72" t="s">
        <v>1023</v>
      </c>
    </row>
    <row r="1110" spans="1:3" ht="13">
      <c r="A1110" s="71">
        <v>11530</v>
      </c>
      <c r="B1110" s="73" t="s">
        <v>1499</v>
      </c>
      <c r="C1110" s="72" t="s">
        <v>1023</v>
      </c>
    </row>
    <row r="1111" spans="1:3" ht="13">
      <c r="A1111" s="71">
        <v>11531</v>
      </c>
      <c r="B1111" s="72" t="s">
        <v>1501</v>
      </c>
      <c r="C1111" s="72" t="s">
        <v>1023</v>
      </c>
    </row>
    <row r="1112" spans="1:3" ht="13">
      <c r="A1112" s="71">
        <v>11532</v>
      </c>
      <c r="B1112" s="73" t="s">
        <v>1502</v>
      </c>
      <c r="C1112" s="72" t="s">
        <v>1023</v>
      </c>
    </row>
    <row r="1113" spans="1:3" ht="13">
      <c r="A1113" s="71">
        <v>11533</v>
      </c>
      <c r="B1113" s="72" t="s">
        <v>1503</v>
      </c>
      <c r="C1113" s="72" t="s">
        <v>1023</v>
      </c>
    </row>
    <row r="1114" spans="1:3" ht="13">
      <c r="A1114" s="71">
        <v>11534</v>
      </c>
      <c r="B1114" s="73" t="s">
        <v>1504</v>
      </c>
      <c r="C1114" s="72" t="s">
        <v>1023</v>
      </c>
    </row>
    <row r="1115" spans="1:3" ht="13">
      <c r="A1115" s="71">
        <v>11535</v>
      </c>
      <c r="B1115" s="72" t="s">
        <v>1505</v>
      </c>
      <c r="C1115" s="72" t="s">
        <v>1023</v>
      </c>
    </row>
    <row r="1116" spans="1:3" ht="13">
      <c r="A1116" s="71">
        <v>11536</v>
      </c>
      <c r="B1116" s="73" t="s">
        <v>1506</v>
      </c>
      <c r="C1116" s="72" t="s">
        <v>1023</v>
      </c>
    </row>
    <row r="1117" spans="1:3" ht="13">
      <c r="A1117" s="71">
        <v>11537</v>
      </c>
      <c r="B1117" s="72" t="s">
        <v>1507</v>
      </c>
      <c r="C1117" s="72" t="s">
        <v>1023</v>
      </c>
    </row>
    <row r="1118" spans="1:3" ht="13">
      <c r="A1118" s="71">
        <v>11538</v>
      </c>
      <c r="B1118" s="73" t="s">
        <v>992</v>
      </c>
      <c r="C1118" s="72" t="s">
        <v>1023</v>
      </c>
    </row>
    <row r="1119" spans="1:3" ht="13">
      <c r="A1119" s="71">
        <v>11539</v>
      </c>
      <c r="B1119" s="72" t="s">
        <v>1508</v>
      </c>
      <c r="C1119" s="72" t="s">
        <v>1023</v>
      </c>
    </row>
    <row r="1120" spans="1:3" ht="13">
      <c r="A1120" s="71">
        <v>11540</v>
      </c>
      <c r="B1120" s="73" t="s">
        <v>1509</v>
      </c>
      <c r="C1120" s="72" t="s">
        <v>1023</v>
      </c>
    </row>
    <row r="1121" spans="1:3" ht="13">
      <c r="A1121" s="71">
        <v>11541</v>
      </c>
      <c r="B1121" s="72" t="s">
        <v>1510</v>
      </c>
      <c r="C1121" s="72" t="s">
        <v>1023</v>
      </c>
    </row>
    <row r="1122" spans="1:3" ht="13">
      <c r="A1122" s="71">
        <v>11542</v>
      </c>
      <c r="B1122" s="73" t="s">
        <v>1511</v>
      </c>
      <c r="C1122" s="72" t="s">
        <v>1023</v>
      </c>
    </row>
    <row r="1123" spans="1:3" ht="13">
      <c r="A1123" s="71">
        <v>11543</v>
      </c>
      <c r="B1123" s="72" t="s">
        <v>792</v>
      </c>
      <c r="C1123" s="72" t="s">
        <v>1023</v>
      </c>
    </row>
    <row r="1124" spans="1:3" ht="13">
      <c r="A1124" s="71">
        <v>11544</v>
      </c>
      <c r="B1124" s="73" t="s">
        <v>1512</v>
      </c>
      <c r="C1124" s="72" t="s">
        <v>1023</v>
      </c>
    </row>
    <row r="1125" spans="1:3" ht="13">
      <c r="A1125" s="71">
        <v>11545</v>
      </c>
      <c r="B1125" s="75">
        <v>178</v>
      </c>
      <c r="C1125" s="72" t="s">
        <v>1023</v>
      </c>
    </row>
    <row r="1126" spans="1:3" ht="13">
      <c r="A1126" s="71">
        <v>11553</v>
      </c>
      <c r="B1126" s="75">
        <v>186</v>
      </c>
      <c r="C1126" s="72" t="s">
        <v>1023</v>
      </c>
    </row>
    <row r="1127" spans="1:3" ht="13">
      <c r="A1127" s="71">
        <v>11554</v>
      </c>
      <c r="B1127" s="77">
        <v>187</v>
      </c>
      <c r="C1127" s="72" t="s">
        <v>1023</v>
      </c>
    </row>
    <row r="1128" spans="1:3" ht="13">
      <c r="A1128" s="71">
        <v>11557</v>
      </c>
      <c r="B1128" s="75">
        <v>190</v>
      </c>
      <c r="C1128" s="72" t="s">
        <v>1023</v>
      </c>
    </row>
    <row r="1129" spans="1:3" ht="13">
      <c r="A1129" s="71">
        <v>11558</v>
      </c>
      <c r="B1129" s="77">
        <v>191</v>
      </c>
      <c r="C1129" s="72" t="s">
        <v>1023</v>
      </c>
    </row>
    <row r="1130" spans="1:3" ht="13">
      <c r="A1130" s="71">
        <v>11571</v>
      </c>
      <c r="B1130" s="75">
        <v>204</v>
      </c>
      <c r="C1130" s="72" t="s">
        <v>1023</v>
      </c>
    </row>
    <row r="1131" spans="1:3" ht="13">
      <c r="A1131" s="71">
        <v>11578</v>
      </c>
      <c r="B1131" s="77">
        <v>211</v>
      </c>
      <c r="C1131" s="72" t="s">
        <v>1023</v>
      </c>
    </row>
    <row r="1132" spans="1:3" ht="13">
      <c r="A1132" s="71">
        <v>11599</v>
      </c>
      <c r="B1132" s="75">
        <v>232</v>
      </c>
      <c r="C1132" s="72" t="s">
        <v>1023</v>
      </c>
    </row>
    <row r="1133" spans="1:3" ht="13">
      <c r="A1133" s="71">
        <v>11618</v>
      </c>
      <c r="B1133" s="77">
        <v>251</v>
      </c>
      <c r="C1133" s="72" t="s">
        <v>1023</v>
      </c>
    </row>
    <row r="1134" spans="1:3" ht="13">
      <c r="A1134" s="71">
        <v>11619</v>
      </c>
      <c r="B1134" s="75">
        <v>252</v>
      </c>
      <c r="C1134" s="72" t="s">
        <v>1023</v>
      </c>
    </row>
    <row r="1135" spans="1:3" ht="13">
      <c r="A1135" s="71">
        <v>11620</v>
      </c>
      <c r="B1135" s="77">
        <v>253</v>
      </c>
      <c r="C1135" s="72" t="s">
        <v>1023</v>
      </c>
    </row>
    <row r="1136" spans="1:3" ht="13">
      <c r="A1136" s="71">
        <v>11621</v>
      </c>
      <c r="B1136" s="75">
        <v>254</v>
      </c>
      <c r="C1136" s="72" t="s">
        <v>1023</v>
      </c>
    </row>
    <row r="1137" spans="1:3" ht="13">
      <c r="A1137" s="71">
        <v>11622</v>
      </c>
      <c r="B1137" s="77">
        <v>255</v>
      </c>
      <c r="C1137" s="72" t="s">
        <v>1023</v>
      </c>
    </row>
    <row r="1138" spans="1:3" ht="13">
      <c r="A1138" s="71">
        <v>11623</v>
      </c>
      <c r="B1138" s="75">
        <v>256</v>
      </c>
      <c r="C1138" s="72" t="s">
        <v>1023</v>
      </c>
    </row>
    <row r="1139" spans="1:3" ht="13">
      <c r="A1139" s="71">
        <v>11624</v>
      </c>
      <c r="B1139" s="77">
        <v>257</v>
      </c>
      <c r="C1139" s="72" t="s">
        <v>1023</v>
      </c>
    </row>
    <row r="1140" spans="1:3" ht="13">
      <c r="A1140" s="71">
        <v>11625</v>
      </c>
      <c r="B1140" s="75">
        <v>258</v>
      </c>
      <c r="C1140" s="72" t="s">
        <v>1023</v>
      </c>
    </row>
    <row r="1141" spans="1:3" ht="13">
      <c r="A1141" s="71">
        <v>11632</v>
      </c>
      <c r="B1141" s="77">
        <v>265</v>
      </c>
      <c r="C1141" s="72" t="s">
        <v>1023</v>
      </c>
    </row>
    <row r="1142" spans="1:3" ht="13">
      <c r="A1142" s="71">
        <v>11637</v>
      </c>
      <c r="B1142" s="75">
        <v>270</v>
      </c>
      <c r="C1142" s="72" t="s">
        <v>1023</v>
      </c>
    </row>
    <row r="1143" spans="1:3" ht="13">
      <c r="A1143" s="71">
        <v>11638</v>
      </c>
      <c r="B1143" s="77">
        <v>271</v>
      </c>
      <c r="C1143" s="72" t="s">
        <v>1023</v>
      </c>
    </row>
    <row r="1144" spans="1:3" ht="13">
      <c r="A1144" s="71">
        <v>11639</v>
      </c>
      <c r="B1144" s="75">
        <v>272</v>
      </c>
      <c r="C1144" s="72" t="s">
        <v>1023</v>
      </c>
    </row>
    <row r="1145" spans="1:3" ht="13">
      <c r="A1145" s="71">
        <v>11641</v>
      </c>
      <c r="B1145" s="75">
        <v>274</v>
      </c>
      <c r="C1145" s="72" t="s">
        <v>1023</v>
      </c>
    </row>
    <row r="1146" spans="1:3" ht="13">
      <c r="A1146" s="71">
        <v>11650</v>
      </c>
      <c r="B1146" s="77">
        <v>283</v>
      </c>
      <c r="C1146" s="72" t="s">
        <v>1023</v>
      </c>
    </row>
    <row r="1147" spans="1:3" ht="13">
      <c r="A1147" s="71">
        <v>11655</v>
      </c>
      <c r="B1147" s="75">
        <v>288</v>
      </c>
      <c r="C1147" s="72" t="s">
        <v>1023</v>
      </c>
    </row>
    <row r="1148" spans="1:3" ht="13">
      <c r="A1148" s="71">
        <v>11660</v>
      </c>
      <c r="B1148" s="77">
        <v>293</v>
      </c>
      <c r="C1148" s="72" t="s">
        <v>1023</v>
      </c>
    </row>
    <row r="1149" spans="1:3" ht="13">
      <c r="A1149" s="71">
        <v>11663</v>
      </c>
      <c r="B1149" s="75">
        <v>296</v>
      </c>
      <c r="C1149" s="72" t="s">
        <v>1023</v>
      </c>
    </row>
    <row r="1150" spans="1:3" ht="13">
      <c r="A1150" s="71">
        <v>11664</v>
      </c>
      <c r="B1150" s="77">
        <v>297</v>
      </c>
      <c r="C1150" s="72" t="s">
        <v>1023</v>
      </c>
    </row>
    <row r="1151" spans="1:3" ht="13">
      <c r="A1151" s="71">
        <v>11676</v>
      </c>
      <c r="B1151" s="77">
        <v>309</v>
      </c>
      <c r="C1151" s="72" t="s">
        <v>1023</v>
      </c>
    </row>
    <row r="1152" spans="1:3" ht="13">
      <c r="A1152" s="71">
        <v>11678</v>
      </c>
      <c r="B1152" s="77">
        <v>311</v>
      </c>
      <c r="C1152" s="72" t="s">
        <v>1023</v>
      </c>
    </row>
    <row r="1153" spans="1:3" ht="13">
      <c r="A1153" s="71">
        <v>11681</v>
      </c>
      <c r="B1153" s="75">
        <v>314</v>
      </c>
      <c r="C1153" s="72" t="s">
        <v>1023</v>
      </c>
    </row>
    <row r="1154" spans="1:3" ht="13">
      <c r="A1154" s="71">
        <v>11682</v>
      </c>
      <c r="B1154" s="77">
        <v>315</v>
      </c>
      <c r="C1154" s="72" t="s">
        <v>1023</v>
      </c>
    </row>
    <row r="1155" spans="1:3" ht="13">
      <c r="A1155" s="71">
        <v>11688</v>
      </c>
      <c r="B1155" s="77">
        <v>321</v>
      </c>
      <c r="C1155" s="72" t="s">
        <v>1023</v>
      </c>
    </row>
    <row r="1156" spans="1:3" ht="13">
      <c r="A1156" s="71">
        <v>11689</v>
      </c>
      <c r="B1156" s="75">
        <v>322</v>
      </c>
      <c r="C1156" s="72" t="s">
        <v>1023</v>
      </c>
    </row>
    <row r="1157" spans="1:3" ht="13">
      <c r="A1157" s="71">
        <v>11690</v>
      </c>
      <c r="B1157" s="77">
        <v>323</v>
      </c>
      <c r="C1157" s="72" t="s">
        <v>1023</v>
      </c>
    </row>
    <row r="1158" spans="1:3" ht="13">
      <c r="A1158" s="71">
        <v>11691</v>
      </c>
      <c r="B1158" s="75">
        <v>324</v>
      </c>
      <c r="C1158" s="72" t="s">
        <v>1023</v>
      </c>
    </row>
    <row r="1159" spans="1:3" ht="13">
      <c r="A1159" s="71">
        <v>11692</v>
      </c>
      <c r="B1159" s="77">
        <v>325</v>
      </c>
      <c r="C1159" s="72" t="s">
        <v>1023</v>
      </c>
    </row>
    <row r="1160" spans="1:3" ht="13">
      <c r="A1160" s="71">
        <v>11693</v>
      </c>
      <c r="B1160" s="75">
        <v>326</v>
      </c>
      <c r="C1160" s="72" t="s">
        <v>1023</v>
      </c>
    </row>
    <row r="1161" spans="1:3" ht="13">
      <c r="A1161" s="71">
        <v>11694</v>
      </c>
      <c r="B1161" s="77">
        <v>327</v>
      </c>
      <c r="C1161" s="72" t="s">
        <v>1023</v>
      </c>
    </row>
    <row r="1162" spans="1:3" ht="13">
      <c r="A1162" s="71">
        <v>11696</v>
      </c>
      <c r="B1162" s="77">
        <v>329</v>
      </c>
      <c r="C1162" s="72" t="s">
        <v>1023</v>
      </c>
    </row>
    <row r="1163" spans="1:3" ht="13">
      <c r="A1163" s="71">
        <v>11697</v>
      </c>
      <c r="B1163" s="75">
        <v>330</v>
      </c>
      <c r="C1163" s="72" t="s">
        <v>1023</v>
      </c>
    </row>
    <row r="1164" spans="1:3" ht="13">
      <c r="A1164" s="71">
        <v>11700</v>
      </c>
      <c r="B1164" s="77">
        <v>333</v>
      </c>
      <c r="C1164" s="72" t="s">
        <v>1023</v>
      </c>
    </row>
    <row r="1165" spans="1:3" ht="13">
      <c r="A1165" s="71">
        <v>11703</v>
      </c>
      <c r="B1165" s="75">
        <v>336</v>
      </c>
      <c r="C1165" s="72" t="s">
        <v>1023</v>
      </c>
    </row>
    <row r="1166" spans="1:3" ht="13">
      <c r="A1166" s="71">
        <v>11709</v>
      </c>
      <c r="B1166" s="75">
        <v>342</v>
      </c>
      <c r="C1166" s="72" t="s">
        <v>1023</v>
      </c>
    </row>
    <row r="1167" spans="1:3" ht="13">
      <c r="A1167" s="71">
        <v>11714</v>
      </c>
      <c r="B1167" s="77">
        <v>347</v>
      </c>
      <c r="C1167" s="72" t="s">
        <v>1023</v>
      </c>
    </row>
    <row r="1168" spans="1:3" ht="13">
      <c r="A1168" s="71">
        <v>11715</v>
      </c>
      <c r="B1168" s="75">
        <v>348</v>
      </c>
      <c r="C1168" s="72" t="s">
        <v>1023</v>
      </c>
    </row>
    <row r="1169" spans="1:3" ht="13">
      <c r="A1169" s="71">
        <v>11717</v>
      </c>
      <c r="B1169" s="75">
        <v>350</v>
      </c>
      <c r="C1169" s="72" t="s">
        <v>1023</v>
      </c>
    </row>
    <row r="1170" spans="1:3" ht="13">
      <c r="A1170" s="71">
        <v>11718</v>
      </c>
      <c r="B1170" s="77">
        <v>351</v>
      </c>
      <c r="C1170" s="72" t="s">
        <v>1023</v>
      </c>
    </row>
    <row r="1171" spans="1:3" ht="13">
      <c r="A1171" s="71">
        <v>11719</v>
      </c>
      <c r="B1171" s="75">
        <v>352</v>
      </c>
      <c r="C1171" s="72" t="s">
        <v>1023</v>
      </c>
    </row>
    <row r="1172" spans="1:3" ht="13">
      <c r="A1172" s="71">
        <v>11720</v>
      </c>
      <c r="B1172" s="77">
        <v>353</v>
      </c>
      <c r="C1172" s="72" t="s">
        <v>1023</v>
      </c>
    </row>
    <row r="1173" spans="1:3" ht="13">
      <c r="A1173" s="71">
        <v>11721</v>
      </c>
      <c r="B1173" s="75">
        <v>354</v>
      </c>
      <c r="C1173" s="72" t="s">
        <v>1023</v>
      </c>
    </row>
    <row r="1174" spans="1:3" ht="13">
      <c r="A1174" s="71">
        <v>11722</v>
      </c>
      <c r="B1174" s="77">
        <v>355</v>
      </c>
      <c r="C1174" s="72" t="s">
        <v>1023</v>
      </c>
    </row>
    <row r="1175" spans="1:3" ht="13">
      <c r="A1175" s="71">
        <v>11723</v>
      </c>
      <c r="B1175" s="75">
        <v>356</v>
      </c>
      <c r="C1175" s="72" t="s">
        <v>1023</v>
      </c>
    </row>
    <row r="1176" spans="1:3" ht="13">
      <c r="A1176" s="71">
        <v>11726</v>
      </c>
      <c r="B1176" s="77">
        <v>359</v>
      </c>
      <c r="C1176" s="72" t="s">
        <v>1023</v>
      </c>
    </row>
    <row r="1177" spans="1:3" ht="13">
      <c r="A1177" s="71">
        <v>11727</v>
      </c>
      <c r="B1177" s="75">
        <v>360</v>
      </c>
      <c r="C1177" s="72" t="s">
        <v>1023</v>
      </c>
    </row>
    <row r="1178" spans="1:3" ht="13">
      <c r="A1178" s="71">
        <v>11728</v>
      </c>
      <c r="B1178" s="77">
        <v>361</v>
      </c>
      <c r="C1178" s="72" t="s">
        <v>1023</v>
      </c>
    </row>
    <row r="1179" spans="1:3" ht="13">
      <c r="A1179" s="71">
        <v>11729</v>
      </c>
      <c r="B1179" s="75">
        <v>362</v>
      </c>
      <c r="C1179" s="72" t="s">
        <v>1023</v>
      </c>
    </row>
    <row r="1180" spans="1:3" ht="13">
      <c r="A1180" s="71">
        <v>11730</v>
      </c>
      <c r="B1180" s="77">
        <v>363</v>
      </c>
      <c r="C1180" s="72" t="s">
        <v>1023</v>
      </c>
    </row>
    <row r="1181" spans="1:3" ht="13">
      <c r="A1181" s="71">
        <v>11731</v>
      </c>
      <c r="B1181" s="75">
        <v>364</v>
      </c>
      <c r="C1181" s="72" t="s">
        <v>1023</v>
      </c>
    </row>
    <row r="1182" spans="1:3" ht="13">
      <c r="A1182" s="71">
        <v>11732</v>
      </c>
      <c r="B1182" s="77">
        <v>365</v>
      </c>
      <c r="C1182" s="72" t="s">
        <v>1023</v>
      </c>
    </row>
    <row r="1183" spans="1:3" ht="13">
      <c r="A1183" s="71">
        <v>11733</v>
      </c>
      <c r="B1183" s="75">
        <v>366</v>
      </c>
      <c r="C1183" s="72" t="s">
        <v>1023</v>
      </c>
    </row>
    <row r="1184" spans="1:3" ht="13">
      <c r="A1184" s="71">
        <v>11734</v>
      </c>
      <c r="B1184" s="77">
        <v>367</v>
      </c>
      <c r="C1184" s="72" t="s">
        <v>1023</v>
      </c>
    </row>
    <row r="1185" spans="1:3" ht="13">
      <c r="A1185" s="71">
        <v>11735</v>
      </c>
      <c r="B1185" s="75">
        <v>368</v>
      </c>
      <c r="C1185" s="72" t="s">
        <v>1023</v>
      </c>
    </row>
    <row r="1186" spans="1:3" ht="13">
      <c r="A1186" s="71">
        <v>11736</v>
      </c>
      <c r="B1186" s="77">
        <v>369</v>
      </c>
      <c r="C1186" s="72" t="s">
        <v>1023</v>
      </c>
    </row>
    <row r="1187" spans="1:3" ht="13">
      <c r="A1187" s="71">
        <v>11737</v>
      </c>
      <c r="B1187" s="75">
        <v>370</v>
      </c>
      <c r="C1187" s="72" t="s">
        <v>1023</v>
      </c>
    </row>
    <row r="1188" spans="1:3" ht="13">
      <c r="A1188" s="71">
        <v>11738</v>
      </c>
      <c r="B1188" s="77">
        <v>371</v>
      </c>
      <c r="C1188" s="72" t="s">
        <v>1023</v>
      </c>
    </row>
    <row r="1189" spans="1:3" ht="13">
      <c r="A1189" s="71">
        <v>11739</v>
      </c>
      <c r="B1189" s="75">
        <v>372</v>
      </c>
      <c r="C1189" s="72" t="s">
        <v>1023</v>
      </c>
    </row>
    <row r="1190" spans="1:3" ht="13">
      <c r="A1190" s="71">
        <v>11740</v>
      </c>
      <c r="B1190" s="77">
        <v>373</v>
      </c>
      <c r="C1190" s="72" t="s">
        <v>1023</v>
      </c>
    </row>
    <row r="1191" spans="1:3" ht="13">
      <c r="A1191" s="71">
        <v>11741</v>
      </c>
      <c r="B1191" s="75">
        <v>374</v>
      </c>
      <c r="C1191" s="72" t="s">
        <v>1023</v>
      </c>
    </row>
    <row r="1192" spans="1:3" ht="13">
      <c r="A1192" s="71">
        <v>11742</v>
      </c>
      <c r="B1192" s="77">
        <v>375</v>
      </c>
      <c r="C1192" s="72" t="s">
        <v>1023</v>
      </c>
    </row>
    <row r="1193" spans="1:3" ht="13">
      <c r="A1193" s="71">
        <v>11743</v>
      </c>
      <c r="B1193" s="75">
        <v>376</v>
      </c>
      <c r="C1193" s="72" t="s">
        <v>1023</v>
      </c>
    </row>
    <row r="1194" spans="1:3" ht="13">
      <c r="A1194" s="71">
        <v>11744</v>
      </c>
      <c r="B1194" s="77">
        <v>377</v>
      </c>
      <c r="C1194" s="72" t="s">
        <v>1023</v>
      </c>
    </row>
    <row r="1195" spans="1:3" ht="13">
      <c r="A1195" s="71">
        <v>11745</v>
      </c>
      <c r="B1195" s="75">
        <v>378</v>
      </c>
      <c r="C1195" s="72" t="s">
        <v>1023</v>
      </c>
    </row>
    <row r="1196" spans="1:3" ht="13">
      <c r="A1196" s="71">
        <v>11746</v>
      </c>
      <c r="B1196" s="77">
        <v>379</v>
      </c>
      <c r="C1196" s="72" t="s">
        <v>1023</v>
      </c>
    </row>
    <row r="1197" spans="1:3" ht="13">
      <c r="A1197" s="71">
        <v>11747</v>
      </c>
      <c r="B1197" s="75">
        <v>380</v>
      </c>
      <c r="C1197" s="72" t="s">
        <v>1023</v>
      </c>
    </row>
    <row r="1198" spans="1:3" ht="13">
      <c r="A1198" s="71">
        <v>11753</v>
      </c>
      <c r="B1198" s="75">
        <v>386</v>
      </c>
      <c r="C1198" s="72" t="s">
        <v>1023</v>
      </c>
    </row>
    <row r="1199" spans="1:3" ht="13">
      <c r="A1199" s="71">
        <v>11756</v>
      </c>
      <c r="B1199" s="77">
        <v>389</v>
      </c>
      <c r="C1199" s="72" t="s">
        <v>1023</v>
      </c>
    </row>
    <row r="1200" spans="1:3" ht="13">
      <c r="A1200" s="71">
        <v>11760</v>
      </c>
      <c r="B1200" s="77">
        <v>393</v>
      </c>
      <c r="C1200" s="72" t="s">
        <v>1023</v>
      </c>
    </row>
    <row r="1201" spans="1:3" ht="13">
      <c r="A1201" s="71">
        <v>11761</v>
      </c>
      <c r="B1201" s="75">
        <v>394</v>
      </c>
      <c r="C1201" s="72" t="s">
        <v>1023</v>
      </c>
    </row>
    <row r="1202" spans="1:3" ht="13">
      <c r="A1202" s="71">
        <v>11762</v>
      </c>
      <c r="B1202" s="77">
        <v>395</v>
      </c>
      <c r="C1202" s="72" t="s">
        <v>1023</v>
      </c>
    </row>
    <row r="1203" spans="1:3" ht="13">
      <c r="A1203" s="71">
        <v>11767</v>
      </c>
      <c r="B1203" s="75">
        <v>400</v>
      </c>
      <c r="C1203" s="72" t="s">
        <v>1023</v>
      </c>
    </row>
    <row r="1204" spans="1:3" ht="13">
      <c r="A1204" s="71">
        <v>11772</v>
      </c>
      <c r="B1204" s="77">
        <v>405</v>
      </c>
      <c r="C1204" s="72" t="s">
        <v>1023</v>
      </c>
    </row>
    <row r="1205" spans="1:3" ht="13">
      <c r="A1205" s="71">
        <v>11775</v>
      </c>
      <c r="B1205" s="75">
        <v>408</v>
      </c>
      <c r="C1205" s="72" t="s">
        <v>1023</v>
      </c>
    </row>
    <row r="1206" spans="1:3" ht="13">
      <c r="A1206" s="71">
        <v>11776</v>
      </c>
      <c r="B1206" s="77">
        <v>409</v>
      </c>
      <c r="C1206" s="72" t="s">
        <v>1023</v>
      </c>
    </row>
    <row r="1207" spans="1:3" ht="13">
      <c r="A1207" s="71">
        <v>11778</v>
      </c>
      <c r="B1207" s="77">
        <v>411</v>
      </c>
      <c r="C1207" s="72" t="s">
        <v>1023</v>
      </c>
    </row>
    <row r="1208" spans="1:3" ht="13">
      <c r="A1208" s="71">
        <v>11785</v>
      </c>
      <c r="B1208" s="75">
        <v>418</v>
      </c>
      <c r="C1208" s="72" t="s">
        <v>1023</v>
      </c>
    </row>
    <row r="1209" spans="1:3" ht="13">
      <c r="A1209" s="71">
        <v>11786</v>
      </c>
      <c r="B1209" s="77">
        <v>419</v>
      </c>
      <c r="C1209" s="72" t="s">
        <v>1023</v>
      </c>
    </row>
    <row r="1210" spans="1:3" ht="13">
      <c r="A1210" s="71">
        <v>11787</v>
      </c>
      <c r="B1210" s="75">
        <v>420</v>
      </c>
      <c r="C1210" s="72" t="s">
        <v>1023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10</vt:i4>
      </vt:variant>
    </vt:vector>
  </HeadingPairs>
  <TitlesOfParts>
    <vt:vector size="10" baseType="lpstr">
      <vt:lpstr>Respostas ao formulário 1</vt:lpstr>
      <vt:lpstr>Stakeholders</vt:lpstr>
      <vt:lpstr>Relatórios</vt:lpstr>
      <vt:lpstr>Cálculos</vt:lpstr>
      <vt:lpstr>calculos 2</vt:lpstr>
      <vt:lpstr>Dados para dashboard</vt:lpstr>
      <vt:lpstr>Areas</vt:lpstr>
      <vt:lpstr>ChaveRelatório</vt:lpstr>
      <vt:lpstr>Página9</vt:lpstr>
      <vt:lpstr>Rel_por_LP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Vinícius Janick</cp:lastModifiedBy>
  <dcterms:modified xsi:type="dcterms:W3CDTF">2026-08-05T18:57:38Z</dcterms:modified>
</cp:coreProperties>
</file>